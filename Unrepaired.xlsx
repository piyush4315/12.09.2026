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 name="LS_Backup" sheetId="5" state="hidden" r:id="rId5"/>
  </sheets>
  <definedNames>
    <definedName name="SUG_A">Lists!$J$4:INDEX(Lists!$J$4:$J$40,MAX(Lists!$I$4:$I$40))</definedName>
    <definedName name="SUG_D">Lists!$GB$4:INDEX(Lists!$GB$4:$GB$42,MAX(Lists!$GA$4:$GA$40)+2)</definedName>
    <definedName name="SUG_MAIN">Lists!$A$4:$A$114</definedName>
    <definedName name="SUG_B">Lists!$GF$4:INDEX(Lists!$GF$4:$GF$42,MAX(Lists!$GE$4:$GE$40)+2)</definedName>
    <definedName name="SUG_C">Lists!$GJ$4:INDEX(Lists!$GJ$4:$GJ$42,MAX(Lists!$GI$4:$GI$40)+2)</definedName>
    <definedName name="SUG_E">Lists!$GN$4:INDEX(Lists!$GN$4:$GN$42,MAX(Lists!$GM$4:$GM$40)+2)</definedName>
    <definedName name="SUG_F">Lists!$GR$4:INDEX(Lists!$GR$4:$GR$42,MAX(Lists!$GQ$4:$GQ$40)+2)</definedName>
    <definedName name="SUG_G">Lists!$GV$4:INDEX(Lists!$GV$4:$GV$42,MAX(Lists!$GU$4:$GU$40)+2)</definedName>
    <definedName name="SUG_H">Lists!$GZ$4:INDEX(Lists!$GZ$4:$GZ$42,MAX(Lists!$GY$4:$GY$40)+2)</definedName>
    <definedName name="SUG_I">Lists!$HD$4:INDEX(Lists!$HD$4:$HD$42,MAX(Lists!$HC$4:$HC$40)+2)</definedName>
    <definedName name="SUG_J">Lists!$HH$4:INDEX(Lists!$HH$4:$HH$42,MAX(Lists!$HG$4:$HG$40)+2)</definedName>
    <definedName name="SUG_K">Lists!$HL$4:INDEX(Lists!$HL$4:$HL$42,MAX(Lists!$HK$4:$HK$40)+2)</definedName>
    <definedName name="SUG_L">Lists!$HP$4:INDEX(Lists!$HP$4:$HP$42,MAX(Lists!$HO$4:$HO$40)+2)</definedName>
    <definedName name="SUG_M">Lists!$HT$4:INDEX(Lists!$HT$4:$HT$42,MAX(Lists!$HS$4:$HS$40)+2)</definedName>
    <definedName name="SUG_N">Lists!$HX$4:INDEX(Lists!$HX$4:$HX$42,MAX(Lists!$HW$4:$HW$40)+2)</definedName>
    <definedName name="SUG_O">Lists!$IB$4:INDEX(Lists!$IB$4:$IB$42,MAX(Lists!$IA$4:$IA$40)+2)</definedName>
    <definedName name="SUG_P">Lists!$IF$4:INDEX(Lists!$IF$4:$IF$42,MAX(Lists!$IE$4:$IE$40)+2)</definedName>
    <definedName name="SUG_Q">Lists!$IJ$4:INDEX(Lists!$IJ$4:$IJ$42,MAX(Lists!$II$4:$II$40)+2)</definedName>
    <definedName name="SUG_R">Lists!$IN$4:INDEX(Lists!$IN$4:$IN$42,MAX(Lists!$IM$4:$IM$40)+2)</definedName>
    <definedName name="SUG_S">Lists!$IR$4:INDEX(Lists!$IR$4:$IR$42,MAX(Lists!$IQ$4:$IQ$40)+2)</definedName>
    <definedName name="SUG_T">Lists!$IV$4:INDEX(Lists!$IV$4:$IV$42,MAX(Lists!$IU$4:$IU$40)+2)</definedName>
    <definedName name="SUG_U">Lists!$IZ$4:INDEX(Lists!$IZ$4:$IZ$42,MAX(Lists!$IY$4:$IY$40)+2)</definedName>
    <definedName name="SUG_V">Lists!$JD$4:INDEX(Lists!$JD$4:$JD$42,MAX(Lists!$JC$4:$JC$40)+2)</definedName>
    <definedName name="SUG_W">Lists!$JH$4:INDEX(Lists!$JH$4:$JH$42,MAX(Lists!$JG$4:$JG$40)+2)</definedName>
    <definedName name="SUG_X">Lists!$JL$4:INDEX(Lists!$JL$4:$JL$42,MAX(Lists!$JK$4:$JK$40)+2)</definedName>
    <definedName name="SUG_Y">Lists!$JP$4:INDEX(Lists!$JP$4:$JP$42,MAX(Lists!$JO$4:$JO$40)+2)</definedName>
    <definedName name="SUG_Z">Lists!$JT$4:INDEX(Lists!$JT$4:$JT$42,MAX(Lists!$JS$4:$JS$40)+2)</definedName>
    <definedName name="SUG_AA">Lists!$JX$4:INDEX(Lists!$JX$4:$JX$42,MAX(Lists!$JW$4:$JW$40)+2)</definedName>
    <definedName name="SUG_AB">Lists!$KB$4:INDEX(Lists!$KB$4:$KB$42,MAX(Lists!$KA$4:$KA$40)+2)</definedName>
    <definedName name="SUG_AC">Lists!$KF$4:INDEX(Lists!$KF$4:$KF$42,MAX(Lists!$KE$4:$KE$40)+2)</definedName>
    <definedName name="SUG_AD">Lists!$KJ$4:INDEX(Lists!$KJ$4:$KJ$42,MAX(Lists!$KI$4:$KI$40)+2)</definedName>
    <definedName name="SUG_AE">Lists!$KN$4:INDEX(Lists!$KN$4:$KN$42,MAX(Lists!$KM$4:$KM$40)+2)</definedName>
    <definedName name="SUG_AI">Lists!$KR$4:INDEX(Lists!$KR$4:$KR$42,MAX(Lists!$KQ$4:$KQ$40)+2)</definedName>
    <definedName name="SUG_AF">Lists!$KV$4:INDEX(Lists!$KV$4:$KV$42,MAX(Lists!$KU$4:$KU$40)+2)</definedName>
    <definedName name="SUG_AG">Lists!$KZ$4:INDEX(Lists!$KZ$4:$KZ$42,MAX(Lists!$KY$4:$KY$40)+2)</definedName>
    <definedName name="SUG_AH">Lists!$LD$4:INDEX(Lists!$LD$4:$LD$42,MAX(Lists!$LC$4:$LC$40)+2)</definedName>
    <definedName name="SUGN_B">Lists!$LH$4:INDEX(Lists!$LH$4:$LH$42,MAX(Lists!$LG$4:$LG$40)+2)</definedName>
    <definedName name="SUGN_C">Lists!$LL$4:INDEX(Lists!$LL$4:$LL$42,MAX(Lists!$LK$4:$LK$40)+2)</definedName>
    <definedName name="SUGN_D">Lists!$LP$4:INDEX(Lists!$LP$4:$LP$42,MAX(Lists!$LO$4:$LO$40)+2)</definedName>
    <definedName name="SUGN_E">Lists!$LT$4:INDEX(Lists!$LT$4:$LT$42,MAX(Lists!$LS$4:$LS$40)+2)</definedName>
    <definedName name="SUGN_F">Lists!$LX$4:INDEX(Lists!$LX$4:$LX$42,MAX(Lists!$LW$4:$LW$40)+2)</definedName>
    <definedName name="SUGN_G">Lists!$MB$4:INDEX(Lists!$MB$4:$MB$42,MAX(Lists!$MA$4:$MA$40)+2)</definedName>
    <definedName name="SUGN_H">Lists!$MF$4:INDEX(Lists!$MF$4:$MF$42,MAX(Lists!$ME$4:$ME$40)+2)</definedName>
    <definedName name="SUGN_I">Lists!$MJ$4:INDEX(Lists!$MJ$4:$MJ$42,MAX(Lists!$MI$4:$MI$40)+2)</definedName>
    <definedName name="SUGN_J">Lists!$MN$4:INDEX(Lists!$MN$4:$MN$42,MAX(Lists!$MM$4:$MM$40)+2)</definedName>
    <definedName name="SUGN_K">Lists!$MR$4:INDEX(Lists!$MR$4:$MR$42,MAX(Lists!$MQ$4:$MQ$40)+2)</definedName>
    <definedName name="SUGN_L">Lists!$MV$4:INDEX(Lists!$MV$4:$MV$42,MAX(Lists!$MU$4:$MU$40)+2)</definedName>
    <definedName name="SUGN_M">Lists!$MZ$4:INDEX(Lists!$MZ$4:$MZ$42,MAX(Lists!$MY$4:$MY$40)+2)</definedName>
    <definedName name="SUGN_N">Lists!$ND$4:INDEX(Lists!$ND$4:$ND$42,MAX(Lists!$NC$4:$NC$40)+2)</definedName>
    <definedName name="SUGN_O">Lists!$NH$4:INDEX(Lists!$NH$4:$NH$42,MAX(Lists!$NG$4:$NG$40)+2)</definedName>
    <definedName name="SUGN_P">Lists!$NL$4:INDEX(Lists!$NL$4:$NL$42,MAX(Lists!$NK$4:$NK$40)+2)</definedName>
    <definedName name="SUGN_Q">Lists!$NP$4:INDEX(Lists!$NP$4:$NP$42,MAX(Lists!$NO$4:$NO$40)+2)</definedName>
    <definedName name="SUGN_R">Lists!$NT$4:INDEX(Lists!$NT$4:$NT$42,MAX(Lists!$NS$4:$NS$40)+2)</definedName>
    <definedName name="SUGN_S">Lists!$NX$4:INDEX(Lists!$NX$4:$NX$42,MAX(Lists!$NW$4:$NW$40)+2)</definedName>
    <definedName name="SUGN_T">Lists!$OB$4:INDEX(Lists!$OB$4:$OB$42,MAX(Lists!$OA$4:$OA$40)+2)</definedName>
    <definedName name="SUGN_U">Lists!$OF$4:INDEX(Lists!$OF$4:$OF$42,MAX(Lists!$OE$4:$OE$40)+2)</definedName>
    <definedName name="SUGN_V">Lists!$OJ$4:INDEX(Lists!$OJ$4:$OJ$42,MAX(Lists!$OI$4:$OI$40)+2)</definedName>
    <definedName name="SUGN_W">Lists!$ON$4:INDEX(Lists!$ON$4:$ON$42,MAX(Lists!$OM$4:$OM$40)+2)</definedName>
    <definedName name="SUGN_X">Lists!$OR$4:INDEX(Lists!$OR$4:$OR$42,MAX(Lists!$OQ$4:$OQ$40)+2)</definedName>
    <definedName name="SUGN_Y">Lists!$OV$4:INDEX(Lists!$OV$4:$OV$42,MAX(Lists!$OU$4:$OU$40)+2)</definedName>
    <definedName name="SUGN_Z">Lists!$OZ$4:INDEX(Lists!$OZ$4:$OZ$42,MAX(Lists!$OY$4:$OY$40)+2)</definedName>
    <definedName name="SUGN_AA">Lists!$PD$4:INDEX(Lists!$PD$4:$PD$42,MAX(Lists!$PC$4:$PC$40)+2)</definedName>
    <definedName name="SUGN_AB">Lists!$PH$4:INDEX(Lists!$PH$4:$PH$42,MAX(Lists!$PG$4:$PG$40)+2)</definedName>
    <definedName name="SUGN_AC">Lists!$PL$4:INDEX(Lists!$PL$4:$PL$42,MAX(Lists!$PK$4:$PK$40)+2)</definedName>
    <definedName name="SUGN_AD">Lists!$PP$4:INDEX(Lists!$PP$4:$PP$42,MAX(Lists!$PO$4:$PO$40)+2)</definedName>
    <definedName name="SUGN_AE">Lists!$PT$4:INDEX(Lists!$PT$4:$PT$42,MAX(Lists!$PS$4:$PS$40)+2)</definedName>
    <definedName name="SUGN_AI">Lists!$PX$4:INDEX(Lists!$PX$4:$PX$42,MAX(Lists!$PW$4:$PW$40)+2)</definedName>
    <definedName name="SUGN_AF">Lists!$QB$4:INDEX(Lists!$QB$4:$QB$42,MAX(Lists!$QA$4:$QA$40)+2)</definedName>
    <definedName name="SUGN_AG">Lists!$QF$4:INDEX(Lists!$QF$4:$QF$42,MAX(Lists!$QE$4:$QE$40)+2)</definedName>
    <definedName name="SUGN_AH">Lists!$QJ$4:INDEX(Lists!$QJ$4:$QJ$42,MAX(Lists!$QI$4:$QI$40)+2)</definedName>
    <definedName name="_xlnm._FilterDatabase" localSheetId="0" hidden="1">'Final Calculation Sheet'!$A$3:$AH$43</definedName>
    <definedName name="_xlnm.Print_Titles" localSheetId="1">'Live Search'!$5:$5</definedName>
    <definedName name="SUGF_A">Lists!$QS$4:INDEX(Lists!$QS$4:$QS$42,MAX(Lists!$QR$4:$QR$40)+2)</definedName>
    <definedName name="SUGF_B">Lists!$QW$4:INDEX(Lists!$QW$4:$QW$42,MAX(Lists!$QV$4:$QV$40)+2)</definedName>
    <definedName name="SUGF_C">Lists!$RA$4:INDEX(Lists!$RA$4:$RA$42,MAX(Lists!$QZ$4:$QZ$40)+2)</definedName>
    <definedName name="SUGF_D">Lists!$RE$4:INDEX(Lists!$RE$4:$RE$42,MAX(Lists!$RD$4:$RD$40)+2)</definedName>
    <definedName name="SUGF_E">Lists!$RI$4:INDEX(Lists!$RI$4:$RI$42,MAX(Lists!$RH$4:$RH$40)+2)</definedName>
    <definedName name="SUGF_F">Lists!$RM$4:INDEX(Lists!$RM$4:$RM$42,MAX(Lists!$RL$4:$RL$40)+2)</definedName>
    <definedName name="SUGF_G">Lists!$RQ$4:INDEX(Lists!$RQ$4:$RQ$42,MAX(Lists!$RP$4:$RP$40)+2)</definedName>
    <definedName name="SUGF_H">Lists!$RU$4:INDEX(Lists!$RU$4:$RU$42,MAX(Lists!$RT$4:$RT$40)+2)</definedName>
    <definedName name="SUGF_I">Lists!$RY$4:INDEX(Lists!$RY$4:$RY$42,MAX(Lists!$RX$4:$RX$40)+2)</definedName>
    <definedName name="SUGF_J">Lists!$SC$4:INDEX(Lists!$SC$4:$SC$42,MAX(Lists!$SB$4:$SB$40)+2)</definedName>
    <definedName name="SUGF_K">Lists!$SG$4:INDEX(Lists!$SG$4:$SG$42,MAX(Lists!$SF$4:$SF$40)+2)</definedName>
    <definedName name="SUGF_L">Lists!$SK$4:INDEX(Lists!$SK$4:$SK$42,MAX(Lists!$SJ$4:$SJ$40)+2)</definedName>
    <definedName name="SUGF_M">Lists!$SO$4:INDEX(Lists!$SO$4:$SO$42,MAX(Lists!$SN$4:$SN$40)+2)</definedName>
    <definedName name="SUGF_N">Lists!$SS$4:INDEX(Lists!$SS$4:$SS$42,MAX(Lists!$SR$4:$SR$40)+2)</definedName>
    <definedName name="SUGF_O">Lists!$SW$4:INDEX(Lists!$SW$4:$SW$42,MAX(Lists!$SV$4:$SV$40)+2)</definedName>
    <definedName name="SUGF_P">Lists!$TA$4:INDEX(Lists!$TA$4:$TA$42,MAX(Lists!$SZ$4:$SZ$40)+2)</definedName>
    <definedName name="SUGF_Q">Lists!$TE$4:INDEX(Lists!$TE$4:$TE$42,MAX(Lists!$TD$4:$TD$40)+2)</definedName>
    <definedName name="SUGF_R">Lists!$TI$4:INDEX(Lists!$TI$4:$TI$42,MAX(Lists!$TH$4:$TH$40)+2)</definedName>
    <definedName name="SUGF_S">Lists!$TM$4:INDEX(Lists!$TM$4:$TM$42,MAX(Lists!$TL$4:$TL$40)+2)</definedName>
    <definedName name="SUGF_T">Lists!$TQ$4:INDEX(Lists!$TQ$4:$TQ$42,MAX(Lists!$TP$4:$TP$40)+2)</definedName>
    <definedName name="SUGF_U">Lists!$TU$4:INDEX(Lists!$TU$4:$TU$42,MAX(Lists!$TT$4:$TT$40)+2)</definedName>
    <definedName name="SUGF_V">Lists!$TY$4:INDEX(Lists!$TY$4:$TY$42,MAX(Lists!$TX$4:$TX$40)+2)</definedName>
    <definedName name="SUGF_W">Lists!$UC$4:INDEX(Lists!$UC$4:$UC$42,MAX(Lists!$UB$4:$UB$40)+2)</definedName>
    <definedName name="SUGF_X">Lists!$UG$4:INDEX(Lists!$UG$4:$UG$42,MAX(Lists!$UF$4:$UF$40)+2)</definedName>
    <definedName name="SUGF_Y">Lists!$UK$4:INDEX(Lists!$UK$4:$UK$42,MAX(Lists!$UJ$4:$UJ$40)+2)</definedName>
    <definedName name="SUGF_Z">Lists!$UO$4:INDEX(Lists!$UO$4:$UO$42,MAX(Lists!$UN$4:$UN$40)+2)</definedName>
    <definedName name="SUGF_AA">Lists!$US$4:INDEX(Lists!$US$4:$US$42,MAX(Lists!$UR$4:$UR$40)+2)</definedName>
    <definedName name="SUGF_AB">Lists!$UW$4:INDEX(Lists!$UW$4:$UW$42,MAX(Lists!$UV$4:$UV$40)+2)</definedName>
    <definedName name="SUGF_AC">Lists!$VA$4:INDEX(Lists!$VA$4:$VA$42,MAX(Lists!$UZ$4:$UZ$40)+2)</definedName>
    <definedName name="SUGF_AD">Lists!$VE$4:INDEX(Lists!$VE$4:$VE$42,MAX(Lists!$VD$4:$VD$40)+2)</definedName>
    <definedName name="SUGF_AE">Lists!$VI$4:INDEX(Lists!$VI$4:$VI$42,MAX(Lists!$VH$4:$VH$40)+2)</definedName>
    <definedName name="SUGF_AF">Lists!$VM$4:INDEX(Lists!$VM$4:$VM$42,MAX(Lists!$VL$4:$VL$40)+2)</definedName>
    <definedName name="SUGF_AG">Lists!$VQ$4:INDEX(Lists!$VQ$4:$VQ$42,MAX(Lists!$VP$4:$VP$40)+2)</definedName>
    <definedName name="SUGF_AH">Lists!$VU$4:INDEX(Lists!$VU$4:$VU$42,MAX(Lists!$VT$4:$VT$40)+2)</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_ * #,##0_ ;_ * \-#,##0_ ;_ * \-??_ ;_ @_ "/>
  </numFmts>
  <fonts count="23">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charset val="1"/>
      <b val="1"/>
      <color rgb="FFFFFFFF"/>
      <sz val="15"/>
    </font>
    <font>
      <name val="Calibri"/>
      <charset val="1"/>
      <i val="1"/>
      <color rgb="FF1F3864"/>
      <sz val="9"/>
    </font>
    <font>
      <name val="Calibri"/>
      <charset val="1"/>
      <b val="1"/>
      <color rgb="FFFFFFFF"/>
      <sz val="11"/>
    </font>
    <font>
      <name val="Calibri"/>
      <charset val="1"/>
      <b val="1"/>
      <color rgb="FF1F3864"/>
      <sz val="12"/>
    </font>
    <font>
      <name val="Calibri"/>
      <charset val="1"/>
      <b val="1"/>
      <color rgb="FFFFFFFF"/>
      <sz val="10"/>
    </font>
    <font>
      <name val="Calibri"/>
      <charset val="1"/>
      <b val="1"/>
      <color rgb="FF1F3864"/>
      <sz val="10"/>
    </font>
    <font>
      <name val="Calibri"/>
      <charset val="1"/>
      <i val="1"/>
      <color rgb="FF808080"/>
      <sz val="8"/>
    </font>
    <font>
      <name val="Cambria"/>
      <charset val="1"/>
      <sz val="11"/>
    </font>
    <font>
      <name val="Calibri"/>
      <charset val="1"/>
      <b val="1"/>
      <color rgb="FF666666"/>
      <sz val="9"/>
    </font>
    <font>
      <name val="Calibri"/>
      <charset val="1"/>
      <b val="1"/>
      <color rgb="FF333333"/>
      <sz val="10"/>
    </font>
    <font>
      <name val="Calibri"/>
      <charset val="1"/>
      <color rgb="FF333333"/>
      <sz val="10"/>
    </font>
    <font>
      <name val="Calibri"/>
      <charset val="1"/>
      <b val="1"/>
      <sz val="10"/>
    </font>
    <font>
      <name val="Cambria"/>
      <charset val="1"/>
      <b val="1"/>
      <color rgb="FFFFFFFF"/>
      <sz val="9"/>
    </font>
    <font>
      <name val="Calibri"/>
      <charset val="1"/>
      <b val="1"/>
      <color rgb="FFFFFFFF"/>
      <sz val="9"/>
    </font>
    <font>
      <name val="Calibri"/>
      <charset val="1"/>
      <i val="1"/>
      <color rgb="FF666666"/>
      <sz val="10"/>
    </font>
    <font>
      <name val="Arial"/>
      <charset val="1"/>
      <family val="2"/>
      <b val="1"/>
      <sz val="10"/>
    </font>
  </fonts>
  <fills count="12">
    <fill>
      <patternFill/>
    </fill>
    <fill>
      <patternFill patternType="gray125"/>
    </fill>
    <fill>
      <patternFill patternType="solid">
        <fgColor theme="0"/>
        <bgColor rgb="FFF4F9FD"/>
      </patternFill>
    </fill>
    <fill>
      <patternFill patternType="solid">
        <fgColor theme="2" tint="-0.09997863704336681"/>
        <bgColor rgb="FFD0D0D0"/>
      </patternFill>
    </fill>
    <fill>
      <patternFill patternType="solid">
        <fgColor rgb="FF1F3864"/>
        <bgColor rgb="FF333333"/>
      </patternFill>
    </fill>
    <fill>
      <patternFill patternType="solid">
        <fgColor rgb="FFDDEBF7"/>
        <bgColor rgb="FFEDEDED"/>
      </patternFill>
    </fill>
    <fill>
      <patternFill patternType="solid">
        <fgColor rgb="FFFFE699"/>
        <bgColor rgb="FFFFD966"/>
      </patternFill>
    </fill>
    <fill>
      <patternFill patternType="solid">
        <fgColor rgb="FF2F5496"/>
        <bgColor rgb="FF2E75B6"/>
      </patternFill>
    </fill>
    <fill>
      <patternFill patternType="solid">
        <fgColor rgb="FFF4F9FD"/>
        <bgColor rgb="FFFFFFFF"/>
      </patternFill>
    </fill>
    <fill>
      <patternFill patternType="solid">
        <fgColor rgb="FF375623"/>
        <bgColor rgb="FF333333"/>
      </patternFill>
    </fill>
    <fill>
      <patternFill patternType="solid">
        <fgColor rgb="FFF4F9FD"/>
      </patternFill>
    </fill>
    <fill>
      <patternFill patternType="solid">
        <fgColor rgb="FFD9E2F3"/>
      </patternFill>
    </fill>
  </fills>
  <borders count="25">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style="thin">
        <color rgb="FFB0B0B0"/>
      </left>
      <right style="thin">
        <color rgb="FFB0B0B0"/>
      </right>
      <top style="thin">
        <color rgb="FFB0B0B0"/>
      </top>
      <bottom style="thin">
        <color rgb="FFB0B0B0"/>
      </bottom>
      <diagonal/>
    </border>
    <border>
      <left/>
      <right/>
      <top style="double">
        <color rgb="FFFFFFFF"/>
      </top>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65">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4" borderId="0" applyAlignment="1" pivotButton="0" quotePrefix="0" xfId="0">
      <alignment horizontal="right" vertical="center"/>
    </xf>
    <xf numFmtId="0" fontId="12" fillId="6" borderId="17" applyAlignment="1" pivotButton="0" quotePrefix="0" xfId="0">
      <alignment horizontal="center" vertical="center" wrapText="1"/>
    </xf>
    <xf numFmtId="0" fontId="10" fillId="5" borderId="17" applyAlignment="1" pivotButton="0" quotePrefix="0" xfId="0">
      <alignment horizontal="center" vertical="center" wrapText="1"/>
    </xf>
    <xf numFmtId="0" fontId="13" fillId="0" borderId="0" pivotButton="0" quotePrefix="0" xfId="0"/>
    <xf numFmtId="0" fontId="11" fillId="7" borderId="18" applyAlignment="1" pivotButton="0" quotePrefix="0" xfId="0">
      <alignment horizontal="center" vertical="center" wrapText="1"/>
    </xf>
    <xf numFmtId="0" fontId="14" fillId="0" borderId="0" applyAlignment="1" pivotButton="0" quotePrefix="0" xfId="0">
      <alignment horizontal="left" vertical="center"/>
    </xf>
    <xf numFmtId="0" fontId="14" fillId="0" borderId="0" pivotButton="0" quotePrefix="0" xfId="0"/>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16" fillId="0" borderId="0" applyAlignment="1" pivotButton="0" quotePrefix="0" xfId="0">
      <alignment horizontal="left" vertical="center"/>
    </xf>
    <xf numFmtId="0" fontId="19" fillId="4" borderId="19" pivotButton="0" quotePrefix="0" xfId="0"/>
    <xf numFmtId="0" fontId="12" fillId="6" borderId="19" applyProtection="1" pivotButton="0" quotePrefix="0" xfId="0">
      <protection locked="0" hidden="0"/>
    </xf>
    <xf numFmtId="0" fontId="0" fillId="0" borderId="0" pivotButton="0" quotePrefix="0" xfId="0"/>
    <xf numFmtId="0" fontId="17" fillId="0" borderId="0" applyAlignment="1" pivotButton="0" quotePrefix="0" xfId="0">
      <alignment horizontal="left" vertical="center"/>
    </xf>
    <xf numFmtId="1" fontId="20" fillId="4" borderId="0" applyAlignment="1" pivotButton="0" quotePrefix="0" xfId="0">
      <alignment horizontal="center" vertical="center" wrapText="1"/>
    </xf>
    <xf numFmtId="0" fontId="11" fillId="4" borderId="0" applyAlignment="1" pivotButton="0" quotePrefix="0" xfId="0">
      <alignment horizontal="left" vertical="center"/>
    </xf>
    <xf numFmtId="0" fontId="11" fillId="4" borderId="0" applyAlignment="1" pivotButton="0" quotePrefix="0" xfId="0">
      <alignment horizontal="left" vertical="center"/>
    </xf>
    <xf numFmtId="164" fontId="11" fillId="4" borderId="0" applyAlignment="1" pivotButton="0" quotePrefix="0" xfId="0">
      <alignment horizontal="right" vertical="center"/>
    </xf>
    <xf numFmtId="3" fontId="11" fillId="4" borderId="0" applyAlignment="1" pivotButton="0" quotePrefix="0" xfId="0">
      <alignment horizontal="right" vertical="center"/>
    </xf>
    <xf numFmtId="9" fontId="11" fillId="4" borderId="0" applyAlignment="1" pivotButton="0" quotePrefix="0" xfId="0">
      <alignment horizontal="right" vertical="center"/>
    </xf>
    <xf numFmtId="165" fontId="11" fillId="4" borderId="0" applyAlignment="1" pivotButton="0" quotePrefix="0" xfId="0">
      <alignment horizontal="right" vertical="center"/>
    </xf>
    <xf numFmtId="1" fontId="11" fillId="4" borderId="0" applyAlignment="1" pivotButton="0" quotePrefix="0" xfId="0">
      <alignment horizontal="right" vertical="center"/>
    </xf>
    <xf numFmtId="0" fontId="11" fillId="4" borderId="0" applyAlignment="1" pivotButton="0" quotePrefix="0" xfId="0">
      <alignment horizontal="center" vertical="center" wrapText="1"/>
    </xf>
    <xf numFmtId="1" fontId="15" fillId="8" borderId="0" applyAlignment="1" pivotButton="0" quotePrefix="0" xfId="0">
      <alignment horizontal="center" vertical="center" wrapText="1"/>
    </xf>
    <xf numFmtId="0" fontId="16" fillId="8" borderId="0" applyAlignment="1" pivotButton="0" quotePrefix="0" xfId="0">
      <alignment horizontal="left" vertical="center"/>
    </xf>
    <xf numFmtId="0" fontId="16" fillId="8" borderId="0" applyAlignment="1" pivotButton="0" quotePrefix="0" xfId="0">
      <alignment horizontal="left" vertical="center"/>
    </xf>
    <xf numFmtId="0" fontId="17" fillId="8" borderId="0" applyAlignment="1" pivotButton="0" quotePrefix="0" xfId="0">
      <alignment horizontal="left" vertical="center"/>
    </xf>
    <xf numFmtId="0" fontId="17" fillId="8" borderId="0" applyAlignment="1" pivotButton="0" quotePrefix="0" xfId="0">
      <alignment horizontal="left" vertical="center"/>
    </xf>
    <xf numFmtId="164" fontId="17" fillId="8" borderId="0" applyAlignment="1" pivotButton="0" quotePrefix="0" xfId="0">
      <alignment horizontal="right" vertical="center"/>
    </xf>
    <xf numFmtId="3" fontId="17" fillId="8" borderId="0" applyAlignment="1" pivotButton="0" quotePrefix="0" xfId="0">
      <alignment horizontal="right" vertical="center"/>
    </xf>
    <xf numFmtId="9" fontId="17" fillId="8" borderId="0" applyAlignment="1" pivotButton="0" quotePrefix="0" xfId="0">
      <alignment horizontal="right" vertical="center"/>
    </xf>
    <xf numFmtId="165" fontId="17" fillId="8" borderId="0" applyAlignment="1" pivotButton="0" quotePrefix="0" xfId="0">
      <alignment horizontal="right" vertical="center"/>
    </xf>
    <xf numFmtId="1" fontId="17" fillId="8" borderId="0" applyAlignment="1" pivotButton="0" quotePrefix="0" xfId="0">
      <alignment horizontal="right" vertical="center"/>
    </xf>
    <xf numFmtId="0" fontId="18" fillId="8" borderId="0" applyAlignment="1" pivotButton="0" quotePrefix="0" xfId="0">
      <alignment horizontal="center" vertical="center" wrapText="1"/>
    </xf>
    <xf numFmtId="1" fontId="9" fillId="4" borderId="20" applyAlignment="1" pivotButton="0" quotePrefix="0" xfId="0">
      <alignment horizontal="center" vertical="center" wrapText="1"/>
    </xf>
    <xf numFmtId="0" fontId="9" fillId="4" borderId="20" applyAlignment="1" pivotButton="0" quotePrefix="0" xfId="0">
      <alignment horizontal="left" vertical="center"/>
    </xf>
    <xf numFmtId="164" fontId="9" fillId="4" borderId="20" applyAlignment="1" pivotButton="0" quotePrefix="0" xfId="0">
      <alignment horizontal="right" vertical="center"/>
    </xf>
    <xf numFmtId="3" fontId="9" fillId="4" borderId="20" applyAlignment="1" pivotButton="0" quotePrefix="0" xfId="0">
      <alignment horizontal="right" vertical="center"/>
    </xf>
    <xf numFmtId="9" fontId="9" fillId="4" borderId="20" applyAlignment="1" pivotButton="0" quotePrefix="0" xfId="0">
      <alignment horizontal="right" vertical="center"/>
    </xf>
    <xf numFmtId="165" fontId="9" fillId="4" borderId="20" applyAlignment="1" pivotButton="0" quotePrefix="0" xfId="0">
      <alignment horizontal="right" vertical="center"/>
    </xf>
    <xf numFmtId="1" fontId="9" fillId="4" borderId="20" applyAlignment="1" pivotButton="0" quotePrefix="0" xfId="0">
      <alignment horizontal="right" vertical="center"/>
    </xf>
    <xf numFmtId="0" fontId="9" fillId="4" borderId="20" applyAlignment="1" pivotButton="0" quotePrefix="0" xfId="0">
      <alignment horizontal="center" vertical="center" wrapText="1"/>
    </xf>
    <xf numFmtId="1" fontId="9" fillId="9" borderId="0" applyAlignment="1" pivotButton="0" quotePrefix="0" xfId="0">
      <alignment horizontal="center" vertical="center" wrapText="1"/>
    </xf>
    <xf numFmtId="0" fontId="9" fillId="9" borderId="0" applyAlignment="1" pivotButton="0" quotePrefix="0" xfId="0">
      <alignment horizontal="left" vertical="center"/>
    </xf>
    <xf numFmtId="164" fontId="9" fillId="9" borderId="0" applyAlignment="1" pivotButton="0" quotePrefix="0" xfId="0">
      <alignment horizontal="right" vertical="center"/>
    </xf>
    <xf numFmtId="3" fontId="9" fillId="9" borderId="0" applyAlignment="1" pivotButton="0" quotePrefix="0" xfId="0">
      <alignment horizontal="right" vertical="center"/>
    </xf>
    <xf numFmtId="9" fontId="9" fillId="9" borderId="0" applyAlignment="1" pivotButton="0" quotePrefix="0" xfId="0">
      <alignment horizontal="right" vertical="center"/>
    </xf>
    <xf numFmtId="165" fontId="9" fillId="9" borderId="0" applyAlignment="1" pivotButton="0" quotePrefix="0" xfId="0">
      <alignment horizontal="right" vertical="center"/>
    </xf>
    <xf numFmtId="1" fontId="9" fillId="9" borderId="0" applyAlignment="1" pivotButton="0" quotePrefix="0" xfId="0">
      <alignment horizontal="right" vertical="center"/>
    </xf>
    <xf numFmtId="0" fontId="9" fillId="9" borderId="0" applyAlignment="1" pivotButton="0" quotePrefix="0" xfId="0">
      <alignment horizontal="center" vertical="center" wrapText="1"/>
    </xf>
    <xf numFmtId="0" fontId="9" fillId="4" borderId="0" pivotButton="0" quotePrefix="0" xfId="0"/>
    <xf numFmtId="0" fontId="15" fillId="0" borderId="0" pivotButton="0" quotePrefix="0" xfId="0"/>
    <xf numFmtId="0" fontId="16" fillId="0" borderId="0" pivotButton="0" quotePrefix="0" xfId="0"/>
    <xf numFmtId="0" fontId="21" fillId="0" borderId="0" pivotButton="0" quotePrefix="0" xfId="0"/>
    <xf numFmtId="0" fontId="17" fillId="0" borderId="0" pivotButton="0" quotePrefix="0" xfId="0"/>
    <xf numFmtId="164" fontId="17" fillId="0" borderId="0" pivotButton="0" quotePrefix="0" xfId="0"/>
    <xf numFmtId="3" fontId="17" fillId="0" borderId="0" pivotButton="0" quotePrefix="0" xfId="0"/>
    <xf numFmtId="9" fontId="17" fillId="0" borderId="0" pivotButton="0" quotePrefix="0" xfId="0"/>
    <xf numFmtId="165" fontId="17" fillId="0" borderId="0" pivotButton="0" quotePrefix="0" xfId="0"/>
    <xf numFmtId="1" fontId="17" fillId="0" borderId="0" pivotButton="0" quotePrefix="0" xfId="0"/>
    <xf numFmtId="0" fontId="18" fillId="0" borderId="0" pivotButton="0" quotePrefix="0" xfId="0"/>
    <xf numFmtId="0" fontId="15" fillId="8" borderId="0" pivotButton="0" quotePrefix="0" xfId="0"/>
    <xf numFmtId="0" fontId="16" fillId="8" borderId="0" pivotButton="0" quotePrefix="0" xfId="0"/>
    <xf numFmtId="0" fontId="17" fillId="8" borderId="0" pivotButton="0" quotePrefix="0" xfId="0"/>
    <xf numFmtId="164" fontId="17" fillId="8" borderId="0" pivotButton="0" quotePrefix="0" xfId="0"/>
    <xf numFmtId="3" fontId="17" fillId="8" borderId="0" pivotButton="0" quotePrefix="0" xfId="0"/>
    <xf numFmtId="9" fontId="17" fillId="8" borderId="0" pivotButton="0" quotePrefix="0" xfId="0"/>
    <xf numFmtId="165" fontId="17" fillId="8" borderId="0" pivotButton="0" quotePrefix="0" xfId="0"/>
    <xf numFmtId="1" fontId="17" fillId="8" borderId="0" pivotButton="0" quotePrefix="0" xfId="0"/>
    <xf numFmtId="0" fontId="18" fillId="8" borderId="0" pivotButton="0" quotePrefix="0" xfId="0"/>
    <xf numFmtId="0" fontId="0" fillId="0" borderId="0" pivotButton="0" quotePrefix="0" xfId="0"/>
    <xf numFmtId="3" fontId="0" fillId="0" borderId="0" pivotButton="0" quotePrefix="0" xfId="0"/>
    <xf numFmtId="9" fontId="0" fillId="0" borderId="0" pivotButton="0" quotePrefix="0" xfId="0"/>
    <xf numFmtId="165" fontId="0" fillId="0" borderId="0" pivotButton="0" quotePrefix="0" xfId="0"/>
    <xf numFmtId="1" fontId="0" fillId="0" borderId="0" pivotButton="0" quotePrefix="0" xfId="0"/>
    <xf numFmtId="0" fontId="7" fillId="4" borderId="0" applyAlignment="1" pivotButton="0" quotePrefix="0" xfId="0">
      <alignment horizontal="left" vertical="center" indent="1"/>
    </xf>
    <xf numFmtId="0" fontId="8" fillId="5" borderId="0" applyAlignment="1" pivotButton="0" quotePrefix="0" xfId="0">
      <alignment horizontal="left" vertical="center" wrapText="1"/>
    </xf>
    <xf numFmtId="0" fontId="10" fillId="6" borderId="17" applyAlignment="1" pivotButton="0" quotePrefix="0" xfId="0">
      <alignment horizontal="left" vertical="center" indent="1"/>
    </xf>
    <xf numFmtId="0" fontId="12" fillId="5" borderId="0" applyAlignment="1" pivotButton="0" quotePrefix="0" xfId="0">
      <alignment horizontal="left" vertical="center" indent="1"/>
    </xf>
    <xf numFmtId="0" fontId="0" fillId="0" borderId="23" pivotButton="0" quotePrefix="0" xfId="0"/>
    <xf numFmtId="0" fontId="0" fillId="0" borderId="24" pivotButton="0" quotePrefix="0" xfId="0"/>
    <xf numFmtId="0" fontId="5" fillId="10" borderId="8" applyAlignment="1" pivotButton="0" quotePrefix="0" xfId="0">
      <alignment horizontal="center" vertical="center" wrapText="1"/>
    </xf>
    <xf numFmtId="0" fontId="5" fillId="10" borderId="6" applyAlignment="1" pivotButton="0" quotePrefix="0" xfId="0">
      <alignment horizontal="left" vertical="center" wrapText="1"/>
    </xf>
    <xf numFmtId="164" fontId="5" fillId="10" borderId="6" applyAlignment="1" pivotButton="0" quotePrefix="0" xfId="0">
      <alignment horizontal="center" vertical="center" wrapText="1"/>
    </xf>
    <xf numFmtId="0" fontId="5" fillId="10" borderId="6" applyAlignment="1" pivotButton="0" quotePrefix="0" xfId="0">
      <alignment horizontal="center" vertical="center" wrapText="1"/>
    </xf>
    <xf numFmtId="164" fontId="5" fillId="10" borderId="6" applyAlignment="1" pivotButton="0" quotePrefix="0" xfId="0">
      <alignment horizontal="right" vertical="center" wrapText="1"/>
    </xf>
    <xf numFmtId="164" fontId="5" fillId="10" borderId="6" applyAlignment="1" pivotButton="0" quotePrefix="0" xfId="0">
      <alignment horizontal="right" vertical="center"/>
    </xf>
    <xf numFmtId="3" fontId="5" fillId="10" borderId="6" applyAlignment="1" pivotButton="0" quotePrefix="0" xfId="0">
      <alignment horizontal="right" vertical="center"/>
    </xf>
    <xf numFmtId="9" fontId="5" fillId="10" borderId="6" applyAlignment="1" pivotButton="0" quotePrefix="0" xfId="0">
      <alignment horizontal="right" vertical="center"/>
    </xf>
    <xf numFmtId="165" fontId="6" fillId="10" borderId="6" applyAlignment="1" pivotButton="0" quotePrefix="0" xfId="0">
      <alignment vertical="center"/>
    </xf>
    <xf numFmtId="164" fontId="5" fillId="10" borderId="5" applyAlignment="1" pivotButton="0" quotePrefix="0" xfId="0">
      <alignment horizontal="right" vertical="center"/>
    </xf>
    <xf numFmtId="1" fontId="5" fillId="10" borderId="6" applyAlignment="1" pivotButton="0" quotePrefix="0" xfId="0">
      <alignment horizontal="center" vertical="center"/>
    </xf>
    <xf numFmtId="164" fontId="5" fillId="10" borderId="7" applyAlignment="1" pivotButton="0" quotePrefix="0" xfId="0">
      <alignment horizontal="right" vertical="center"/>
    </xf>
    <xf numFmtId="0" fontId="2" fillId="11" borderId="11" pivotButton="0" quotePrefix="0" xfId="0"/>
    <xf numFmtId="0" fontId="2" fillId="11" borderId="12" pivotButton="0" quotePrefix="0" xfId="0"/>
    <xf numFmtId="164" fontId="22" fillId="11" borderId="12" applyAlignment="1" pivotButton="0" quotePrefix="0" xfId="0">
      <alignment horizontal="right" vertical="center" wrapText="1"/>
    </xf>
    <xf numFmtId="164" fontId="22" fillId="11" borderId="12" applyAlignment="1" pivotButton="0" quotePrefix="0" xfId="0">
      <alignment horizontal="right" vertical="center"/>
    </xf>
    <xf numFmtId="0" fontId="2" fillId="11" borderId="13" pivotButton="0" quotePrefix="0" xfId="0"/>
  </cellXfs>
  <cellStyles count="1">
    <cellStyle name="Normal" xfId="0" builtinId="0"/>
  </cellStyles>
  <dxfs count="53">
    <dxf>
      <font>
        <b val="1"/>
        <color rgb="FF9C0006"/>
      </font>
      <fill>
        <patternFill>
          <bgColor rgb="FFFCE4E4"/>
        </patternFill>
      </fill>
    </dxf>
    <dxf>
      <font>
        <b val="1"/>
        <color rgb="FF9C0006"/>
      </font>
      <fill>
        <patternFill>
          <bgColor rgb="FFFCE4E4"/>
        </patternFill>
      </fill>
    </dxf>
    <dxf>
      <font>
        <b val="1"/>
        <color rgb="FF375623"/>
      </font>
      <fill>
        <patternFill>
          <bgColor rgb="FFE2EFDA"/>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1F3864"/>
      </font>
      <fill>
        <patternFill>
          <bgColor rgb="FFFFD966"/>
        </patternFill>
      </fill>
    </dxf>
    <dxf>
      <font>
        <b val="1"/>
        <color rgb="FF9C0006"/>
      </font>
      <fill>
        <patternFill>
          <bgColor rgb="FFFCE4E4"/>
        </patternFill>
      </fill>
    </dxf>
    <dxf>
      <font>
        <b val="1"/>
        <color rgb="FF375623"/>
      </font>
      <fill>
        <patternFill>
          <bgColor rgb="FFE2EFDA"/>
        </patternFill>
      </fill>
    </dxf>
    <dxf>
      <font>
        <b val="1"/>
        <color rgb="FF9C0006"/>
      </font>
      <fill>
        <patternFill>
          <bgColor rgb="FFFCE4E4"/>
        </patternFill>
      </fill>
    </dxf>
    <dxf>
      <border>
        <left style="thin">
          <color rgb="FFD0D0D0"/>
        </left>
        <right style="thin">
          <color rgb="FFD0D0D0"/>
        </right>
        <top style="thin">
          <color rgb="FFD0D0D0"/>
        </top>
        <bottom style="thin">
          <color rgb="FFD0D0D0"/>
        </bottom>
      </border>
    </dxf>
    <dxf>
      <font>
        <b val="1"/>
        <color rgb="FF9C0006"/>
      </font>
      <fill>
        <patternFill>
          <bgColor rgb="FFFCE4E4"/>
        </patternFill>
      </fill>
    </dxf>
    <dxf>
      <font>
        <b val="1"/>
        <color rgb="FF375623"/>
      </font>
      <fill>
        <patternFill>
          <bgColor rgb="FFE2EFDA"/>
        </patternFill>
      </fill>
    </dxf>
    <dxf>
      <font>
        <b val="1"/>
        <color rgb="FF9C0006"/>
      </font>
      <fill>
        <patternFill>
          <bgColor rgb="FFFCE4E4"/>
        </patternFill>
      </fill>
    </dxf>
    <dxf>
      <fill>
        <patternFill>
          <bgColor rgb="FFF4F9FD"/>
        </patternFill>
      </fill>
    </dxf>
    <dxf>
      <font>
        <b val="1"/>
        <color rgb="FF1F3864"/>
      </font>
      <fill>
        <patternFill>
          <bgColor rgb="FFFFD966"/>
        </patternFill>
      </fill>
    </dxf>
    <dxf>
      <font>
        <b val="1"/>
        <color rgb="FFFFFFFF"/>
      </font>
      <fill>
        <patternFill>
          <bgColor rgb="FF1F3864"/>
        </patternFill>
      </fill>
    </dxf>
    <dxf>
      <font>
        <b val="1"/>
        <color rgb="FFFFFFFF"/>
      </font>
      <fill>
        <patternFill>
          <bgColor rgb="FF2F5496"/>
        </patternFill>
      </fill>
    </dxf>
    <dxf>
      <font>
        <b val="1"/>
        <color rgb="FFFFFFFF"/>
      </font>
      <fill>
        <patternFill>
          <bgColor rgb="FF375623"/>
        </patternFill>
      </fill>
    </dxf>
    <dxf>
      <font>
        <b val="1"/>
        <color rgb="FFFFFFFF"/>
      </font>
      <fill>
        <patternFill>
          <bgColor rgb="FF666666"/>
        </patternFill>
      </fill>
    </dxf>
    <dxf>
      <font>
        <color rgb="FF666666"/>
      </font>
      <fill>
        <patternFill>
          <bgColor rgb="FFEDEDED"/>
        </patternFill>
      </fill>
    </dxf>
    <dxf>
      <font>
        <color rgb="FF375623"/>
      </font>
      <fill>
        <patternFill patternType="solid">
          <fgColor rgb="FFE2EFDA"/>
        </patternFill>
      </fill>
    </dxf>
    <dxf>
      <font>
        <color rgb="FF9C0006"/>
      </font>
      <fill>
        <patternFill patternType="solid">
          <fgColor rgb="FFFCE4E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0CECE"/>
      <rgbColor rgb="FF808080"/>
      <rgbColor rgb="FF9999FF"/>
      <rgbColor rgb="FF993366"/>
      <rgbColor rgb="FFF4F9FD"/>
      <rgbColor rgb="FFDDEBF7"/>
      <rgbColor rgb="FF660066"/>
      <rgbColor rgb="FFFF8080"/>
      <rgbColor rgb="FF0066CC"/>
      <rgbColor rgb="FFD0D0D0"/>
      <rgbColor rgb="FF000080"/>
      <rgbColor rgb="FFFF00FF"/>
      <rgbColor rgb="FFFFFF00"/>
      <rgbColor rgb="FF00FFFF"/>
      <rgbColor rgb="FF800080"/>
      <rgbColor rgb="FF800000"/>
      <rgbColor rgb="FF008080"/>
      <rgbColor rgb="FF0000FF"/>
      <rgbColor rgb="FF00B0F0"/>
      <rgbColor rgb="FFEDEDED"/>
      <rgbColor rgb="FFE2EFDA"/>
      <rgbColor rgb="FFFFE699"/>
      <rgbColor rgb="FFFCE4E4"/>
      <rgbColor rgb="FFFF99CC"/>
      <rgbColor rgb="FFCC99FF"/>
      <rgbColor rgb="FFFFD966"/>
      <rgbColor rgb="FF2E75B6"/>
      <rgbColor rgb="FF33CCCC"/>
      <rgbColor rgb="FF99CC00"/>
      <rgbColor rgb="FFFFCC00"/>
      <rgbColor rgb="FFFF9900"/>
      <rgbColor rgb="FFFF6600"/>
      <rgbColor rgb="FF666666"/>
      <rgbColor rgb="FFB0B0B0"/>
      <rgbColor rgb="FF1F3864"/>
      <rgbColor rgb="FF339966"/>
      <rgbColor rgb="FF003300"/>
      <rgbColor rgb="FF375623"/>
      <rgbColor rgb="FF993300"/>
      <rgbColor rgb="FF993366"/>
      <rgbColor rgb="FF2F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BT46"/>
  <sheetViews>
    <sheetView showGridLines="0" zoomScale="85" zoomScaleNormal="85" workbookViewId="0">
      <pane xSplit="7" ySplit="3" topLeftCell="H4" activePane="bottomRight" state="frozen"/>
      <selection pane="topRight" activeCell="H1" sqref="H1"/>
      <selection pane="bottomLeft" activeCell="A4" sqref="A4"/>
      <selection pane="bottomRight" activeCell="B10" sqref="B10"/>
    </sheetView>
  </sheetViews>
  <sheetFormatPr baseColWidth="8" defaultColWidth="8.7109375" defaultRowHeight="15"/>
  <cols>
    <col outlineLevel="1" width="13.7109375" customWidth="1" style="137" min="1" max="1"/>
    <col outlineLevel="1" width="29.42578125" customWidth="1" style="137" min="2" max="2"/>
    <col outlineLevel="1" width="9.140625" customWidth="1" style="137" min="3" max="3"/>
    <col outlineLevel="1" width="9.42578125" customWidth="1" style="137" min="4" max="4"/>
    <col outlineLevel="1" width="10" customWidth="1" style="137" min="5" max="5"/>
    <col width="12.42578125" customWidth="1" style="137" min="6" max="6"/>
    <col width="25" customWidth="1" style="137" min="7" max="7"/>
    <col width="15.5703125" customWidth="1" style="137" min="8" max="8"/>
    <col outlineLevel="1" width="9.85546875" customWidth="1" style="137" min="9" max="9"/>
    <col outlineLevel="1" width="17.140625" customWidth="1" style="137" min="10" max="10"/>
    <col outlineLevel="1" width="9.5703125" customWidth="1" style="137" min="11" max="11"/>
    <col outlineLevel="1" width="6.85546875" customWidth="1" style="137" min="12" max="12"/>
    <col outlineLevel="1" width="8.28515625" customWidth="1" style="137" min="13" max="13"/>
    <col outlineLevel="1" width="6.7109375" customWidth="1" style="137" min="14" max="14"/>
    <col outlineLevel="1" width="9.140625" customWidth="1" style="137" min="15" max="15"/>
    <col width="8.28515625" customWidth="1" style="1" min="16" max="16"/>
    <col outlineLevel="1" width="8.140625" customWidth="1" style="1" min="17" max="17"/>
    <col width="8.140625" customWidth="1" style="137" min="18" max="18"/>
    <col width="11.5703125" customWidth="1" style="137" min="19" max="19"/>
    <col outlineLevel="1" width="9.85546875" customWidth="1" style="137" min="20" max="20"/>
    <col width="10" customWidth="1" style="2" min="21" max="21"/>
    <col width="10.140625" customWidth="1" style="2" min="22" max="22"/>
    <col outlineLevel="1" width="10.7109375" customWidth="1" style="137" min="23" max="23"/>
    <col width="10.5703125" customWidth="1" style="137" min="24" max="24"/>
    <col width="10.140625" customWidth="1" style="137" min="25" max="28"/>
    <col width="14.140625" customWidth="1" style="137" min="29" max="29"/>
    <col width="11.5703125" customWidth="1" style="137" min="30" max="30"/>
    <col width="13" customWidth="1" style="137" min="31" max="31"/>
    <col width="13.7109375" customWidth="1" style="137" min="32" max="32"/>
    <col width="14.140625" customWidth="1" style="137" min="33" max="33"/>
    <col width="10.140625" customWidth="1" style="137" min="34" max="34"/>
    <col min="38" max="72" width="11" customWidth="1" hidden="1" outlineLevel="1" style="137"/>
  </cols>
  <sheetData>
    <row r="1" ht="15.75" customHeight="1" s="13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row>
    <row r="2" ht="30" customHeight="1" s="137">
      <c r="A2" s="78"/>
      <c r="B2" s="78"/>
      <c r="C2" s="78"/>
      <c r="D2" s="78"/>
      <c r="E2" s="78"/>
      <c r="F2" s="78"/>
      <c r="G2" s="78"/>
      <c r="H2" s="78"/>
      <c r="I2" s="78"/>
      <c r="J2" s="78"/>
      <c r="K2" s="78"/>
      <c r="L2" s="78"/>
      <c r="M2" s="78"/>
      <c r="N2" s="78"/>
      <c r="O2" s="78"/>
      <c r="P2" s="78"/>
      <c r="Q2" s="78"/>
      <c r="R2" s="78"/>
      <c r="S2" s="78"/>
      <c r="T2" s="78"/>
      <c r="U2" s="78"/>
      <c r="V2" s="78"/>
      <c r="W2" s="78"/>
      <c r="X2" s="78"/>
      <c r="Y2" s="78"/>
      <c r="Z2" s="78"/>
      <c r="AA2" s="78"/>
      <c r="AB2" s="78"/>
      <c r="AC2" s="78"/>
      <c r="AD2" s="78"/>
      <c r="AE2" s="78"/>
      <c r="AF2" s="78"/>
      <c r="AG2" s="78"/>
      <c r="AH2" s="78"/>
      <c r="AI2" s="77">
        <f>IF(COUNTIF($A$2:$AH$2,"&lt;&gt;")=0,"🔍 SEARCH - nothing typed yet, all 37 rows are shown.   ·   type in any yellow box above a column, or pick from its dropdown: every column is searched, the boxes are ANDed together, (blank)/(nonblank) and * / ? work as usual","🔍 MATCHED "&amp;SUM($BT$4:$BT$40)&amp;" of 37 row(s)   ·   the rows that miss are greyed out, nothing is hidden and the totals still cover all 37   ·   clear a box to widen the dropdowns again")</f>
      </c>
    </row>
    <row r="3" ht="57.75" customHeight="1" s="13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Payment Status</t>
        </is>
      </c>
      <c r="AF3" s="6" t="inlineStr">
        <is>
          <t xml:space="preserve">Invoice No. </t>
        </is>
      </c>
      <c r="AG3" s="6" t="inlineStr">
        <is>
          <t>SAP Document</t>
        </is>
      </c>
      <c r="AH3" s="9" t="inlineStr">
        <is>
          <t>Doc./Invoice Date</t>
        </is>
      </c>
    </row>
    <row r="4" ht="39" customHeight="1" s="13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IF(IF(OR(AB4="",AB4=0),TODAY(),DATE(VALUE(RIGHT(AB4,4)),VALUE(MID(AB4,4,2)),VALUE(LEFT(AB4,2))))&lt;=DATE(2026,8,24),0,H4*0.0118*CEILING((IF(OR(AB4="",AB4=0),TODAY(),DATE(VALUE(RIGHT(AB4,4)),VALUE(MID(AB4,4,2)),VALUE(LEFT(AB4,2))))-DATE(2026,8,22))/7,1))</f>
        <v/>
      </c>
      <c r="AA4" s="15" t="n"/>
      <c r="AB4" s="15" t="n"/>
      <c r="AC4" s="15">
        <f>U4+X4+AA4</f>
        <v/>
      </c>
      <c r="AD4" s="19">
        <f>S4-AC4</f>
        <v/>
      </c>
      <c r="AE4" s="20">
        <f>IF(AD4="","",IF(AD4&lt;=5,"SETTLED","OUTSTANDING"))</f>
        <v/>
      </c>
      <c r="AF4" s="20" t="inlineStr">
        <is>
          <t>DR2640100029</t>
        </is>
      </c>
      <c r="AG4" s="21" t="n">
        <v>1800003271</v>
      </c>
      <c r="AH4" s="22" t="inlineStr">
        <is>
          <t>24.08.2026</t>
        </is>
      </c>
      <c r="AL4" s="137">
        <f>IF($A$2="",1,IF($A$2="(blank)",--(A4=""),IF($A$2="(nonblank)",--(A4&lt;&gt;""),--ISNUMBER(SEARCH($A$2,A4)))))</f>
      </c>
      <c r="AM4" s="137">
        <f>IF($B$2="",1,IF($B$2="(blank)",--(B4=""),IF($B$2="(nonblank)",--(B4&lt;&gt;""),--ISNUMBER(SEARCH($B$2,B4)))))</f>
      </c>
      <c r="AN4" s="137">
        <f>IF($C$2="",1,IF($C$2="(blank)",--(C4=""),IF($C$2="(nonblank)",--(C4&lt;&gt;""),--ISNUMBER(SEARCH($C$2,C4)))))</f>
      </c>
      <c r="AO4" s="137">
        <f>IF($D$2="",1,IF($D$2="(blank)",--(D4=""),IF($D$2="(nonblank)",--(D4&lt;&gt;""),--ISNUMBER(SEARCH($D$2,D4)))))</f>
      </c>
      <c r="AP4" s="137">
        <f>IF($E$2="",1,IF($E$2="(blank)",--(E4=""),IF($E$2="(nonblank)",--(E4&lt;&gt;""),--ISNUMBER(SEARCH($E$2,E4)))))</f>
      </c>
      <c r="AQ4" s="137">
        <f>IF($F$2="",1,IF($F$2="(blank)",--(F4=""),IF($F$2="(nonblank)",--(F4&lt;&gt;""),--ISNUMBER(SEARCH($F$2,F4)))))</f>
      </c>
      <c r="AR4" s="137">
        <f>IF($G$2="",1,IF($G$2="(blank)",--(G4=""),IF($G$2="(nonblank)",--(G4&lt;&gt;""),--ISNUMBER(SEARCH($G$2,G4)))))</f>
      </c>
      <c r="AS4" s="137">
        <f>IF($H$2="",1,IF($H$2="(blank)",--(H4=""),IF($H$2="(nonblank)",--(H4&lt;&gt;""),--ISNUMBER(SEARCH($H$2,H4)))))</f>
      </c>
      <c r="AT4" s="137">
        <f>IF($I$2="",1,IF($I$2="(blank)",--(I4=""),IF($I$2="(nonblank)",--(I4&lt;&gt;""),--ISNUMBER(SEARCH($I$2,I4)))))</f>
      </c>
      <c r="AU4" s="137">
        <f>IF($J$2="",1,IF($J$2="(blank)",--(J4=""),IF($J$2="(nonblank)",--(J4&lt;&gt;""),--ISNUMBER(SEARCH($J$2,J4)))))</f>
      </c>
      <c r="AV4" s="137">
        <f>IF($K$2="",1,IF($K$2="(blank)",--(K4=""),IF($K$2="(nonblank)",--(K4&lt;&gt;""),--ISNUMBER(SEARCH($K$2,K4)))))</f>
      </c>
      <c r="AW4" s="137">
        <f>IF($L$2="",1,IF($L$2="(blank)",--(L4=""),IF($L$2="(nonblank)",--(L4&lt;&gt;""),--ISNUMBER(SEARCH($L$2,L4)))))</f>
      </c>
      <c r="AX4" s="137">
        <f>IF($M$2="",1,IF($M$2="(blank)",--(M4=""),IF($M$2="(nonblank)",--(M4&lt;&gt;""),--ISNUMBER(SEARCH($M$2,M4)))))</f>
      </c>
      <c r="AY4" s="137">
        <f>IF($N$2="",1,IF($N$2="(blank)",--(N4=""),IF($N$2="(nonblank)",--(N4&lt;&gt;""),--ISNUMBER(SEARCH($N$2,N4)))))</f>
      </c>
      <c r="AZ4" s="137">
        <f>IF($O$2="",1,IF($O$2="(blank)",--(O4=""),IF($O$2="(nonblank)",--(O4&lt;&gt;""),--ISNUMBER(SEARCH($O$2,O4)))))</f>
      </c>
      <c r="BA4" s="137">
        <f>IF($P$2="",1,IF($P$2="(blank)",--(P4=""),IF($P$2="(nonblank)",--(P4&lt;&gt;""),--ISNUMBER(SEARCH($P$2,P4)))))</f>
      </c>
      <c r="BB4" s="137">
        <f>IF($Q$2="",1,IF($Q$2="(blank)",--(Q4=""),IF($Q$2="(nonblank)",--(Q4&lt;&gt;""),--ISNUMBER(SEARCH($Q$2,Q4)))))</f>
      </c>
      <c r="BC4" s="137">
        <f>IF($R$2="",1,IF($R$2="(blank)",--(R4=""),IF($R$2="(nonblank)",--(R4&lt;&gt;""),--ISNUMBER(SEARCH($R$2,R4)))))</f>
      </c>
      <c r="BD4" s="137">
        <f>IF($S$2="",1,IF($S$2="(blank)",--(S4=""),IF($S$2="(nonblank)",--(S4&lt;&gt;""),--ISNUMBER(SEARCH($S$2,S4)))))</f>
      </c>
      <c r="BE4" s="137">
        <f>IF($T$2="",1,IF($T$2="(blank)",--(T4=""),IF($T$2="(nonblank)",--(T4&lt;&gt;""),--ISNUMBER(SEARCH($T$2,T4)))))</f>
      </c>
      <c r="BF4" s="137">
        <f>IF($U$2="",1,IF($U$2="(blank)",--(U4=""),IF($U$2="(nonblank)",--(U4&lt;&gt;""),--ISNUMBER(SEARCH($U$2,U4)))))</f>
      </c>
      <c r="BG4" s="137">
        <f>IF($V$2="",1,IF($V$2="(blank)",--(V4=""),IF($V$2="(nonblank)",--(V4&lt;&gt;""),--ISNUMBER(SEARCH($V$2,V4)))))</f>
      </c>
      <c r="BH4" s="137">
        <f>IF($W$2="",1,IF($W$2="(blank)",--(W4=""),IF($W$2="(nonblank)",--(W4&lt;&gt;""),--ISNUMBER(SEARCH($W$2,W4)))))</f>
      </c>
      <c r="BI4" s="137">
        <f>IF($X$2="",1,IF($X$2="(blank)",--(X4=""),IF($X$2="(nonblank)",--(X4&lt;&gt;""),--ISNUMBER(SEARCH($X$2,X4)))))</f>
      </c>
      <c r="BJ4" s="137">
        <f>IF($Y$2="",1,IF($Y$2="(blank)",--(Y4=""),IF($Y$2="(nonblank)",--(Y4&lt;&gt;""),--ISNUMBER(SEARCH($Y$2,Y4)))))</f>
      </c>
      <c r="BK4" s="137">
        <f>IF($Z$2="",1,IF($Z$2="(blank)",--(Z4=""),IF($Z$2="(nonblank)",--(Z4&lt;&gt;""),--ISNUMBER(SEARCH($Z$2,Z4)))))</f>
      </c>
      <c r="BL4" s="137">
        <f>IF($AA$2="",1,IF($AA$2="(blank)",--(AA4=""),IF($AA$2="(nonblank)",--(AA4&lt;&gt;""),--ISNUMBER(SEARCH($AA$2,AA4)))))</f>
      </c>
      <c r="BM4" s="137">
        <f>IF($AB$2="",1,IF($AB$2="(blank)",--(AB4=""),IF($AB$2="(nonblank)",--(AB4&lt;&gt;""),--ISNUMBER(SEARCH($AB$2,AB4)))))</f>
      </c>
      <c r="BN4" s="137">
        <f>IF($AC$2="",1,IF($AC$2="(blank)",--(AC4=""),IF($AC$2="(nonblank)",--(AC4&lt;&gt;""),--ISNUMBER(SEARCH($AC$2,AC4)))))</f>
      </c>
      <c r="BO4" s="137">
        <f>IF($AD$2="",1,IF($AD$2="(blank)",--(AD4=""),IF($AD$2="(nonblank)",--(AD4&lt;&gt;""),--ISNUMBER(SEARCH($AD$2,AD4)))))</f>
      </c>
      <c r="BP4" s="137">
        <f>IF($AE$2="",1,IF($AE$2="(blank)",--(AE4=""),IF($AE$2="(nonblank)",--(AE4&lt;&gt;""),--ISNUMBER(SEARCH($AE$2,AE4)))))</f>
      </c>
      <c r="BQ4" s="137">
        <f>IF($AF$2="",1,IF($AF$2="(blank)",--(AF4=""),IF($AF$2="(nonblank)",--(AF4&lt;&gt;""),--ISNUMBER(SEARCH($AF$2,AF4)))))</f>
      </c>
      <c r="BR4" s="137">
        <f>IF($AG$2="",1,IF($AG$2="(blank)",--(AG4=""),IF($AG$2="(nonblank)",--(AG4&lt;&gt;""),--ISNUMBER(SEARCH($AG$2,AG4)))))</f>
      </c>
      <c r="BS4" s="137">
        <f>IF($AH$2="",1,IF($AH$2="(blank)",--(AH4=""),IF($AH$2="(nonblank)",--(AH4&lt;&gt;""),--ISNUMBER(SEARCH($AH$2,AH4)))))</f>
      </c>
      <c r="BT4" s="137">
        <f>IF(COUNTIF($AL4:$BS4,0)&gt;0,0,1)</f>
      </c>
    </row>
    <row r="5" ht="14.25" customHeight="1" s="137">
      <c r="A5" s="148" t="n">
        <v>270</v>
      </c>
      <c r="B5" s="149" t="inlineStr">
        <is>
          <t>Scrap of Empty oil drum</t>
        </is>
      </c>
      <c r="C5" s="150" t="n">
        <v>580</v>
      </c>
      <c r="D5" s="151" t="n">
        <v>21977</v>
      </c>
      <c r="E5" s="151" t="inlineStr">
        <is>
          <t>NO</t>
        </is>
      </c>
      <c r="F5" s="151" t="n">
        <v>1874</v>
      </c>
      <c r="G5" s="149" t="inlineStr">
        <is>
          <t>NATIONAL ENTERPRISES</t>
        </is>
      </c>
      <c r="H5" s="152" t="n">
        <v>156600</v>
      </c>
      <c r="I5" s="152">
        <f>ROUND(H5*18%,0)</f>
        <v/>
      </c>
      <c r="J5" s="152">
        <f>+H5+I5</f>
        <v/>
      </c>
      <c r="K5" s="152">
        <f>ROUND((H5+I5)*2%,0)</f>
        <v/>
      </c>
      <c r="L5" s="153">
        <f>H5*0.1%</f>
        <v/>
      </c>
      <c r="M5" s="153">
        <f>H5*2.25%*118%</f>
        <v/>
      </c>
      <c r="N5" s="154">
        <f>H5*2.25%*2%</f>
        <v/>
      </c>
      <c r="O5" s="153">
        <f>M5-N5</f>
        <v/>
      </c>
      <c r="P5" s="153">
        <f>ROUND(O5+L5,0)</f>
        <v/>
      </c>
      <c r="Q5" s="155" t="n">
        <v>0</v>
      </c>
      <c r="R5" s="153">
        <f>ROUND(H5*Q5,0)</f>
        <v/>
      </c>
      <c r="S5" s="152">
        <f>ROUND(H5*117.65%-R5,0)</f>
        <v/>
      </c>
      <c r="T5" s="153">
        <f>ROUND(H5*25%,0)</f>
        <v/>
      </c>
      <c r="U5" s="156">
        <f>+T5</f>
        <v/>
      </c>
      <c r="V5" s="153" t="inlineStr">
        <is>
          <t>13.08.2026</t>
        </is>
      </c>
      <c r="W5" s="153">
        <f>ROUND(H5*92.65%-R5,0)</f>
        <v/>
      </c>
      <c r="X5" s="153" t="n">
        <v>145090</v>
      </c>
      <c r="Y5" s="153" t="inlineStr">
        <is>
          <t>24.08.2026</t>
        </is>
      </c>
      <c r="Z5" s="153">
        <f>IF(IF(OR(AB5="",AB5=0),TODAY(),DATE(VALUE(RIGHT(AB5,4)),VALUE(MID(AB5,4,2)),VALUE(LEFT(AB5,2))))&lt;=DATE(2026,8,24),0,H5*0.0118*CEILING((IF(OR(AB5="",AB5=0),TODAY(),DATE(VALUE(RIGHT(AB5,4)),VALUE(MID(AB5,4,2)),VALUE(LEFT(AB5,2))))-DATE(2026,8,22))/7,1))</f>
        <v/>
      </c>
      <c r="AA5" s="153" t="n"/>
      <c r="AB5" s="153" t="n"/>
      <c r="AC5" s="157">
        <f>U5+X5+AA5</f>
        <v/>
      </c>
      <c r="AD5" s="157">
        <f>S5-AC5</f>
        <v/>
      </c>
      <c r="AE5" s="153">
        <f>IF(AD5="","",IF(AD5&lt;=5,"SETTLED","OUTSTANDING"))</f>
        <v/>
      </c>
      <c r="AF5" s="153" t="inlineStr">
        <is>
          <t>DR2640100030</t>
        </is>
      </c>
      <c r="AG5" s="158" t="n">
        <v>1800003302</v>
      </c>
      <c r="AH5" s="159" t="inlineStr">
        <is>
          <t>27.08.2026</t>
        </is>
      </c>
      <c r="AL5" s="137">
        <f>IF($A$2="",1,IF($A$2="(blank)",--(A5=""),IF($A$2="(nonblank)",--(A5&lt;&gt;""),--ISNUMBER(SEARCH($A$2,A5)))))</f>
      </c>
      <c r="AM5" s="137">
        <f>IF($B$2="",1,IF($B$2="(blank)",--(B5=""),IF($B$2="(nonblank)",--(B5&lt;&gt;""),--ISNUMBER(SEARCH($B$2,B5)))))</f>
      </c>
      <c r="AN5" s="137">
        <f>IF($C$2="",1,IF($C$2="(blank)",--(C5=""),IF($C$2="(nonblank)",--(C5&lt;&gt;""),--ISNUMBER(SEARCH($C$2,C5)))))</f>
      </c>
      <c r="AO5" s="137">
        <f>IF($D$2="",1,IF($D$2="(blank)",--(D5=""),IF($D$2="(nonblank)",--(D5&lt;&gt;""),--ISNUMBER(SEARCH($D$2,D5)))))</f>
      </c>
      <c r="AP5" s="137">
        <f>IF($E$2="",1,IF($E$2="(blank)",--(E5=""),IF($E$2="(nonblank)",--(E5&lt;&gt;""),--ISNUMBER(SEARCH($E$2,E5)))))</f>
      </c>
      <c r="AQ5" s="137">
        <f>IF($F$2="",1,IF($F$2="(blank)",--(F5=""),IF($F$2="(nonblank)",--(F5&lt;&gt;""),--ISNUMBER(SEARCH($F$2,F5)))))</f>
      </c>
      <c r="AR5" s="137">
        <f>IF($G$2="",1,IF($G$2="(blank)",--(G5=""),IF($G$2="(nonblank)",--(G5&lt;&gt;""),--ISNUMBER(SEARCH($G$2,G5)))))</f>
      </c>
      <c r="AS5" s="137">
        <f>IF($H$2="",1,IF($H$2="(blank)",--(H5=""),IF($H$2="(nonblank)",--(H5&lt;&gt;""),--ISNUMBER(SEARCH($H$2,H5)))))</f>
      </c>
      <c r="AT5" s="137">
        <f>IF($I$2="",1,IF($I$2="(blank)",--(I5=""),IF($I$2="(nonblank)",--(I5&lt;&gt;""),--ISNUMBER(SEARCH($I$2,I5)))))</f>
      </c>
      <c r="AU5" s="137">
        <f>IF($J$2="",1,IF($J$2="(blank)",--(J5=""),IF($J$2="(nonblank)",--(J5&lt;&gt;""),--ISNUMBER(SEARCH($J$2,J5)))))</f>
      </c>
      <c r="AV5" s="137">
        <f>IF($K$2="",1,IF($K$2="(blank)",--(K5=""),IF($K$2="(nonblank)",--(K5&lt;&gt;""),--ISNUMBER(SEARCH($K$2,K5)))))</f>
      </c>
      <c r="AW5" s="137">
        <f>IF($L$2="",1,IF($L$2="(blank)",--(L5=""),IF($L$2="(nonblank)",--(L5&lt;&gt;""),--ISNUMBER(SEARCH($L$2,L5)))))</f>
      </c>
      <c r="AX5" s="137">
        <f>IF($M$2="",1,IF($M$2="(blank)",--(M5=""),IF($M$2="(nonblank)",--(M5&lt;&gt;""),--ISNUMBER(SEARCH($M$2,M5)))))</f>
      </c>
      <c r="AY5" s="137">
        <f>IF($N$2="",1,IF($N$2="(blank)",--(N5=""),IF($N$2="(nonblank)",--(N5&lt;&gt;""),--ISNUMBER(SEARCH($N$2,N5)))))</f>
      </c>
      <c r="AZ5" s="137">
        <f>IF($O$2="",1,IF($O$2="(blank)",--(O5=""),IF($O$2="(nonblank)",--(O5&lt;&gt;""),--ISNUMBER(SEARCH($O$2,O5)))))</f>
      </c>
      <c r="BA5" s="137">
        <f>IF($P$2="",1,IF($P$2="(blank)",--(P5=""),IF($P$2="(nonblank)",--(P5&lt;&gt;""),--ISNUMBER(SEARCH($P$2,P5)))))</f>
      </c>
      <c r="BB5" s="137">
        <f>IF($Q$2="",1,IF($Q$2="(blank)",--(Q5=""),IF($Q$2="(nonblank)",--(Q5&lt;&gt;""),--ISNUMBER(SEARCH($Q$2,Q5)))))</f>
      </c>
      <c r="BC5" s="137">
        <f>IF($R$2="",1,IF($R$2="(blank)",--(R5=""),IF($R$2="(nonblank)",--(R5&lt;&gt;""),--ISNUMBER(SEARCH($R$2,R5)))))</f>
      </c>
      <c r="BD5" s="137">
        <f>IF($S$2="",1,IF($S$2="(blank)",--(S5=""),IF($S$2="(nonblank)",--(S5&lt;&gt;""),--ISNUMBER(SEARCH($S$2,S5)))))</f>
      </c>
      <c r="BE5" s="137">
        <f>IF($T$2="",1,IF($T$2="(blank)",--(T5=""),IF($T$2="(nonblank)",--(T5&lt;&gt;""),--ISNUMBER(SEARCH($T$2,T5)))))</f>
      </c>
      <c r="BF5" s="137">
        <f>IF($U$2="",1,IF($U$2="(blank)",--(U5=""),IF($U$2="(nonblank)",--(U5&lt;&gt;""),--ISNUMBER(SEARCH($U$2,U5)))))</f>
      </c>
      <c r="BG5" s="137">
        <f>IF($V$2="",1,IF($V$2="(blank)",--(V5=""),IF($V$2="(nonblank)",--(V5&lt;&gt;""),--ISNUMBER(SEARCH($V$2,V5)))))</f>
      </c>
      <c r="BH5" s="137">
        <f>IF($W$2="",1,IF($W$2="(blank)",--(W5=""),IF($W$2="(nonblank)",--(W5&lt;&gt;""),--ISNUMBER(SEARCH($W$2,W5)))))</f>
      </c>
      <c r="BI5" s="137">
        <f>IF($X$2="",1,IF($X$2="(blank)",--(X5=""),IF($X$2="(nonblank)",--(X5&lt;&gt;""),--ISNUMBER(SEARCH($X$2,X5)))))</f>
      </c>
      <c r="BJ5" s="137">
        <f>IF($Y$2="",1,IF($Y$2="(blank)",--(Y5=""),IF($Y$2="(nonblank)",--(Y5&lt;&gt;""),--ISNUMBER(SEARCH($Y$2,Y5)))))</f>
      </c>
      <c r="BK5" s="137">
        <f>IF($Z$2="",1,IF($Z$2="(blank)",--(Z5=""),IF($Z$2="(nonblank)",--(Z5&lt;&gt;""),--ISNUMBER(SEARCH($Z$2,Z5)))))</f>
      </c>
      <c r="BL5" s="137">
        <f>IF($AA$2="",1,IF($AA$2="(blank)",--(AA5=""),IF($AA$2="(nonblank)",--(AA5&lt;&gt;""),--ISNUMBER(SEARCH($AA$2,AA5)))))</f>
      </c>
      <c r="BM5" s="137">
        <f>IF($AB$2="",1,IF($AB$2="(blank)",--(AB5=""),IF($AB$2="(nonblank)",--(AB5&lt;&gt;""),--ISNUMBER(SEARCH($AB$2,AB5)))))</f>
      </c>
      <c r="BN5" s="137">
        <f>IF($AC$2="",1,IF($AC$2="(blank)",--(AC5=""),IF($AC$2="(nonblank)",--(AC5&lt;&gt;""),--ISNUMBER(SEARCH($AC$2,AC5)))))</f>
      </c>
      <c r="BO5" s="137">
        <f>IF($AD$2="",1,IF($AD$2="(blank)",--(AD5=""),IF($AD$2="(nonblank)",--(AD5&lt;&gt;""),--ISNUMBER(SEARCH($AD$2,AD5)))))</f>
      </c>
      <c r="BP5" s="137">
        <f>IF($AE$2="",1,IF($AE$2="(blank)",--(AE5=""),IF($AE$2="(nonblank)",--(AE5&lt;&gt;""),--ISNUMBER(SEARCH($AE$2,AE5)))))</f>
      </c>
      <c r="BQ5" s="137">
        <f>IF($AF$2="",1,IF($AF$2="(blank)",--(AF5=""),IF($AF$2="(nonblank)",--(AF5&lt;&gt;""),--ISNUMBER(SEARCH($AF$2,AF5)))))</f>
      </c>
      <c r="BR5" s="137">
        <f>IF($AG$2="",1,IF($AG$2="(blank)",--(AG5=""),IF($AG$2="(nonblank)",--(AG5&lt;&gt;""),--ISNUMBER(SEARCH($AG$2,AG5)))))</f>
      </c>
      <c r="BS5" s="137">
        <f>IF($AH$2="",1,IF($AH$2="(blank)",--(AH5=""),IF($AH$2="(nonblank)",--(AH5&lt;&gt;""),--ISNUMBER(SEARCH($AH$2,AH5)))))</f>
      </c>
      <c r="BT5" s="137">
        <f>IF(COUNTIF($AL5:$BS5,0)&gt;0,0,1)</f>
      </c>
    </row>
    <row r="6" ht="26.25" customHeight="1" s="13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IF(IF(OR(AB6="",AB6=0),TODAY(),DATE(VALUE(RIGHT(AB6,4)),VALUE(MID(AB6,4,2)),VALUE(LEFT(AB6,2))))&lt;=DATE(2026,8,24),0,H6*0.0118*CEILING((IF(OR(AB6="",AB6=0),TODAY(),DATE(VALUE(RIGHT(AB6,4)),VALUE(MID(AB6,4,2)),VALUE(LEFT(AB6,2))))-DATE(2026,8,22))/7,1))</f>
        <v/>
      </c>
      <c r="AA6" s="28" t="n"/>
      <c r="AB6" s="28" t="n"/>
      <c r="AC6" s="15">
        <f>U6+X6+AA6</f>
        <v/>
      </c>
      <c r="AD6" s="19">
        <f>S6-AC6</f>
        <v/>
      </c>
      <c r="AE6" s="20">
        <f>IF(AD6="","",IF(AD6&lt;=5,"SETTLED","OUTSTANDING"))</f>
        <v/>
      </c>
      <c r="AF6" s="20" t="inlineStr">
        <is>
          <t>DR2640100047</t>
        </is>
      </c>
      <c r="AG6" s="21" t="n">
        <v>1800003346</v>
      </c>
      <c r="AH6" s="22" t="inlineStr">
        <is>
          <t>27.08.2026</t>
        </is>
      </c>
      <c r="AL6" s="137">
        <f>IF($A$2="",1,IF($A$2="(blank)",--(A6=""),IF($A$2="(nonblank)",--(A6&lt;&gt;""),--ISNUMBER(SEARCH($A$2,A6)))))</f>
      </c>
      <c r="AM6" s="137">
        <f>IF($B$2="",1,IF($B$2="(blank)",--(B6=""),IF($B$2="(nonblank)",--(B6&lt;&gt;""),--ISNUMBER(SEARCH($B$2,B6)))))</f>
      </c>
      <c r="AN6" s="137">
        <f>IF($C$2="",1,IF($C$2="(blank)",--(C6=""),IF($C$2="(nonblank)",--(C6&lt;&gt;""),--ISNUMBER(SEARCH($C$2,C6)))))</f>
      </c>
      <c r="AO6" s="137">
        <f>IF($D$2="",1,IF($D$2="(blank)",--(D6=""),IF($D$2="(nonblank)",--(D6&lt;&gt;""),--ISNUMBER(SEARCH($D$2,D6)))))</f>
      </c>
      <c r="AP6" s="137">
        <f>IF($E$2="",1,IF($E$2="(blank)",--(E6=""),IF($E$2="(nonblank)",--(E6&lt;&gt;""),--ISNUMBER(SEARCH($E$2,E6)))))</f>
      </c>
      <c r="AQ6" s="137">
        <f>IF($F$2="",1,IF($F$2="(blank)",--(F6=""),IF($F$2="(nonblank)",--(F6&lt;&gt;""),--ISNUMBER(SEARCH($F$2,F6)))))</f>
      </c>
      <c r="AR6" s="137">
        <f>IF($G$2="",1,IF($G$2="(blank)",--(G6=""),IF($G$2="(nonblank)",--(G6&lt;&gt;""),--ISNUMBER(SEARCH($G$2,G6)))))</f>
      </c>
      <c r="AS6" s="137">
        <f>IF($H$2="",1,IF($H$2="(blank)",--(H6=""),IF($H$2="(nonblank)",--(H6&lt;&gt;""),--ISNUMBER(SEARCH($H$2,H6)))))</f>
      </c>
      <c r="AT6" s="137">
        <f>IF($I$2="",1,IF($I$2="(blank)",--(I6=""),IF($I$2="(nonblank)",--(I6&lt;&gt;""),--ISNUMBER(SEARCH($I$2,I6)))))</f>
      </c>
      <c r="AU6" s="137">
        <f>IF($J$2="",1,IF($J$2="(blank)",--(J6=""),IF($J$2="(nonblank)",--(J6&lt;&gt;""),--ISNUMBER(SEARCH($J$2,J6)))))</f>
      </c>
      <c r="AV6" s="137">
        <f>IF($K$2="",1,IF($K$2="(blank)",--(K6=""),IF($K$2="(nonblank)",--(K6&lt;&gt;""),--ISNUMBER(SEARCH($K$2,K6)))))</f>
      </c>
      <c r="AW6" s="137">
        <f>IF($L$2="",1,IF($L$2="(blank)",--(L6=""),IF($L$2="(nonblank)",--(L6&lt;&gt;""),--ISNUMBER(SEARCH($L$2,L6)))))</f>
      </c>
      <c r="AX6" s="137">
        <f>IF($M$2="",1,IF($M$2="(blank)",--(M6=""),IF($M$2="(nonblank)",--(M6&lt;&gt;""),--ISNUMBER(SEARCH($M$2,M6)))))</f>
      </c>
      <c r="AY6" s="137">
        <f>IF($N$2="",1,IF($N$2="(blank)",--(N6=""),IF($N$2="(nonblank)",--(N6&lt;&gt;""),--ISNUMBER(SEARCH($N$2,N6)))))</f>
      </c>
      <c r="AZ6" s="137">
        <f>IF($O$2="",1,IF($O$2="(blank)",--(O6=""),IF($O$2="(nonblank)",--(O6&lt;&gt;""),--ISNUMBER(SEARCH($O$2,O6)))))</f>
      </c>
      <c r="BA6" s="137">
        <f>IF($P$2="",1,IF($P$2="(blank)",--(P6=""),IF($P$2="(nonblank)",--(P6&lt;&gt;""),--ISNUMBER(SEARCH($P$2,P6)))))</f>
      </c>
      <c r="BB6" s="137">
        <f>IF($Q$2="",1,IF($Q$2="(blank)",--(Q6=""),IF($Q$2="(nonblank)",--(Q6&lt;&gt;""),--ISNUMBER(SEARCH($Q$2,Q6)))))</f>
      </c>
      <c r="BC6" s="137">
        <f>IF($R$2="",1,IF($R$2="(blank)",--(R6=""),IF($R$2="(nonblank)",--(R6&lt;&gt;""),--ISNUMBER(SEARCH($R$2,R6)))))</f>
      </c>
      <c r="BD6" s="137">
        <f>IF($S$2="",1,IF($S$2="(blank)",--(S6=""),IF($S$2="(nonblank)",--(S6&lt;&gt;""),--ISNUMBER(SEARCH($S$2,S6)))))</f>
      </c>
      <c r="BE6" s="137">
        <f>IF($T$2="",1,IF($T$2="(blank)",--(T6=""),IF($T$2="(nonblank)",--(T6&lt;&gt;""),--ISNUMBER(SEARCH($T$2,T6)))))</f>
      </c>
      <c r="BF6" s="137">
        <f>IF($U$2="",1,IF($U$2="(blank)",--(U6=""),IF($U$2="(nonblank)",--(U6&lt;&gt;""),--ISNUMBER(SEARCH($U$2,U6)))))</f>
      </c>
      <c r="BG6" s="137">
        <f>IF($V$2="",1,IF($V$2="(blank)",--(V6=""),IF($V$2="(nonblank)",--(V6&lt;&gt;""),--ISNUMBER(SEARCH($V$2,V6)))))</f>
      </c>
      <c r="BH6" s="137">
        <f>IF($W$2="",1,IF($W$2="(blank)",--(W6=""),IF($W$2="(nonblank)",--(W6&lt;&gt;""),--ISNUMBER(SEARCH($W$2,W6)))))</f>
      </c>
      <c r="BI6" s="137">
        <f>IF($X$2="",1,IF($X$2="(blank)",--(X6=""),IF($X$2="(nonblank)",--(X6&lt;&gt;""),--ISNUMBER(SEARCH($X$2,X6)))))</f>
      </c>
      <c r="BJ6" s="137">
        <f>IF($Y$2="",1,IF($Y$2="(blank)",--(Y6=""),IF($Y$2="(nonblank)",--(Y6&lt;&gt;""),--ISNUMBER(SEARCH($Y$2,Y6)))))</f>
      </c>
      <c r="BK6" s="137">
        <f>IF($Z$2="",1,IF($Z$2="(blank)",--(Z6=""),IF($Z$2="(nonblank)",--(Z6&lt;&gt;""),--ISNUMBER(SEARCH($Z$2,Z6)))))</f>
      </c>
      <c r="BL6" s="137">
        <f>IF($AA$2="",1,IF($AA$2="(blank)",--(AA6=""),IF($AA$2="(nonblank)",--(AA6&lt;&gt;""),--ISNUMBER(SEARCH($AA$2,AA6)))))</f>
      </c>
      <c r="BM6" s="137">
        <f>IF($AB$2="",1,IF($AB$2="(blank)",--(AB6=""),IF($AB$2="(nonblank)",--(AB6&lt;&gt;""),--ISNUMBER(SEARCH($AB$2,AB6)))))</f>
      </c>
      <c r="BN6" s="137">
        <f>IF($AC$2="",1,IF($AC$2="(blank)",--(AC6=""),IF($AC$2="(nonblank)",--(AC6&lt;&gt;""),--ISNUMBER(SEARCH($AC$2,AC6)))))</f>
      </c>
      <c r="BO6" s="137">
        <f>IF($AD$2="",1,IF($AD$2="(blank)",--(AD6=""),IF($AD$2="(nonblank)",--(AD6&lt;&gt;""),--ISNUMBER(SEARCH($AD$2,AD6)))))</f>
      </c>
      <c r="BP6" s="137">
        <f>IF($AE$2="",1,IF($AE$2="(blank)",--(AE6=""),IF($AE$2="(nonblank)",--(AE6&lt;&gt;""),--ISNUMBER(SEARCH($AE$2,AE6)))))</f>
      </c>
      <c r="BQ6" s="137">
        <f>IF($AF$2="",1,IF($AF$2="(blank)",--(AF6=""),IF($AF$2="(nonblank)",--(AF6&lt;&gt;""),--ISNUMBER(SEARCH($AF$2,AF6)))))</f>
      </c>
      <c r="BR6" s="137">
        <f>IF($AG$2="",1,IF($AG$2="(blank)",--(AG6=""),IF($AG$2="(nonblank)",--(AG6&lt;&gt;""),--ISNUMBER(SEARCH($AG$2,AG6)))))</f>
      </c>
      <c r="BS6" s="137">
        <f>IF($AH$2="",1,IF($AH$2="(blank)",--(AH6=""),IF($AH$2="(nonblank)",--(AH6&lt;&gt;""),--ISNUMBER(SEARCH($AH$2,AH6)))))</f>
      </c>
      <c r="BT6" s="137">
        <f>IF(COUNTIF($AL6:$BS6,0)&gt;0,0,1)</f>
      </c>
    </row>
    <row r="7" ht="39" customHeight="1" s="137">
      <c r="A7" s="148" t="n">
        <v>3000</v>
      </c>
      <c r="B7" s="149" t="inlineStr">
        <is>
          <t>Scrap of MS (extracted from equip cage and empty Sf6 gas cylinder)</t>
        </is>
      </c>
      <c r="C7" s="150" t="n">
        <v>66</v>
      </c>
      <c r="D7" s="151" t="n">
        <v>21977</v>
      </c>
      <c r="E7" s="151" t="inlineStr">
        <is>
          <t>KG</t>
        </is>
      </c>
      <c r="F7" s="151" t="n">
        <v>1876</v>
      </c>
      <c r="G7" s="149" t="inlineStr">
        <is>
          <t>F R KHANS ENTERPRISES</t>
        </is>
      </c>
      <c r="H7" s="152" t="n">
        <v>198000</v>
      </c>
      <c r="I7" s="152">
        <f>ROUND(H7*18%,0)</f>
        <v/>
      </c>
      <c r="J7" s="152">
        <f>+H7+I7</f>
        <v/>
      </c>
      <c r="K7" s="152">
        <f>ROUND((H7+I7)*2%,0)</f>
        <v/>
      </c>
      <c r="L7" s="153">
        <f>H7*0.1%</f>
        <v/>
      </c>
      <c r="M7" s="153">
        <f>H7*2.25%*118%</f>
        <v/>
      </c>
      <c r="N7" s="154">
        <f>H7*2.25%*2%</f>
        <v/>
      </c>
      <c r="O7" s="153">
        <f>M7-N7</f>
        <v/>
      </c>
      <c r="P7" s="153">
        <f>ROUND(O7+L7,0)</f>
        <v/>
      </c>
      <c r="Q7" s="155" t="n">
        <v>0</v>
      </c>
      <c r="R7" s="153">
        <f>ROUND(H7*Q7,0)</f>
        <v/>
      </c>
      <c r="S7" s="152">
        <f>ROUND(H7*117.65%-R7,0)</f>
        <v/>
      </c>
      <c r="T7" s="153">
        <f>ROUND(H7*25%,0)</f>
        <v/>
      </c>
      <c r="U7" s="156" t="n">
        <v>49500</v>
      </c>
      <c r="V7" s="153" t="inlineStr">
        <is>
          <t>11.08.2026</t>
        </is>
      </c>
      <c r="W7" s="153">
        <f>ROUND(H7*92.65%-R7,0)</f>
        <v/>
      </c>
      <c r="X7" s="153">
        <f>+W7+R7-1</f>
        <v/>
      </c>
      <c r="Y7" s="153" t="inlineStr">
        <is>
          <t>20.08.2026</t>
        </is>
      </c>
      <c r="Z7" s="153">
        <f>IF(IF(OR(AB7="",AB7=0),TODAY(),DATE(VALUE(RIGHT(AB7,4)),VALUE(MID(AB7,4,2)),VALUE(LEFT(AB7,2))))&lt;=DATE(2026,8,24),0,H7*0.0118*CEILING((IF(OR(AB7="",AB7=0),TODAY(),DATE(VALUE(RIGHT(AB7,4)),VALUE(MID(AB7,4,2)),VALUE(LEFT(AB7,2))))-DATE(2026,8,22))/7,1))</f>
        <v/>
      </c>
      <c r="AA7" s="153" t="n"/>
      <c r="AB7" s="153" t="n"/>
      <c r="AC7" s="157">
        <f>U7+X7+AA7</f>
        <v/>
      </c>
      <c r="AD7" s="157">
        <f>S7-AC7</f>
        <v/>
      </c>
      <c r="AE7" s="153">
        <f>IF(AD7="","",IF(AD7&lt;=5,"SETTLED","OUTSTANDING"))</f>
        <v/>
      </c>
      <c r="AF7" s="153" t="inlineStr">
        <is>
          <t>DR2640100048</t>
        </is>
      </c>
      <c r="AG7" s="158" t="n">
        <v>1800003347</v>
      </c>
      <c r="AH7" s="159" t="inlineStr">
        <is>
          <t>27.08.2026</t>
        </is>
      </c>
      <c r="AL7" s="137">
        <f>IF($A$2="",1,IF($A$2="(blank)",--(A7=""),IF($A$2="(nonblank)",--(A7&lt;&gt;""),--ISNUMBER(SEARCH($A$2,A7)))))</f>
      </c>
      <c r="AM7" s="137">
        <f>IF($B$2="",1,IF($B$2="(blank)",--(B7=""),IF($B$2="(nonblank)",--(B7&lt;&gt;""),--ISNUMBER(SEARCH($B$2,B7)))))</f>
      </c>
      <c r="AN7" s="137">
        <f>IF($C$2="",1,IF($C$2="(blank)",--(C7=""),IF($C$2="(nonblank)",--(C7&lt;&gt;""),--ISNUMBER(SEARCH($C$2,C7)))))</f>
      </c>
      <c r="AO7" s="137">
        <f>IF($D$2="",1,IF($D$2="(blank)",--(D7=""),IF($D$2="(nonblank)",--(D7&lt;&gt;""),--ISNUMBER(SEARCH($D$2,D7)))))</f>
      </c>
      <c r="AP7" s="137">
        <f>IF($E$2="",1,IF($E$2="(blank)",--(E7=""),IF($E$2="(nonblank)",--(E7&lt;&gt;""),--ISNUMBER(SEARCH($E$2,E7)))))</f>
      </c>
      <c r="AQ7" s="137">
        <f>IF($F$2="",1,IF($F$2="(blank)",--(F7=""),IF($F$2="(nonblank)",--(F7&lt;&gt;""),--ISNUMBER(SEARCH($F$2,F7)))))</f>
      </c>
      <c r="AR7" s="137">
        <f>IF($G$2="",1,IF($G$2="(blank)",--(G7=""),IF($G$2="(nonblank)",--(G7&lt;&gt;""),--ISNUMBER(SEARCH($G$2,G7)))))</f>
      </c>
      <c r="AS7" s="137">
        <f>IF($H$2="",1,IF($H$2="(blank)",--(H7=""),IF($H$2="(nonblank)",--(H7&lt;&gt;""),--ISNUMBER(SEARCH($H$2,H7)))))</f>
      </c>
      <c r="AT7" s="137">
        <f>IF($I$2="",1,IF($I$2="(blank)",--(I7=""),IF($I$2="(nonblank)",--(I7&lt;&gt;""),--ISNUMBER(SEARCH($I$2,I7)))))</f>
      </c>
      <c r="AU7" s="137">
        <f>IF($J$2="",1,IF($J$2="(blank)",--(J7=""),IF($J$2="(nonblank)",--(J7&lt;&gt;""),--ISNUMBER(SEARCH($J$2,J7)))))</f>
      </c>
      <c r="AV7" s="137">
        <f>IF($K$2="",1,IF($K$2="(blank)",--(K7=""),IF($K$2="(nonblank)",--(K7&lt;&gt;""),--ISNUMBER(SEARCH($K$2,K7)))))</f>
      </c>
      <c r="AW7" s="137">
        <f>IF($L$2="",1,IF($L$2="(blank)",--(L7=""),IF($L$2="(nonblank)",--(L7&lt;&gt;""),--ISNUMBER(SEARCH($L$2,L7)))))</f>
      </c>
      <c r="AX7" s="137">
        <f>IF($M$2="",1,IF($M$2="(blank)",--(M7=""),IF($M$2="(nonblank)",--(M7&lt;&gt;""),--ISNUMBER(SEARCH($M$2,M7)))))</f>
      </c>
      <c r="AY7" s="137">
        <f>IF($N$2="",1,IF($N$2="(blank)",--(N7=""),IF($N$2="(nonblank)",--(N7&lt;&gt;""),--ISNUMBER(SEARCH($N$2,N7)))))</f>
      </c>
      <c r="AZ7" s="137">
        <f>IF($O$2="",1,IF($O$2="(blank)",--(O7=""),IF($O$2="(nonblank)",--(O7&lt;&gt;""),--ISNUMBER(SEARCH($O$2,O7)))))</f>
      </c>
      <c r="BA7" s="137">
        <f>IF($P$2="",1,IF($P$2="(blank)",--(P7=""),IF($P$2="(nonblank)",--(P7&lt;&gt;""),--ISNUMBER(SEARCH($P$2,P7)))))</f>
      </c>
      <c r="BB7" s="137">
        <f>IF($Q$2="",1,IF($Q$2="(blank)",--(Q7=""),IF($Q$2="(nonblank)",--(Q7&lt;&gt;""),--ISNUMBER(SEARCH($Q$2,Q7)))))</f>
      </c>
      <c r="BC7" s="137">
        <f>IF($R$2="",1,IF($R$2="(blank)",--(R7=""),IF($R$2="(nonblank)",--(R7&lt;&gt;""),--ISNUMBER(SEARCH($R$2,R7)))))</f>
      </c>
      <c r="BD7" s="137">
        <f>IF($S$2="",1,IF($S$2="(blank)",--(S7=""),IF($S$2="(nonblank)",--(S7&lt;&gt;""),--ISNUMBER(SEARCH($S$2,S7)))))</f>
      </c>
      <c r="BE7" s="137">
        <f>IF($T$2="",1,IF($T$2="(blank)",--(T7=""),IF($T$2="(nonblank)",--(T7&lt;&gt;""),--ISNUMBER(SEARCH($T$2,T7)))))</f>
      </c>
      <c r="BF7" s="137">
        <f>IF($U$2="",1,IF($U$2="(blank)",--(U7=""),IF($U$2="(nonblank)",--(U7&lt;&gt;""),--ISNUMBER(SEARCH($U$2,U7)))))</f>
      </c>
      <c r="BG7" s="137">
        <f>IF($V$2="",1,IF($V$2="(blank)",--(V7=""),IF($V$2="(nonblank)",--(V7&lt;&gt;""),--ISNUMBER(SEARCH($V$2,V7)))))</f>
      </c>
      <c r="BH7" s="137">
        <f>IF($W$2="",1,IF($W$2="(blank)",--(W7=""),IF($W$2="(nonblank)",--(W7&lt;&gt;""),--ISNUMBER(SEARCH($W$2,W7)))))</f>
      </c>
      <c r="BI7" s="137">
        <f>IF($X$2="",1,IF($X$2="(blank)",--(X7=""),IF($X$2="(nonblank)",--(X7&lt;&gt;""),--ISNUMBER(SEARCH($X$2,X7)))))</f>
      </c>
      <c r="BJ7" s="137">
        <f>IF($Y$2="",1,IF($Y$2="(blank)",--(Y7=""),IF($Y$2="(nonblank)",--(Y7&lt;&gt;""),--ISNUMBER(SEARCH($Y$2,Y7)))))</f>
      </c>
      <c r="BK7" s="137">
        <f>IF($Z$2="",1,IF($Z$2="(blank)",--(Z7=""),IF($Z$2="(nonblank)",--(Z7&lt;&gt;""),--ISNUMBER(SEARCH($Z$2,Z7)))))</f>
      </c>
      <c r="BL7" s="137">
        <f>IF($AA$2="",1,IF($AA$2="(blank)",--(AA7=""),IF($AA$2="(nonblank)",--(AA7&lt;&gt;""),--ISNUMBER(SEARCH($AA$2,AA7)))))</f>
      </c>
      <c r="BM7" s="137">
        <f>IF($AB$2="",1,IF($AB$2="(blank)",--(AB7=""),IF($AB$2="(nonblank)",--(AB7&lt;&gt;""),--ISNUMBER(SEARCH($AB$2,AB7)))))</f>
      </c>
      <c r="BN7" s="137">
        <f>IF($AC$2="",1,IF($AC$2="(blank)",--(AC7=""),IF($AC$2="(nonblank)",--(AC7&lt;&gt;""),--ISNUMBER(SEARCH($AC$2,AC7)))))</f>
      </c>
      <c r="BO7" s="137">
        <f>IF($AD$2="",1,IF($AD$2="(blank)",--(AD7=""),IF($AD$2="(nonblank)",--(AD7&lt;&gt;""),--ISNUMBER(SEARCH($AD$2,AD7)))))</f>
      </c>
      <c r="BP7" s="137">
        <f>IF($AE$2="",1,IF($AE$2="(blank)",--(AE7=""),IF($AE$2="(nonblank)",--(AE7&lt;&gt;""),--ISNUMBER(SEARCH($AE$2,AE7)))))</f>
      </c>
      <c r="BQ7" s="137">
        <f>IF($AF$2="",1,IF($AF$2="(blank)",--(AF7=""),IF($AF$2="(nonblank)",--(AF7&lt;&gt;""),--ISNUMBER(SEARCH($AF$2,AF7)))))</f>
      </c>
      <c r="BR7" s="137">
        <f>IF($AG$2="",1,IF($AG$2="(blank)",--(AG7=""),IF($AG$2="(nonblank)",--(AG7&lt;&gt;""),--ISNUMBER(SEARCH($AG$2,AG7)))))</f>
      </c>
      <c r="BS7" s="137">
        <f>IF($AH$2="",1,IF($AH$2="(blank)",--(AH7=""),IF($AH$2="(nonblank)",--(AH7&lt;&gt;""),--ISNUMBER(SEARCH($AH$2,AH7)))))</f>
      </c>
      <c r="BT7" s="137">
        <f>IF(COUNTIF($AL7:$BS7,0)&gt;0,0,1)</f>
      </c>
    </row>
    <row r="8" ht="26.25" customHeight="1" s="13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IF(IF(OR(AB8="",AB8=0),TODAY(),DATE(VALUE(RIGHT(AB8,4)),VALUE(MID(AB8,4,2)),VALUE(LEFT(AB8,2))))&lt;=DATE(2026,8,24),0,H8*0.0118*CEILING((IF(OR(AB8="",AB8=0),TODAY(),DATE(VALUE(RIGHT(AB8,4)),VALUE(MID(AB8,4,2)),VALUE(LEFT(AB8,2))))-DATE(2026,8,22))/7,1))</f>
        <v/>
      </c>
      <c r="AA8" s="28" t="n"/>
      <c r="AB8" s="28" t="n"/>
      <c r="AC8" s="15">
        <f>U8+X8+AA8</f>
        <v/>
      </c>
      <c r="AD8" s="19">
        <f>S8-AC8</f>
        <v/>
      </c>
      <c r="AE8" s="20">
        <f>IF(AD8="","",IF(AD8&lt;=5,"SETTLED","OUTSTANDING"))</f>
        <v/>
      </c>
      <c r="AF8" s="20" t="inlineStr">
        <is>
          <t>DR2640100045</t>
        </is>
      </c>
      <c r="AG8" s="21" t="n">
        <v>1800003315</v>
      </c>
      <c r="AH8" s="22" t="inlineStr">
        <is>
          <t>27.08.2026</t>
        </is>
      </c>
      <c r="AL8" s="137">
        <f>IF($A$2="",1,IF($A$2="(blank)",--(A8=""),IF($A$2="(nonblank)",--(A8&lt;&gt;""),--ISNUMBER(SEARCH($A$2,A8)))))</f>
      </c>
      <c r="AM8" s="137">
        <f>IF($B$2="",1,IF($B$2="(blank)",--(B8=""),IF($B$2="(nonblank)",--(B8&lt;&gt;""),--ISNUMBER(SEARCH($B$2,B8)))))</f>
      </c>
      <c r="AN8" s="137">
        <f>IF($C$2="",1,IF($C$2="(blank)",--(C8=""),IF($C$2="(nonblank)",--(C8&lt;&gt;""),--ISNUMBER(SEARCH($C$2,C8)))))</f>
      </c>
      <c r="AO8" s="137">
        <f>IF($D$2="",1,IF($D$2="(blank)",--(D8=""),IF($D$2="(nonblank)",--(D8&lt;&gt;""),--ISNUMBER(SEARCH($D$2,D8)))))</f>
      </c>
      <c r="AP8" s="137">
        <f>IF($E$2="",1,IF($E$2="(blank)",--(E8=""),IF($E$2="(nonblank)",--(E8&lt;&gt;""),--ISNUMBER(SEARCH($E$2,E8)))))</f>
      </c>
      <c r="AQ8" s="137">
        <f>IF($F$2="",1,IF($F$2="(blank)",--(F8=""),IF($F$2="(nonblank)",--(F8&lt;&gt;""),--ISNUMBER(SEARCH($F$2,F8)))))</f>
      </c>
      <c r="AR8" s="137">
        <f>IF($G$2="",1,IF($G$2="(blank)",--(G8=""),IF($G$2="(nonblank)",--(G8&lt;&gt;""),--ISNUMBER(SEARCH($G$2,G8)))))</f>
      </c>
      <c r="AS8" s="137">
        <f>IF($H$2="",1,IF($H$2="(blank)",--(H8=""),IF($H$2="(nonblank)",--(H8&lt;&gt;""),--ISNUMBER(SEARCH($H$2,H8)))))</f>
      </c>
      <c r="AT8" s="137">
        <f>IF($I$2="",1,IF($I$2="(blank)",--(I8=""),IF($I$2="(nonblank)",--(I8&lt;&gt;""),--ISNUMBER(SEARCH($I$2,I8)))))</f>
      </c>
      <c r="AU8" s="137">
        <f>IF($J$2="",1,IF($J$2="(blank)",--(J8=""),IF($J$2="(nonblank)",--(J8&lt;&gt;""),--ISNUMBER(SEARCH($J$2,J8)))))</f>
      </c>
      <c r="AV8" s="137">
        <f>IF($K$2="",1,IF($K$2="(blank)",--(K8=""),IF($K$2="(nonblank)",--(K8&lt;&gt;""),--ISNUMBER(SEARCH($K$2,K8)))))</f>
      </c>
      <c r="AW8" s="137">
        <f>IF($L$2="",1,IF($L$2="(blank)",--(L8=""),IF($L$2="(nonblank)",--(L8&lt;&gt;""),--ISNUMBER(SEARCH($L$2,L8)))))</f>
      </c>
      <c r="AX8" s="137">
        <f>IF($M$2="",1,IF($M$2="(blank)",--(M8=""),IF($M$2="(nonblank)",--(M8&lt;&gt;""),--ISNUMBER(SEARCH($M$2,M8)))))</f>
      </c>
      <c r="AY8" s="137">
        <f>IF($N$2="",1,IF($N$2="(blank)",--(N8=""),IF($N$2="(nonblank)",--(N8&lt;&gt;""),--ISNUMBER(SEARCH($N$2,N8)))))</f>
      </c>
      <c r="AZ8" s="137">
        <f>IF($O$2="",1,IF($O$2="(blank)",--(O8=""),IF($O$2="(nonblank)",--(O8&lt;&gt;""),--ISNUMBER(SEARCH($O$2,O8)))))</f>
      </c>
      <c r="BA8" s="137">
        <f>IF($P$2="",1,IF($P$2="(blank)",--(P8=""),IF($P$2="(nonblank)",--(P8&lt;&gt;""),--ISNUMBER(SEARCH($P$2,P8)))))</f>
      </c>
      <c r="BB8" s="137">
        <f>IF($Q$2="",1,IF($Q$2="(blank)",--(Q8=""),IF($Q$2="(nonblank)",--(Q8&lt;&gt;""),--ISNUMBER(SEARCH($Q$2,Q8)))))</f>
      </c>
      <c r="BC8" s="137">
        <f>IF($R$2="",1,IF($R$2="(blank)",--(R8=""),IF($R$2="(nonblank)",--(R8&lt;&gt;""),--ISNUMBER(SEARCH($R$2,R8)))))</f>
      </c>
      <c r="BD8" s="137">
        <f>IF($S$2="",1,IF($S$2="(blank)",--(S8=""),IF($S$2="(nonblank)",--(S8&lt;&gt;""),--ISNUMBER(SEARCH($S$2,S8)))))</f>
      </c>
      <c r="BE8" s="137">
        <f>IF($T$2="",1,IF($T$2="(blank)",--(T8=""),IF($T$2="(nonblank)",--(T8&lt;&gt;""),--ISNUMBER(SEARCH($T$2,T8)))))</f>
      </c>
      <c r="BF8" s="137">
        <f>IF($U$2="",1,IF($U$2="(blank)",--(U8=""),IF($U$2="(nonblank)",--(U8&lt;&gt;""),--ISNUMBER(SEARCH($U$2,U8)))))</f>
      </c>
      <c r="BG8" s="137">
        <f>IF($V$2="",1,IF($V$2="(blank)",--(V8=""),IF($V$2="(nonblank)",--(V8&lt;&gt;""),--ISNUMBER(SEARCH($V$2,V8)))))</f>
      </c>
      <c r="BH8" s="137">
        <f>IF($W$2="",1,IF($W$2="(blank)",--(W8=""),IF($W$2="(nonblank)",--(W8&lt;&gt;""),--ISNUMBER(SEARCH($W$2,W8)))))</f>
      </c>
      <c r="BI8" s="137">
        <f>IF($X$2="",1,IF($X$2="(blank)",--(X8=""),IF($X$2="(nonblank)",--(X8&lt;&gt;""),--ISNUMBER(SEARCH($X$2,X8)))))</f>
      </c>
      <c r="BJ8" s="137">
        <f>IF($Y$2="",1,IF($Y$2="(blank)",--(Y8=""),IF($Y$2="(nonblank)",--(Y8&lt;&gt;""),--ISNUMBER(SEARCH($Y$2,Y8)))))</f>
      </c>
      <c r="BK8" s="137">
        <f>IF($Z$2="",1,IF($Z$2="(blank)",--(Z8=""),IF($Z$2="(nonblank)",--(Z8&lt;&gt;""),--ISNUMBER(SEARCH($Z$2,Z8)))))</f>
      </c>
      <c r="BL8" s="137">
        <f>IF($AA$2="",1,IF($AA$2="(blank)",--(AA8=""),IF($AA$2="(nonblank)",--(AA8&lt;&gt;""),--ISNUMBER(SEARCH($AA$2,AA8)))))</f>
      </c>
      <c r="BM8" s="137">
        <f>IF($AB$2="",1,IF($AB$2="(blank)",--(AB8=""),IF($AB$2="(nonblank)",--(AB8&lt;&gt;""),--ISNUMBER(SEARCH($AB$2,AB8)))))</f>
      </c>
      <c r="BN8" s="137">
        <f>IF($AC$2="",1,IF($AC$2="(blank)",--(AC8=""),IF($AC$2="(nonblank)",--(AC8&lt;&gt;""),--ISNUMBER(SEARCH($AC$2,AC8)))))</f>
      </c>
      <c r="BO8" s="137">
        <f>IF($AD$2="",1,IF($AD$2="(blank)",--(AD8=""),IF($AD$2="(nonblank)",--(AD8&lt;&gt;""),--ISNUMBER(SEARCH($AD$2,AD8)))))</f>
      </c>
      <c r="BP8" s="137">
        <f>IF($AE$2="",1,IF($AE$2="(blank)",--(AE8=""),IF($AE$2="(nonblank)",--(AE8&lt;&gt;""),--ISNUMBER(SEARCH($AE$2,AE8)))))</f>
      </c>
      <c r="BQ8" s="137">
        <f>IF($AF$2="",1,IF($AF$2="(blank)",--(AF8=""),IF($AF$2="(nonblank)",--(AF8&lt;&gt;""),--ISNUMBER(SEARCH($AF$2,AF8)))))</f>
      </c>
      <c r="BR8" s="137">
        <f>IF($AG$2="",1,IF($AG$2="(blank)",--(AG8=""),IF($AG$2="(nonblank)",--(AG8&lt;&gt;""),--ISNUMBER(SEARCH($AG$2,AG8)))))</f>
      </c>
      <c r="BS8" s="137">
        <f>IF($AH$2="",1,IF($AH$2="(blank)",--(AH8=""),IF($AH$2="(nonblank)",--(AH8&lt;&gt;""),--ISNUMBER(SEARCH($AH$2,AH8)))))</f>
      </c>
      <c r="BT8" s="137">
        <f>IF(COUNTIF($AL8:$BS8,0)&gt;0,0,1)</f>
      </c>
    </row>
    <row r="9" ht="14.25" customHeight="1" s="137">
      <c r="A9" s="148" t="n">
        <v>1</v>
      </c>
      <c r="B9" s="149" t="inlineStr">
        <is>
          <t>Scrap Power Transformer</t>
        </is>
      </c>
      <c r="C9" s="150" t="n">
        <v>2787314</v>
      </c>
      <c r="D9" s="151" t="n">
        <v>21977</v>
      </c>
      <c r="E9" s="151" t="inlineStr">
        <is>
          <t>NO</t>
        </is>
      </c>
      <c r="F9" s="151" t="n">
        <v>1976</v>
      </c>
      <c r="G9" s="149" t="inlineStr">
        <is>
          <t>SHAR JAHAN TRADERS</t>
        </is>
      </c>
      <c r="H9" s="152" t="n">
        <v>2787314</v>
      </c>
      <c r="I9" s="152">
        <f>ROUND(H9*18%,0)</f>
        <v/>
      </c>
      <c r="J9" s="152">
        <f>+H9+I9</f>
        <v/>
      </c>
      <c r="K9" s="152">
        <f>ROUND((H9+I9)*2%,0)</f>
        <v/>
      </c>
      <c r="L9" s="153">
        <f>H9*0.1%</f>
        <v/>
      </c>
      <c r="M9" s="153">
        <f>H9*2.25%*118%</f>
        <v/>
      </c>
      <c r="N9" s="154">
        <f>H9*2.25%*2%</f>
        <v/>
      </c>
      <c r="O9" s="153">
        <f>M9-N9</f>
        <v/>
      </c>
      <c r="P9" s="153">
        <f>ROUND(O9+L9,0)</f>
        <v/>
      </c>
      <c r="Q9" s="155" t="n">
        <v>0</v>
      </c>
      <c r="R9" s="153">
        <f>ROUND(H9*Q9,0)</f>
        <v/>
      </c>
      <c r="S9" s="152">
        <f>ROUND(H9*117.65%-R9,0)</f>
        <v/>
      </c>
      <c r="T9" s="153">
        <f>ROUND(H9*25%,0)</f>
        <v/>
      </c>
      <c r="U9" s="156">
        <f>+T9</f>
        <v/>
      </c>
      <c r="V9" s="153" t="inlineStr">
        <is>
          <t>13.08.2026</t>
        </is>
      </c>
      <c r="W9" s="153">
        <f>ROUND(H9*92.65%-R9,0)</f>
        <v/>
      </c>
      <c r="X9" s="153" t="n">
        <v>2582447.09429161</v>
      </c>
      <c r="Y9" s="153" t="inlineStr">
        <is>
          <t>13.08.2026</t>
        </is>
      </c>
      <c r="Z9" s="153">
        <f>IF(IF(OR(AB9="",AB9=0),TODAY(),DATE(VALUE(RIGHT(AB9,4)),VALUE(MID(AB9,4,2)),VALUE(LEFT(AB9,2))))&lt;=DATE(2026,8,24),0,H9*0.0118*CEILING((IF(OR(AB9="",AB9=0),TODAY(),DATE(VALUE(RIGHT(AB9,4)),VALUE(MID(AB9,4,2)),VALUE(LEFT(AB9,2))))-DATE(2026,8,22))/7,1))</f>
        <v/>
      </c>
      <c r="AA9" s="153" t="n"/>
      <c r="AB9" s="153" t="n"/>
      <c r="AC9" s="157">
        <f>U9+X9+AA9</f>
        <v/>
      </c>
      <c r="AD9" s="157">
        <f>S9-AC9</f>
        <v/>
      </c>
      <c r="AE9" s="153">
        <f>IF(AD9="","",IF(AD9&lt;=5,"SETTLED","OUTSTANDING"))</f>
        <v/>
      </c>
      <c r="AF9" s="153" t="inlineStr">
        <is>
          <t>DR2640100023</t>
        </is>
      </c>
      <c r="AG9" s="158" t="n">
        <v>1800003194</v>
      </c>
      <c r="AH9" s="159" t="inlineStr">
        <is>
          <t>17.08.2026</t>
        </is>
      </c>
      <c r="AL9" s="137">
        <f>IF($A$2="",1,IF($A$2="(blank)",--(A9=""),IF($A$2="(nonblank)",--(A9&lt;&gt;""),--ISNUMBER(SEARCH($A$2,A9)))))</f>
      </c>
      <c r="AM9" s="137">
        <f>IF($B$2="",1,IF($B$2="(blank)",--(B9=""),IF($B$2="(nonblank)",--(B9&lt;&gt;""),--ISNUMBER(SEARCH($B$2,B9)))))</f>
      </c>
      <c r="AN9" s="137">
        <f>IF($C$2="",1,IF($C$2="(blank)",--(C9=""),IF($C$2="(nonblank)",--(C9&lt;&gt;""),--ISNUMBER(SEARCH($C$2,C9)))))</f>
      </c>
      <c r="AO9" s="137">
        <f>IF($D$2="",1,IF($D$2="(blank)",--(D9=""),IF($D$2="(nonblank)",--(D9&lt;&gt;""),--ISNUMBER(SEARCH($D$2,D9)))))</f>
      </c>
      <c r="AP9" s="137">
        <f>IF($E$2="",1,IF($E$2="(blank)",--(E9=""),IF($E$2="(nonblank)",--(E9&lt;&gt;""),--ISNUMBER(SEARCH($E$2,E9)))))</f>
      </c>
      <c r="AQ9" s="137">
        <f>IF($F$2="",1,IF($F$2="(blank)",--(F9=""),IF($F$2="(nonblank)",--(F9&lt;&gt;""),--ISNUMBER(SEARCH($F$2,F9)))))</f>
      </c>
      <c r="AR9" s="137">
        <f>IF($G$2="",1,IF($G$2="(blank)",--(G9=""),IF($G$2="(nonblank)",--(G9&lt;&gt;""),--ISNUMBER(SEARCH($G$2,G9)))))</f>
      </c>
      <c r="AS9" s="137">
        <f>IF($H$2="",1,IF($H$2="(blank)",--(H9=""),IF($H$2="(nonblank)",--(H9&lt;&gt;""),--ISNUMBER(SEARCH($H$2,H9)))))</f>
      </c>
      <c r="AT9" s="137">
        <f>IF($I$2="",1,IF($I$2="(blank)",--(I9=""),IF($I$2="(nonblank)",--(I9&lt;&gt;""),--ISNUMBER(SEARCH($I$2,I9)))))</f>
      </c>
      <c r="AU9" s="137">
        <f>IF($J$2="",1,IF($J$2="(blank)",--(J9=""),IF($J$2="(nonblank)",--(J9&lt;&gt;""),--ISNUMBER(SEARCH($J$2,J9)))))</f>
      </c>
      <c r="AV9" s="137">
        <f>IF($K$2="",1,IF($K$2="(blank)",--(K9=""),IF($K$2="(nonblank)",--(K9&lt;&gt;""),--ISNUMBER(SEARCH($K$2,K9)))))</f>
      </c>
      <c r="AW9" s="137">
        <f>IF($L$2="",1,IF($L$2="(blank)",--(L9=""),IF($L$2="(nonblank)",--(L9&lt;&gt;""),--ISNUMBER(SEARCH($L$2,L9)))))</f>
      </c>
      <c r="AX9" s="137">
        <f>IF($M$2="",1,IF($M$2="(blank)",--(M9=""),IF($M$2="(nonblank)",--(M9&lt;&gt;""),--ISNUMBER(SEARCH($M$2,M9)))))</f>
      </c>
      <c r="AY9" s="137">
        <f>IF($N$2="",1,IF($N$2="(blank)",--(N9=""),IF($N$2="(nonblank)",--(N9&lt;&gt;""),--ISNUMBER(SEARCH($N$2,N9)))))</f>
      </c>
      <c r="AZ9" s="137">
        <f>IF($O$2="",1,IF($O$2="(blank)",--(O9=""),IF($O$2="(nonblank)",--(O9&lt;&gt;""),--ISNUMBER(SEARCH($O$2,O9)))))</f>
      </c>
      <c r="BA9" s="137">
        <f>IF($P$2="",1,IF($P$2="(blank)",--(P9=""),IF($P$2="(nonblank)",--(P9&lt;&gt;""),--ISNUMBER(SEARCH($P$2,P9)))))</f>
      </c>
      <c r="BB9" s="137">
        <f>IF($Q$2="",1,IF($Q$2="(blank)",--(Q9=""),IF($Q$2="(nonblank)",--(Q9&lt;&gt;""),--ISNUMBER(SEARCH($Q$2,Q9)))))</f>
      </c>
      <c r="BC9" s="137">
        <f>IF($R$2="",1,IF($R$2="(blank)",--(R9=""),IF($R$2="(nonblank)",--(R9&lt;&gt;""),--ISNUMBER(SEARCH($R$2,R9)))))</f>
      </c>
      <c r="BD9" s="137">
        <f>IF($S$2="",1,IF($S$2="(blank)",--(S9=""),IF($S$2="(nonblank)",--(S9&lt;&gt;""),--ISNUMBER(SEARCH($S$2,S9)))))</f>
      </c>
      <c r="BE9" s="137">
        <f>IF($T$2="",1,IF($T$2="(blank)",--(T9=""),IF($T$2="(nonblank)",--(T9&lt;&gt;""),--ISNUMBER(SEARCH($T$2,T9)))))</f>
      </c>
      <c r="BF9" s="137">
        <f>IF($U$2="",1,IF($U$2="(blank)",--(U9=""),IF($U$2="(nonblank)",--(U9&lt;&gt;""),--ISNUMBER(SEARCH($U$2,U9)))))</f>
      </c>
      <c r="BG9" s="137">
        <f>IF($V$2="",1,IF($V$2="(blank)",--(V9=""),IF($V$2="(nonblank)",--(V9&lt;&gt;""),--ISNUMBER(SEARCH($V$2,V9)))))</f>
      </c>
      <c r="BH9" s="137">
        <f>IF($W$2="",1,IF($W$2="(blank)",--(W9=""),IF($W$2="(nonblank)",--(W9&lt;&gt;""),--ISNUMBER(SEARCH($W$2,W9)))))</f>
      </c>
      <c r="BI9" s="137">
        <f>IF($X$2="",1,IF($X$2="(blank)",--(X9=""),IF($X$2="(nonblank)",--(X9&lt;&gt;""),--ISNUMBER(SEARCH($X$2,X9)))))</f>
      </c>
      <c r="BJ9" s="137">
        <f>IF($Y$2="",1,IF($Y$2="(blank)",--(Y9=""),IF($Y$2="(nonblank)",--(Y9&lt;&gt;""),--ISNUMBER(SEARCH($Y$2,Y9)))))</f>
      </c>
      <c r="BK9" s="137">
        <f>IF($Z$2="",1,IF($Z$2="(blank)",--(Z9=""),IF($Z$2="(nonblank)",--(Z9&lt;&gt;""),--ISNUMBER(SEARCH($Z$2,Z9)))))</f>
      </c>
      <c r="BL9" s="137">
        <f>IF($AA$2="",1,IF($AA$2="(blank)",--(AA9=""),IF($AA$2="(nonblank)",--(AA9&lt;&gt;""),--ISNUMBER(SEARCH($AA$2,AA9)))))</f>
      </c>
      <c r="BM9" s="137">
        <f>IF($AB$2="",1,IF($AB$2="(blank)",--(AB9=""),IF($AB$2="(nonblank)",--(AB9&lt;&gt;""),--ISNUMBER(SEARCH($AB$2,AB9)))))</f>
      </c>
      <c r="BN9" s="137">
        <f>IF($AC$2="",1,IF($AC$2="(blank)",--(AC9=""),IF($AC$2="(nonblank)",--(AC9&lt;&gt;""),--ISNUMBER(SEARCH($AC$2,AC9)))))</f>
      </c>
      <c r="BO9" s="137">
        <f>IF($AD$2="",1,IF($AD$2="(blank)",--(AD9=""),IF($AD$2="(nonblank)",--(AD9&lt;&gt;""),--ISNUMBER(SEARCH($AD$2,AD9)))))</f>
      </c>
      <c r="BP9" s="137">
        <f>IF($AE$2="",1,IF($AE$2="(blank)",--(AE9=""),IF($AE$2="(nonblank)",--(AE9&lt;&gt;""),--ISNUMBER(SEARCH($AE$2,AE9)))))</f>
      </c>
      <c r="BQ9" s="137">
        <f>IF($AF$2="",1,IF($AF$2="(blank)",--(AF9=""),IF($AF$2="(nonblank)",--(AF9&lt;&gt;""),--ISNUMBER(SEARCH($AF$2,AF9)))))</f>
      </c>
      <c r="BR9" s="137">
        <f>IF($AG$2="",1,IF($AG$2="(blank)",--(AG9=""),IF($AG$2="(nonblank)",--(AG9&lt;&gt;""),--ISNUMBER(SEARCH($AG$2,AG9)))))</f>
      </c>
      <c r="BS9" s="137">
        <f>IF($AH$2="",1,IF($AH$2="(blank)",--(AH9=""),IF($AH$2="(nonblank)",--(AH9&lt;&gt;""),--ISNUMBER(SEARCH($AH$2,AH9)))))</f>
      </c>
      <c r="BT9" s="137">
        <f>IF(COUNTIF($AL9:$BS9,0)&gt;0,0,1)</f>
      </c>
    </row>
    <row r="10" ht="14.25" customHeight="1" s="13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IF(IF(OR(AB10="",AB10=0),TODAY(),DATE(VALUE(RIGHT(AB10,4)),VALUE(MID(AB10,4,2)),VALUE(LEFT(AB10,2))))&lt;=DATE(2026,8,24),0,H10*0.0118*CEILING((IF(OR(AB10="",AB10=0),TODAY(),DATE(VALUE(RIGHT(AB10,4)),VALUE(MID(AB10,4,2)),VALUE(LEFT(AB10,2))))-DATE(2026,8,22))/7,1))</f>
        <v/>
      </c>
      <c r="AA10" s="28" t="n"/>
      <c r="AB10" s="28" t="n"/>
      <c r="AC10" s="15">
        <f>U10+X10+AA10</f>
        <v/>
      </c>
      <c r="AD10" s="19">
        <f>S10-AC10</f>
        <v/>
      </c>
      <c r="AE10" s="20">
        <f>IF(AD10="","",IF(AD10&lt;=5,"SETTLED","OUTSTANDING"))</f>
        <v/>
      </c>
      <c r="AF10" s="20" t="inlineStr">
        <is>
          <t>DR2640100031</t>
        </is>
      </c>
      <c r="AG10" s="21" t="n">
        <v>1800003303</v>
      </c>
      <c r="AH10" s="22" t="inlineStr">
        <is>
          <t>27.08.2026</t>
        </is>
      </c>
      <c r="AL10" s="137">
        <f>IF($A$2="",1,IF($A$2="(blank)",--(A10=""),IF($A$2="(nonblank)",--(A10&lt;&gt;""),--ISNUMBER(SEARCH($A$2,A10)))))</f>
      </c>
      <c r="AM10" s="137">
        <f>IF($B$2="",1,IF($B$2="(blank)",--(B10=""),IF($B$2="(nonblank)",--(B10&lt;&gt;""),--ISNUMBER(SEARCH($B$2,B10)))))</f>
      </c>
      <c r="AN10" s="137">
        <f>IF($C$2="",1,IF($C$2="(blank)",--(C10=""),IF($C$2="(nonblank)",--(C10&lt;&gt;""),--ISNUMBER(SEARCH($C$2,C10)))))</f>
      </c>
      <c r="AO10" s="137">
        <f>IF($D$2="",1,IF($D$2="(blank)",--(D10=""),IF($D$2="(nonblank)",--(D10&lt;&gt;""),--ISNUMBER(SEARCH($D$2,D10)))))</f>
      </c>
      <c r="AP10" s="137">
        <f>IF($E$2="",1,IF($E$2="(blank)",--(E10=""),IF($E$2="(nonblank)",--(E10&lt;&gt;""),--ISNUMBER(SEARCH($E$2,E10)))))</f>
      </c>
      <c r="AQ10" s="137">
        <f>IF($F$2="",1,IF($F$2="(blank)",--(F10=""),IF($F$2="(nonblank)",--(F10&lt;&gt;""),--ISNUMBER(SEARCH($F$2,F10)))))</f>
      </c>
      <c r="AR10" s="137">
        <f>IF($G$2="",1,IF($G$2="(blank)",--(G10=""),IF($G$2="(nonblank)",--(G10&lt;&gt;""),--ISNUMBER(SEARCH($G$2,G10)))))</f>
      </c>
      <c r="AS10" s="137">
        <f>IF($H$2="",1,IF($H$2="(blank)",--(H10=""),IF($H$2="(nonblank)",--(H10&lt;&gt;""),--ISNUMBER(SEARCH($H$2,H10)))))</f>
      </c>
      <c r="AT10" s="137">
        <f>IF($I$2="",1,IF($I$2="(blank)",--(I10=""),IF($I$2="(nonblank)",--(I10&lt;&gt;""),--ISNUMBER(SEARCH($I$2,I10)))))</f>
      </c>
      <c r="AU10" s="137">
        <f>IF($J$2="",1,IF($J$2="(blank)",--(J10=""),IF($J$2="(nonblank)",--(J10&lt;&gt;""),--ISNUMBER(SEARCH($J$2,J10)))))</f>
      </c>
      <c r="AV10" s="137">
        <f>IF($K$2="",1,IF($K$2="(blank)",--(K10=""),IF($K$2="(nonblank)",--(K10&lt;&gt;""),--ISNUMBER(SEARCH($K$2,K10)))))</f>
      </c>
      <c r="AW10" s="137">
        <f>IF($L$2="",1,IF($L$2="(blank)",--(L10=""),IF($L$2="(nonblank)",--(L10&lt;&gt;""),--ISNUMBER(SEARCH($L$2,L10)))))</f>
      </c>
      <c r="AX10" s="137">
        <f>IF($M$2="",1,IF($M$2="(blank)",--(M10=""),IF($M$2="(nonblank)",--(M10&lt;&gt;""),--ISNUMBER(SEARCH($M$2,M10)))))</f>
      </c>
      <c r="AY10" s="137">
        <f>IF($N$2="",1,IF($N$2="(blank)",--(N10=""),IF($N$2="(nonblank)",--(N10&lt;&gt;""),--ISNUMBER(SEARCH($N$2,N10)))))</f>
      </c>
      <c r="AZ10" s="137">
        <f>IF($O$2="",1,IF($O$2="(blank)",--(O10=""),IF($O$2="(nonblank)",--(O10&lt;&gt;""),--ISNUMBER(SEARCH($O$2,O10)))))</f>
      </c>
      <c r="BA10" s="137">
        <f>IF($P$2="",1,IF($P$2="(blank)",--(P10=""),IF($P$2="(nonblank)",--(P10&lt;&gt;""),--ISNUMBER(SEARCH($P$2,P10)))))</f>
      </c>
      <c r="BB10" s="137">
        <f>IF($Q$2="",1,IF($Q$2="(blank)",--(Q10=""),IF($Q$2="(nonblank)",--(Q10&lt;&gt;""),--ISNUMBER(SEARCH($Q$2,Q10)))))</f>
      </c>
      <c r="BC10" s="137">
        <f>IF($R$2="",1,IF($R$2="(blank)",--(R10=""),IF($R$2="(nonblank)",--(R10&lt;&gt;""),--ISNUMBER(SEARCH($R$2,R10)))))</f>
      </c>
      <c r="BD10" s="137">
        <f>IF($S$2="",1,IF($S$2="(blank)",--(S10=""),IF($S$2="(nonblank)",--(S10&lt;&gt;""),--ISNUMBER(SEARCH($S$2,S10)))))</f>
      </c>
      <c r="BE10" s="137">
        <f>IF($T$2="",1,IF($T$2="(blank)",--(T10=""),IF($T$2="(nonblank)",--(T10&lt;&gt;""),--ISNUMBER(SEARCH($T$2,T10)))))</f>
      </c>
      <c r="BF10" s="137">
        <f>IF($U$2="",1,IF($U$2="(blank)",--(U10=""),IF($U$2="(nonblank)",--(U10&lt;&gt;""),--ISNUMBER(SEARCH($U$2,U10)))))</f>
      </c>
      <c r="BG10" s="137">
        <f>IF($V$2="",1,IF($V$2="(blank)",--(V10=""),IF($V$2="(nonblank)",--(V10&lt;&gt;""),--ISNUMBER(SEARCH($V$2,V10)))))</f>
      </c>
      <c r="BH10" s="137">
        <f>IF($W$2="",1,IF($W$2="(blank)",--(W10=""),IF($W$2="(nonblank)",--(W10&lt;&gt;""),--ISNUMBER(SEARCH($W$2,W10)))))</f>
      </c>
      <c r="BI10" s="137">
        <f>IF($X$2="",1,IF($X$2="(blank)",--(X10=""),IF($X$2="(nonblank)",--(X10&lt;&gt;""),--ISNUMBER(SEARCH($X$2,X10)))))</f>
      </c>
      <c r="BJ10" s="137">
        <f>IF($Y$2="",1,IF($Y$2="(blank)",--(Y10=""),IF($Y$2="(nonblank)",--(Y10&lt;&gt;""),--ISNUMBER(SEARCH($Y$2,Y10)))))</f>
      </c>
      <c r="BK10" s="137">
        <f>IF($Z$2="",1,IF($Z$2="(blank)",--(Z10=""),IF($Z$2="(nonblank)",--(Z10&lt;&gt;""),--ISNUMBER(SEARCH($Z$2,Z10)))))</f>
      </c>
      <c r="BL10" s="137">
        <f>IF($AA$2="",1,IF($AA$2="(blank)",--(AA10=""),IF($AA$2="(nonblank)",--(AA10&lt;&gt;""),--ISNUMBER(SEARCH($AA$2,AA10)))))</f>
      </c>
      <c r="BM10" s="137">
        <f>IF($AB$2="",1,IF($AB$2="(blank)",--(AB10=""),IF($AB$2="(nonblank)",--(AB10&lt;&gt;""),--ISNUMBER(SEARCH($AB$2,AB10)))))</f>
      </c>
      <c r="BN10" s="137">
        <f>IF($AC$2="",1,IF($AC$2="(blank)",--(AC10=""),IF($AC$2="(nonblank)",--(AC10&lt;&gt;""),--ISNUMBER(SEARCH($AC$2,AC10)))))</f>
      </c>
      <c r="BO10" s="137">
        <f>IF($AD$2="",1,IF($AD$2="(blank)",--(AD10=""),IF($AD$2="(nonblank)",--(AD10&lt;&gt;""),--ISNUMBER(SEARCH($AD$2,AD10)))))</f>
      </c>
      <c r="BP10" s="137">
        <f>IF($AE$2="",1,IF($AE$2="(blank)",--(AE10=""),IF($AE$2="(nonblank)",--(AE10&lt;&gt;""),--ISNUMBER(SEARCH($AE$2,AE10)))))</f>
      </c>
      <c r="BQ10" s="137">
        <f>IF($AF$2="",1,IF($AF$2="(blank)",--(AF10=""),IF($AF$2="(nonblank)",--(AF10&lt;&gt;""),--ISNUMBER(SEARCH($AF$2,AF10)))))</f>
      </c>
      <c r="BR10" s="137">
        <f>IF($AG$2="",1,IF($AG$2="(blank)",--(AG10=""),IF($AG$2="(nonblank)",--(AG10&lt;&gt;""),--ISNUMBER(SEARCH($AG$2,AG10)))))</f>
      </c>
      <c r="BS10" s="137">
        <f>IF($AH$2="",1,IF($AH$2="(blank)",--(AH10=""),IF($AH$2="(nonblank)",--(AH10&lt;&gt;""),--ISNUMBER(SEARCH($AH$2,AH10)))))</f>
      </c>
      <c r="BT10" s="137">
        <f>IF(COUNTIF($AL10:$BS10,0)&gt;0,0,1)</f>
      </c>
    </row>
    <row r="11" ht="14.25" customHeight="1" s="137">
      <c r="A11" s="148" t="n">
        <v>1</v>
      </c>
      <c r="B11" s="149" t="inlineStr">
        <is>
          <t>Scrap of 145 KV CB</t>
        </is>
      </c>
      <c r="C11" s="150" t="n">
        <v>65007</v>
      </c>
      <c r="D11" s="151" t="n">
        <v>21977</v>
      </c>
      <c r="E11" s="151" t="inlineStr">
        <is>
          <t>NO</t>
        </is>
      </c>
      <c r="F11" s="151" t="n">
        <v>2003</v>
      </c>
      <c r="G11" s="149" t="inlineStr">
        <is>
          <t>NATIONAL ENTERPRISES</t>
        </is>
      </c>
      <c r="H11" s="152" t="n">
        <v>65007</v>
      </c>
      <c r="I11" s="152">
        <f>ROUND(H11*18%,0)</f>
        <v/>
      </c>
      <c r="J11" s="152">
        <f>+H11+I11</f>
        <v/>
      </c>
      <c r="K11" s="152">
        <f>ROUND((H11+I11)*2%,0)</f>
        <v/>
      </c>
      <c r="L11" s="153">
        <f>H11*0.1%</f>
        <v/>
      </c>
      <c r="M11" s="153">
        <f>H11*2.25%*118%</f>
        <v/>
      </c>
      <c r="N11" s="154">
        <f>H11*2.25%*2%</f>
        <v/>
      </c>
      <c r="O11" s="153">
        <f>M11-N11</f>
        <v/>
      </c>
      <c r="P11" s="153">
        <f>ROUND(O11+L11,0)</f>
        <v/>
      </c>
      <c r="Q11" s="155" t="n">
        <v>0</v>
      </c>
      <c r="R11" s="153">
        <f>ROUND(H11*Q11,0)</f>
        <v/>
      </c>
      <c r="S11" s="152">
        <f>ROUND(H11*117.65%-R11,0)</f>
        <v/>
      </c>
      <c r="T11" s="153">
        <f>ROUND(H11*25%,0)</f>
        <v/>
      </c>
      <c r="U11" s="156">
        <f>+T11</f>
        <v/>
      </c>
      <c r="V11" s="153" t="inlineStr">
        <is>
          <t>13.08.2026</t>
        </is>
      </c>
      <c r="W11" s="153">
        <f>ROUND(H11*92.65%-R11,0)</f>
        <v/>
      </c>
      <c r="X11" s="153" t="n">
        <v>60229</v>
      </c>
      <c r="Y11" s="153" t="inlineStr">
        <is>
          <t>24.08.2026</t>
        </is>
      </c>
      <c r="Z11" s="153">
        <f>IF(IF(OR(AB11="",AB11=0),TODAY(),DATE(VALUE(RIGHT(AB11,4)),VALUE(MID(AB11,4,2)),VALUE(LEFT(AB11,2))))&lt;=DATE(2026,8,24),0,H11*0.0118*CEILING((IF(OR(AB11="",AB11=0),TODAY(),DATE(VALUE(RIGHT(AB11,4)),VALUE(MID(AB11,4,2)),VALUE(LEFT(AB11,2))))-DATE(2026,8,22))/7,1))</f>
        <v/>
      </c>
      <c r="AA11" s="153" t="n"/>
      <c r="AB11" s="153" t="n"/>
      <c r="AC11" s="157">
        <f>U11+X11+AA11</f>
        <v/>
      </c>
      <c r="AD11" s="157">
        <f>S11-AC11</f>
        <v/>
      </c>
      <c r="AE11" s="153">
        <f>IF(AD11="","",IF(AD11&lt;=5,"SETTLED","OUTSTANDING"))</f>
        <v/>
      </c>
      <c r="AF11" s="153" t="inlineStr">
        <is>
          <t>DR2640100032</t>
        </is>
      </c>
      <c r="AG11" s="158" t="n">
        <v>1800003304</v>
      </c>
      <c r="AH11" s="159" t="inlineStr">
        <is>
          <t>27.08.2026</t>
        </is>
      </c>
      <c r="AL11" s="137">
        <f>IF($A$2="",1,IF($A$2="(blank)",--(A11=""),IF($A$2="(nonblank)",--(A11&lt;&gt;""),--ISNUMBER(SEARCH($A$2,A11)))))</f>
      </c>
      <c r="AM11" s="137">
        <f>IF($B$2="",1,IF($B$2="(blank)",--(B11=""),IF($B$2="(nonblank)",--(B11&lt;&gt;""),--ISNUMBER(SEARCH($B$2,B11)))))</f>
      </c>
      <c r="AN11" s="137">
        <f>IF($C$2="",1,IF($C$2="(blank)",--(C11=""),IF($C$2="(nonblank)",--(C11&lt;&gt;""),--ISNUMBER(SEARCH($C$2,C11)))))</f>
      </c>
      <c r="AO11" s="137">
        <f>IF($D$2="",1,IF($D$2="(blank)",--(D11=""),IF($D$2="(nonblank)",--(D11&lt;&gt;""),--ISNUMBER(SEARCH($D$2,D11)))))</f>
      </c>
      <c r="AP11" s="137">
        <f>IF($E$2="",1,IF($E$2="(blank)",--(E11=""),IF($E$2="(nonblank)",--(E11&lt;&gt;""),--ISNUMBER(SEARCH($E$2,E11)))))</f>
      </c>
      <c r="AQ11" s="137">
        <f>IF($F$2="",1,IF($F$2="(blank)",--(F11=""),IF($F$2="(nonblank)",--(F11&lt;&gt;""),--ISNUMBER(SEARCH($F$2,F11)))))</f>
      </c>
      <c r="AR11" s="137">
        <f>IF($G$2="",1,IF($G$2="(blank)",--(G11=""),IF($G$2="(nonblank)",--(G11&lt;&gt;""),--ISNUMBER(SEARCH($G$2,G11)))))</f>
      </c>
      <c r="AS11" s="137">
        <f>IF($H$2="",1,IF($H$2="(blank)",--(H11=""),IF($H$2="(nonblank)",--(H11&lt;&gt;""),--ISNUMBER(SEARCH($H$2,H11)))))</f>
      </c>
      <c r="AT11" s="137">
        <f>IF($I$2="",1,IF($I$2="(blank)",--(I11=""),IF($I$2="(nonblank)",--(I11&lt;&gt;""),--ISNUMBER(SEARCH($I$2,I11)))))</f>
      </c>
      <c r="AU11" s="137">
        <f>IF($J$2="",1,IF($J$2="(blank)",--(J11=""),IF($J$2="(nonblank)",--(J11&lt;&gt;""),--ISNUMBER(SEARCH($J$2,J11)))))</f>
      </c>
      <c r="AV11" s="137">
        <f>IF($K$2="",1,IF($K$2="(blank)",--(K11=""),IF($K$2="(nonblank)",--(K11&lt;&gt;""),--ISNUMBER(SEARCH($K$2,K11)))))</f>
      </c>
      <c r="AW11" s="137">
        <f>IF($L$2="",1,IF($L$2="(blank)",--(L11=""),IF($L$2="(nonblank)",--(L11&lt;&gt;""),--ISNUMBER(SEARCH($L$2,L11)))))</f>
      </c>
      <c r="AX11" s="137">
        <f>IF($M$2="",1,IF($M$2="(blank)",--(M11=""),IF($M$2="(nonblank)",--(M11&lt;&gt;""),--ISNUMBER(SEARCH($M$2,M11)))))</f>
      </c>
      <c r="AY11" s="137">
        <f>IF($N$2="",1,IF($N$2="(blank)",--(N11=""),IF($N$2="(nonblank)",--(N11&lt;&gt;""),--ISNUMBER(SEARCH($N$2,N11)))))</f>
      </c>
      <c r="AZ11" s="137">
        <f>IF($O$2="",1,IF($O$2="(blank)",--(O11=""),IF($O$2="(nonblank)",--(O11&lt;&gt;""),--ISNUMBER(SEARCH($O$2,O11)))))</f>
      </c>
      <c r="BA11" s="137">
        <f>IF($P$2="",1,IF($P$2="(blank)",--(P11=""),IF($P$2="(nonblank)",--(P11&lt;&gt;""),--ISNUMBER(SEARCH($P$2,P11)))))</f>
      </c>
      <c r="BB11" s="137">
        <f>IF($Q$2="",1,IF($Q$2="(blank)",--(Q11=""),IF($Q$2="(nonblank)",--(Q11&lt;&gt;""),--ISNUMBER(SEARCH($Q$2,Q11)))))</f>
      </c>
      <c r="BC11" s="137">
        <f>IF($R$2="",1,IF($R$2="(blank)",--(R11=""),IF($R$2="(nonblank)",--(R11&lt;&gt;""),--ISNUMBER(SEARCH($R$2,R11)))))</f>
      </c>
      <c r="BD11" s="137">
        <f>IF($S$2="",1,IF($S$2="(blank)",--(S11=""),IF($S$2="(nonblank)",--(S11&lt;&gt;""),--ISNUMBER(SEARCH($S$2,S11)))))</f>
      </c>
      <c r="BE11" s="137">
        <f>IF($T$2="",1,IF($T$2="(blank)",--(T11=""),IF($T$2="(nonblank)",--(T11&lt;&gt;""),--ISNUMBER(SEARCH($T$2,T11)))))</f>
      </c>
      <c r="BF11" s="137">
        <f>IF($U$2="",1,IF($U$2="(blank)",--(U11=""),IF($U$2="(nonblank)",--(U11&lt;&gt;""),--ISNUMBER(SEARCH($U$2,U11)))))</f>
      </c>
      <c r="BG11" s="137">
        <f>IF($V$2="",1,IF($V$2="(blank)",--(V11=""),IF($V$2="(nonblank)",--(V11&lt;&gt;""),--ISNUMBER(SEARCH($V$2,V11)))))</f>
      </c>
      <c r="BH11" s="137">
        <f>IF($W$2="",1,IF($W$2="(blank)",--(W11=""),IF($W$2="(nonblank)",--(W11&lt;&gt;""),--ISNUMBER(SEARCH($W$2,W11)))))</f>
      </c>
      <c r="BI11" s="137">
        <f>IF($X$2="",1,IF($X$2="(blank)",--(X11=""),IF($X$2="(nonblank)",--(X11&lt;&gt;""),--ISNUMBER(SEARCH($X$2,X11)))))</f>
      </c>
      <c r="BJ11" s="137">
        <f>IF($Y$2="",1,IF($Y$2="(blank)",--(Y11=""),IF($Y$2="(nonblank)",--(Y11&lt;&gt;""),--ISNUMBER(SEARCH($Y$2,Y11)))))</f>
      </c>
      <c r="BK11" s="137">
        <f>IF($Z$2="",1,IF($Z$2="(blank)",--(Z11=""),IF($Z$2="(nonblank)",--(Z11&lt;&gt;""),--ISNUMBER(SEARCH($Z$2,Z11)))))</f>
      </c>
      <c r="BL11" s="137">
        <f>IF($AA$2="",1,IF($AA$2="(blank)",--(AA11=""),IF($AA$2="(nonblank)",--(AA11&lt;&gt;""),--ISNUMBER(SEARCH($AA$2,AA11)))))</f>
      </c>
      <c r="BM11" s="137">
        <f>IF($AB$2="",1,IF($AB$2="(blank)",--(AB11=""),IF($AB$2="(nonblank)",--(AB11&lt;&gt;""),--ISNUMBER(SEARCH($AB$2,AB11)))))</f>
      </c>
      <c r="BN11" s="137">
        <f>IF($AC$2="",1,IF($AC$2="(blank)",--(AC11=""),IF($AC$2="(nonblank)",--(AC11&lt;&gt;""),--ISNUMBER(SEARCH($AC$2,AC11)))))</f>
      </c>
      <c r="BO11" s="137">
        <f>IF($AD$2="",1,IF($AD$2="(blank)",--(AD11=""),IF($AD$2="(nonblank)",--(AD11&lt;&gt;""),--ISNUMBER(SEARCH($AD$2,AD11)))))</f>
      </c>
      <c r="BP11" s="137">
        <f>IF($AE$2="",1,IF($AE$2="(blank)",--(AE11=""),IF($AE$2="(nonblank)",--(AE11&lt;&gt;""),--ISNUMBER(SEARCH($AE$2,AE11)))))</f>
      </c>
      <c r="BQ11" s="137">
        <f>IF($AF$2="",1,IF($AF$2="(blank)",--(AF11=""),IF($AF$2="(nonblank)",--(AF11&lt;&gt;""),--ISNUMBER(SEARCH($AF$2,AF11)))))</f>
      </c>
      <c r="BR11" s="137">
        <f>IF($AG$2="",1,IF($AG$2="(blank)",--(AG11=""),IF($AG$2="(nonblank)",--(AG11&lt;&gt;""),--ISNUMBER(SEARCH($AG$2,AG11)))))</f>
      </c>
      <c r="BS11" s="137">
        <f>IF($AH$2="",1,IF($AH$2="(blank)",--(AH11=""),IF($AH$2="(nonblank)",--(AH11&lt;&gt;""),--ISNUMBER(SEARCH($AH$2,AH11)))))</f>
      </c>
      <c r="BT11" s="137">
        <f>IF(COUNTIF($AL11:$BS11,0)&gt;0,0,1)</f>
      </c>
    </row>
    <row r="12" ht="14.25" customHeight="1" s="13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IF(IF(OR(AB12="",AB12=0),TODAY(),DATE(VALUE(RIGHT(AB12,4)),VALUE(MID(AB12,4,2)),VALUE(LEFT(AB12,2))))&lt;=DATE(2026,8,24),0,H12*0.0118*CEILING((IF(OR(AB12="",AB12=0),TODAY(),DATE(VALUE(RIGHT(AB12,4)),VALUE(MID(AB12,4,2)),VALUE(LEFT(AB12,2))))-DATE(2026,8,22))/7,1))</f>
        <v/>
      </c>
      <c r="AA12" s="28" t="n"/>
      <c r="AB12" s="28" t="n"/>
      <c r="AC12" s="15">
        <f>U12+X12+AA12</f>
        <v/>
      </c>
      <c r="AD12" s="19">
        <f>S12-AC12</f>
        <v/>
      </c>
      <c r="AE12" s="20">
        <f>IF(AD12="","",IF(AD12&lt;=5,"SETTLED","OUTSTANDING"))</f>
        <v/>
      </c>
      <c r="AF12" s="20" t="inlineStr">
        <is>
          <t>DR2640100033</t>
        </is>
      </c>
      <c r="AG12" s="21" t="n">
        <v>1800003305</v>
      </c>
      <c r="AH12" s="22" t="inlineStr">
        <is>
          <t>27.08.2026</t>
        </is>
      </c>
      <c r="AL12" s="137">
        <f>IF($A$2="",1,IF($A$2="(blank)",--(A12=""),IF($A$2="(nonblank)",--(A12&lt;&gt;""),--ISNUMBER(SEARCH($A$2,A12)))))</f>
      </c>
      <c r="AM12" s="137">
        <f>IF($B$2="",1,IF($B$2="(blank)",--(B12=""),IF($B$2="(nonblank)",--(B12&lt;&gt;""),--ISNUMBER(SEARCH($B$2,B12)))))</f>
      </c>
      <c r="AN12" s="137">
        <f>IF($C$2="",1,IF($C$2="(blank)",--(C12=""),IF($C$2="(nonblank)",--(C12&lt;&gt;""),--ISNUMBER(SEARCH($C$2,C12)))))</f>
      </c>
      <c r="AO12" s="137">
        <f>IF($D$2="",1,IF($D$2="(blank)",--(D12=""),IF($D$2="(nonblank)",--(D12&lt;&gt;""),--ISNUMBER(SEARCH($D$2,D12)))))</f>
      </c>
      <c r="AP12" s="137">
        <f>IF($E$2="",1,IF($E$2="(blank)",--(E12=""),IF($E$2="(nonblank)",--(E12&lt;&gt;""),--ISNUMBER(SEARCH($E$2,E12)))))</f>
      </c>
      <c r="AQ12" s="137">
        <f>IF($F$2="",1,IF($F$2="(blank)",--(F12=""),IF($F$2="(nonblank)",--(F12&lt;&gt;""),--ISNUMBER(SEARCH($F$2,F12)))))</f>
      </c>
      <c r="AR12" s="137">
        <f>IF($G$2="",1,IF($G$2="(blank)",--(G12=""),IF($G$2="(nonblank)",--(G12&lt;&gt;""),--ISNUMBER(SEARCH($G$2,G12)))))</f>
      </c>
      <c r="AS12" s="137">
        <f>IF($H$2="",1,IF($H$2="(blank)",--(H12=""),IF($H$2="(nonblank)",--(H12&lt;&gt;""),--ISNUMBER(SEARCH($H$2,H12)))))</f>
      </c>
      <c r="AT12" s="137">
        <f>IF($I$2="",1,IF($I$2="(blank)",--(I12=""),IF($I$2="(nonblank)",--(I12&lt;&gt;""),--ISNUMBER(SEARCH($I$2,I12)))))</f>
      </c>
      <c r="AU12" s="137">
        <f>IF($J$2="",1,IF($J$2="(blank)",--(J12=""),IF($J$2="(nonblank)",--(J12&lt;&gt;""),--ISNUMBER(SEARCH($J$2,J12)))))</f>
      </c>
      <c r="AV12" s="137">
        <f>IF($K$2="",1,IF($K$2="(blank)",--(K12=""),IF($K$2="(nonblank)",--(K12&lt;&gt;""),--ISNUMBER(SEARCH($K$2,K12)))))</f>
      </c>
      <c r="AW12" s="137">
        <f>IF($L$2="",1,IF($L$2="(blank)",--(L12=""),IF($L$2="(nonblank)",--(L12&lt;&gt;""),--ISNUMBER(SEARCH($L$2,L12)))))</f>
      </c>
      <c r="AX12" s="137">
        <f>IF($M$2="",1,IF($M$2="(blank)",--(M12=""),IF($M$2="(nonblank)",--(M12&lt;&gt;""),--ISNUMBER(SEARCH($M$2,M12)))))</f>
      </c>
      <c r="AY12" s="137">
        <f>IF($N$2="",1,IF($N$2="(blank)",--(N12=""),IF($N$2="(nonblank)",--(N12&lt;&gt;""),--ISNUMBER(SEARCH($N$2,N12)))))</f>
      </c>
      <c r="AZ12" s="137">
        <f>IF($O$2="",1,IF($O$2="(blank)",--(O12=""),IF($O$2="(nonblank)",--(O12&lt;&gt;""),--ISNUMBER(SEARCH($O$2,O12)))))</f>
      </c>
      <c r="BA12" s="137">
        <f>IF($P$2="",1,IF($P$2="(blank)",--(P12=""),IF($P$2="(nonblank)",--(P12&lt;&gt;""),--ISNUMBER(SEARCH($P$2,P12)))))</f>
      </c>
      <c r="BB12" s="137">
        <f>IF($Q$2="",1,IF($Q$2="(blank)",--(Q12=""),IF($Q$2="(nonblank)",--(Q12&lt;&gt;""),--ISNUMBER(SEARCH($Q$2,Q12)))))</f>
      </c>
      <c r="BC12" s="137">
        <f>IF($R$2="",1,IF($R$2="(blank)",--(R12=""),IF($R$2="(nonblank)",--(R12&lt;&gt;""),--ISNUMBER(SEARCH($R$2,R12)))))</f>
      </c>
      <c r="BD12" s="137">
        <f>IF($S$2="",1,IF($S$2="(blank)",--(S12=""),IF($S$2="(nonblank)",--(S12&lt;&gt;""),--ISNUMBER(SEARCH($S$2,S12)))))</f>
      </c>
      <c r="BE12" s="137">
        <f>IF($T$2="",1,IF($T$2="(blank)",--(T12=""),IF($T$2="(nonblank)",--(T12&lt;&gt;""),--ISNUMBER(SEARCH($T$2,T12)))))</f>
      </c>
      <c r="BF12" s="137">
        <f>IF($U$2="",1,IF($U$2="(blank)",--(U12=""),IF($U$2="(nonblank)",--(U12&lt;&gt;""),--ISNUMBER(SEARCH($U$2,U12)))))</f>
      </c>
      <c r="BG12" s="137">
        <f>IF($V$2="",1,IF($V$2="(blank)",--(V12=""),IF($V$2="(nonblank)",--(V12&lt;&gt;""),--ISNUMBER(SEARCH($V$2,V12)))))</f>
      </c>
      <c r="BH12" s="137">
        <f>IF($W$2="",1,IF($W$2="(blank)",--(W12=""),IF($W$2="(nonblank)",--(W12&lt;&gt;""),--ISNUMBER(SEARCH($W$2,W12)))))</f>
      </c>
      <c r="BI12" s="137">
        <f>IF($X$2="",1,IF($X$2="(blank)",--(X12=""),IF($X$2="(nonblank)",--(X12&lt;&gt;""),--ISNUMBER(SEARCH($X$2,X12)))))</f>
      </c>
      <c r="BJ12" s="137">
        <f>IF($Y$2="",1,IF($Y$2="(blank)",--(Y12=""),IF($Y$2="(nonblank)",--(Y12&lt;&gt;""),--ISNUMBER(SEARCH($Y$2,Y12)))))</f>
      </c>
      <c r="BK12" s="137">
        <f>IF($Z$2="",1,IF($Z$2="(blank)",--(Z12=""),IF($Z$2="(nonblank)",--(Z12&lt;&gt;""),--ISNUMBER(SEARCH($Z$2,Z12)))))</f>
      </c>
      <c r="BL12" s="137">
        <f>IF($AA$2="",1,IF($AA$2="(blank)",--(AA12=""),IF($AA$2="(nonblank)",--(AA12&lt;&gt;""),--ISNUMBER(SEARCH($AA$2,AA12)))))</f>
      </c>
      <c r="BM12" s="137">
        <f>IF($AB$2="",1,IF($AB$2="(blank)",--(AB12=""),IF($AB$2="(nonblank)",--(AB12&lt;&gt;""),--ISNUMBER(SEARCH($AB$2,AB12)))))</f>
      </c>
      <c r="BN12" s="137">
        <f>IF($AC$2="",1,IF($AC$2="(blank)",--(AC12=""),IF($AC$2="(nonblank)",--(AC12&lt;&gt;""),--ISNUMBER(SEARCH($AC$2,AC12)))))</f>
      </c>
      <c r="BO12" s="137">
        <f>IF($AD$2="",1,IF($AD$2="(blank)",--(AD12=""),IF($AD$2="(nonblank)",--(AD12&lt;&gt;""),--ISNUMBER(SEARCH($AD$2,AD12)))))</f>
      </c>
      <c r="BP12" s="137">
        <f>IF($AE$2="",1,IF($AE$2="(blank)",--(AE12=""),IF($AE$2="(nonblank)",--(AE12&lt;&gt;""),--ISNUMBER(SEARCH($AE$2,AE12)))))</f>
      </c>
      <c r="BQ12" s="137">
        <f>IF($AF$2="",1,IF($AF$2="(blank)",--(AF12=""),IF($AF$2="(nonblank)",--(AF12&lt;&gt;""),--ISNUMBER(SEARCH($AF$2,AF12)))))</f>
      </c>
      <c r="BR12" s="137">
        <f>IF($AG$2="",1,IF($AG$2="(blank)",--(AG12=""),IF($AG$2="(nonblank)",--(AG12&lt;&gt;""),--ISNUMBER(SEARCH($AG$2,AG12)))))</f>
      </c>
      <c r="BS12" s="137">
        <f>IF($AH$2="",1,IF($AH$2="(blank)",--(AH12=""),IF($AH$2="(nonblank)",--(AH12&lt;&gt;""),--ISNUMBER(SEARCH($AH$2,AH12)))))</f>
      </c>
      <c r="BT12" s="137">
        <f>IF(COUNTIF($AL12:$BS12,0)&gt;0,0,1)</f>
      </c>
    </row>
    <row r="13" ht="14.25" customHeight="1" s="137">
      <c r="A13" s="148" t="n">
        <v>25</v>
      </c>
      <c r="B13" s="149" t="inlineStr">
        <is>
          <t>Scrap of empty oil drums</t>
        </is>
      </c>
      <c r="C13" s="150" t="n">
        <v>700</v>
      </c>
      <c r="D13" s="151" t="n">
        <v>21977</v>
      </c>
      <c r="E13" s="151" t="inlineStr">
        <is>
          <t>NO</t>
        </is>
      </c>
      <c r="F13" s="151" t="n">
        <v>2006</v>
      </c>
      <c r="G13" s="149" t="inlineStr">
        <is>
          <t>STERLING ENTERPRISES</t>
        </is>
      </c>
      <c r="H13" s="152" t="n">
        <v>17500</v>
      </c>
      <c r="I13" s="152">
        <f>ROUND(H13*18%,0)</f>
        <v/>
      </c>
      <c r="J13" s="152">
        <f>+H13+I13</f>
        <v/>
      </c>
      <c r="K13" s="152">
        <f>ROUND((H13+I13)*2%,0)</f>
        <v/>
      </c>
      <c r="L13" s="153">
        <f>H13*0.1%</f>
        <v/>
      </c>
      <c r="M13" s="153">
        <f>H13*2.25%*118%</f>
        <v/>
      </c>
      <c r="N13" s="154">
        <f>H13*2.25%*2%</f>
        <v/>
      </c>
      <c r="O13" s="153">
        <f>M13-N13</f>
        <v/>
      </c>
      <c r="P13" s="153">
        <f>ROUND(O13+L13,0)</f>
        <v/>
      </c>
      <c r="Q13" s="155" t="n">
        <v>0</v>
      </c>
      <c r="R13" s="153">
        <f>ROUND(H13*Q13,0)</f>
        <v/>
      </c>
      <c r="S13" s="152">
        <f>ROUND(H13*117.65%-R13,0)</f>
        <v/>
      </c>
      <c r="T13" s="153">
        <f>ROUND(H13*25%,0)</f>
        <v/>
      </c>
      <c r="U13" s="156" t="n">
        <v>4375</v>
      </c>
      <c r="V13" s="153" t="inlineStr">
        <is>
          <t>11.08.2026</t>
        </is>
      </c>
      <c r="W13" s="153">
        <f>ROUND(H13*92.65%-R13,0)</f>
        <v/>
      </c>
      <c r="X13" s="153" t="n">
        <v>16214</v>
      </c>
      <c r="Y13" s="153" t="inlineStr">
        <is>
          <t>11.08.2026</t>
        </is>
      </c>
      <c r="Z13" s="153">
        <f>IF(IF(OR(AB13="",AB13=0),TODAY(),DATE(VALUE(RIGHT(AB13,4)),VALUE(MID(AB13,4,2)),VALUE(LEFT(AB13,2))))&lt;=DATE(2026,8,24),0,H13*0.0118*CEILING((IF(OR(AB13="",AB13=0),TODAY(),DATE(VALUE(RIGHT(AB13,4)),VALUE(MID(AB13,4,2)),VALUE(LEFT(AB13,2))))-DATE(2026,8,22))/7,1))</f>
        <v/>
      </c>
      <c r="AA13" s="153" t="n"/>
      <c r="AB13" s="153" t="n"/>
      <c r="AC13" s="157">
        <f>U13+X13+AA13</f>
        <v/>
      </c>
      <c r="AD13" s="157">
        <f>S13-AC13</f>
        <v/>
      </c>
      <c r="AE13" s="153">
        <f>IF(AD13="","",IF(AD13&lt;=5,"SETTLED","OUTSTANDING"))</f>
        <v/>
      </c>
      <c r="AF13" s="153" t="inlineStr">
        <is>
          <t>DR2640100018</t>
        </is>
      </c>
      <c r="AG13" s="158" t="n">
        <v>1800003156</v>
      </c>
      <c r="AH13" s="159" t="inlineStr">
        <is>
          <t>14.08.2026</t>
        </is>
      </c>
      <c r="AL13" s="137">
        <f>IF($A$2="",1,IF($A$2="(blank)",--(A13=""),IF($A$2="(nonblank)",--(A13&lt;&gt;""),--ISNUMBER(SEARCH($A$2,A13)))))</f>
      </c>
      <c r="AM13" s="137">
        <f>IF($B$2="",1,IF($B$2="(blank)",--(B13=""),IF($B$2="(nonblank)",--(B13&lt;&gt;""),--ISNUMBER(SEARCH($B$2,B13)))))</f>
      </c>
      <c r="AN13" s="137">
        <f>IF($C$2="",1,IF($C$2="(blank)",--(C13=""),IF($C$2="(nonblank)",--(C13&lt;&gt;""),--ISNUMBER(SEARCH($C$2,C13)))))</f>
      </c>
      <c r="AO13" s="137">
        <f>IF($D$2="",1,IF($D$2="(blank)",--(D13=""),IF($D$2="(nonblank)",--(D13&lt;&gt;""),--ISNUMBER(SEARCH($D$2,D13)))))</f>
      </c>
      <c r="AP13" s="137">
        <f>IF($E$2="",1,IF($E$2="(blank)",--(E13=""),IF($E$2="(nonblank)",--(E13&lt;&gt;""),--ISNUMBER(SEARCH($E$2,E13)))))</f>
      </c>
      <c r="AQ13" s="137">
        <f>IF($F$2="",1,IF($F$2="(blank)",--(F13=""),IF($F$2="(nonblank)",--(F13&lt;&gt;""),--ISNUMBER(SEARCH($F$2,F13)))))</f>
      </c>
      <c r="AR13" s="137">
        <f>IF($G$2="",1,IF($G$2="(blank)",--(G13=""),IF($G$2="(nonblank)",--(G13&lt;&gt;""),--ISNUMBER(SEARCH($G$2,G13)))))</f>
      </c>
      <c r="AS13" s="137">
        <f>IF($H$2="",1,IF($H$2="(blank)",--(H13=""),IF($H$2="(nonblank)",--(H13&lt;&gt;""),--ISNUMBER(SEARCH($H$2,H13)))))</f>
      </c>
      <c r="AT13" s="137">
        <f>IF($I$2="",1,IF($I$2="(blank)",--(I13=""),IF($I$2="(nonblank)",--(I13&lt;&gt;""),--ISNUMBER(SEARCH($I$2,I13)))))</f>
      </c>
      <c r="AU13" s="137">
        <f>IF($J$2="",1,IF($J$2="(blank)",--(J13=""),IF($J$2="(nonblank)",--(J13&lt;&gt;""),--ISNUMBER(SEARCH($J$2,J13)))))</f>
      </c>
      <c r="AV13" s="137">
        <f>IF($K$2="",1,IF($K$2="(blank)",--(K13=""),IF($K$2="(nonblank)",--(K13&lt;&gt;""),--ISNUMBER(SEARCH($K$2,K13)))))</f>
      </c>
      <c r="AW13" s="137">
        <f>IF($L$2="",1,IF($L$2="(blank)",--(L13=""),IF($L$2="(nonblank)",--(L13&lt;&gt;""),--ISNUMBER(SEARCH($L$2,L13)))))</f>
      </c>
      <c r="AX13" s="137">
        <f>IF($M$2="",1,IF($M$2="(blank)",--(M13=""),IF($M$2="(nonblank)",--(M13&lt;&gt;""),--ISNUMBER(SEARCH($M$2,M13)))))</f>
      </c>
      <c r="AY13" s="137">
        <f>IF($N$2="",1,IF($N$2="(blank)",--(N13=""),IF($N$2="(nonblank)",--(N13&lt;&gt;""),--ISNUMBER(SEARCH($N$2,N13)))))</f>
      </c>
      <c r="AZ13" s="137">
        <f>IF($O$2="",1,IF($O$2="(blank)",--(O13=""),IF($O$2="(nonblank)",--(O13&lt;&gt;""),--ISNUMBER(SEARCH($O$2,O13)))))</f>
      </c>
      <c r="BA13" s="137">
        <f>IF($P$2="",1,IF($P$2="(blank)",--(P13=""),IF($P$2="(nonblank)",--(P13&lt;&gt;""),--ISNUMBER(SEARCH($P$2,P13)))))</f>
      </c>
      <c r="BB13" s="137">
        <f>IF($Q$2="",1,IF($Q$2="(blank)",--(Q13=""),IF($Q$2="(nonblank)",--(Q13&lt;&gt;""),--ISNUMBER(SEARCH($Q$2,Q13)))))</f>
      </c>
      <c r="BC13" s="137">
        <f>IF($R$2="",1,IF($R$2="(blank)",--(R13=""),IF($R$2="(nonblank)",--(R13&lt;&gt;""),--ISNUMBER(SEARCH($R$2,R13)))))</f>
      </c>
      <c r="BD13" s="137">
        <f>IF($S$2="",1,IF($S$2="(blank)",--(S13=""),IF($S$2="(nonblank)",--(S13&lt;&gt;""),--ISNUMBER(SEARCH($S$2,S13)))))</f>
      </c>
      <c r="BE13" s="137">
        <f>IF($T$2="",1,IF($T$2="(blank)",--(T13=""),IF($T$2="(nonblank)",--(T13&lt;&gt;""),--ISNUMBER(SEARCH($T$2,T13)))))</f>
      </c>
      <c r="BF13" s="137">
        <f>IF($U$2="",1,IF($U$2="(blank)",--(U13=""),IF($U$2="(nonblank)",--(U13&lt;&gt;""),--ISNUMBER(SEARCH($U$2,U13)))))</f>
      </c>
      <c r="BG13" s="137">
        <f>IF($V$2="",1,IF($V$2="(blank)",--(V13=""),IF($V$2="(nonblank)",--(V13&lt;&gt;""),--ISNUMBER(SEARCH($V$2,V13)))))</f>
      </c>
      <c r="BH13" s="137">
        <f>IF($W$2="",1,IF($W$2="(blank)",--(W13=""),IF($W$2="(nonblank)",--(W13&lt;&gt;""),--ISNUMBER(SEARCH($W$2,W13)))))</f>
      </c>
      <c r="BI13" s="137">
        <f>IF($X$2="",1,IF($X$2="(blank)",--(X13=""),IF($X$2="(nonblank)",--(X13&lt;&gt;""),--ISNUMBER(SEARCH($X$2,X13)))))</f>
      </c>
      <c r="BJ13" s="137">
        <f>IF($Y$2="",1,IF($Y$2="(blank)",--(Y13=""),IF($Y$2="(nonblank)",--(Y13&lt;&gt;""),--ISNUMBER(SEARCH($Y$2,Y13)))))</f>
      </c>
      <c r="BK13" s="137">
        <f>IF($Z$2="",1,IF($Z$2="(blank)",--(Z13=""),IF($Z$2="(nonblank)",--(Z13&lt;&gt;""),--ISNUMBER(SEARCH($Z$2,Z13)))))</f>
      </c>
      <c r="BL13" s="137">
        <f>IF($AA$2="",1,IF($AA$2="(blank)",--(AA13=""),IF($AA$2="(nonblank)",--(AA13&lt;&gt;""),--ISNUMBER(SEARCH($AA$2,AA13)))))</f>
      </c>
      <c r="BM13" s="137">
        <f>IF($AB$2="",1,IF($AB$2="(blank)",--(AB13=""),IF($AB$2="(nonblank)",--(AB13&lt;&gt;""),--ISNUMBER(SEARCH($AB$2,AB13)))))</f>
      </c>
      <c r="BN13" s="137">
        <f>IF($AC$2="",1,IF($AC$2="(blank)",--(AC13=""),IF($AC$2="(nonblank)",--(AC13&lt;&gt;""),--ISNUMBER(SEARCH($AC$2,AC13)))))</f>
      </c>
      <c r="BO13" s="137">
        <f>IF($AD$2="",1,IF($AD$2="(blank)",--(AD13=""),IF($AD$2="(nonblank)",--(AD13&lt;&gt;""),--ISNUMBER(SEARCH($AD$2,AD13)))))</f>
      </c>
      <c r="BP13" s="137">
        <f>IF($AE$2="",1,IF($AE$2="(blank)",--(AE13=""),IF($AE$2="(nonblank)",--(AE13&lt;&gt;""),--ISNUMBER(SEARCH($AE$2,AE13)))))</f>
      </c>
      <c r="BQ13" s="137">
        <f>IF($AF$2="",1,IF($AF$2="(blank)",--(AF13=""),IF($AF$2="(nonblank)",--(AF13&lt;&gt;""),--ISNUMBER(SEARCH($AF$2,AF13)))))</f>
      </c>
      <c r="BR13" s="137">
        <f>IF($AG$2="",1,IF($AG$2="(blank)",--(AG13=""),IF($AG$2="(nonblank)",--(AG13&lt;&gt;""),--ISNUMBER(SEARCH($AG$2,AG13)))))</f>
      </c>
      <c r="BS13" s="137">
        <f>IF($AH$2="",1,IF($AH$2="(blank)",--(AH13=""),IF($AH$2="(nonblank)",--(AH13&lt;&gt;""),--ISNUMBER(SEARCH($AH$2,AH13)))))</f>
      </c>
      <c r="BT13" s="137">
        <f>IF(COUNTIF($AL13:$BS13,0)&gt;0,0,1)</f>
      </c>
    </row>
    <row r="14" ht="14.25" customHeight="1" s="13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IF(IF(OR(AB14="",AB14=0),TODAY(),DATE(VALUE(RIGHT(AB14,4)),VALUE(MID(AB14,4,2)),VALUE(LEFT(AB14,2))))&lt;=DATE(2026,8,24),0,H14*0.0118*CEILING((IF(OR(AB14="",AB14=0),TODAY(),DATE(VALUE(RIGHT(AB14,4)),VALUE(MID(AB14,4,2)),VALUE(LEFT(AB14,2))))-DATE(2026,8,22))/7,1))</f>
        <v/>
      </c>
      <c r="AA14" s="28" t="n"/>
      <c r="AB14" s="28" t="n"/>
      <c r="AC14" s="15">
        <f>U14+X14+AA14</f>
        <v/>
      </c>
      <c r="AD14" s="19">
        <f>S14-AC14</f>
        <v/>
      </c>
      <c r="AE14" s="20">
        <f>IF(AD14="","",IF(AD14&lt;=5,"SETTLED","OUTSTANDING"))</f>
        <v/>
      </c>
      <c r="AF14" s="20" t="inlineStr">
        <is>
          <t>DR2640100024</t>
        </is>
      </c>
      <c r="AG14" s="21" t="n">
        <v>1800003196</v>
      </c>
      <c r="AH14" s="22" t="inlineStr">
        <is>
          <t>17.08.2026</t>
        </is>
      </c>
      <c r="AL14" s="137">
        <f>IF($A$2="",1,IF($A$2="(blank)",--(A14=""),IF($A$2="(nonblank)",--(A14&lt;&gt;""),--ISNUMBER(SEARCH($A$2,A14)))))</f>
      </c>
      <c r="AM14" s="137">
        <f>IF($B$2="",1,IF($B$2="(blank)",--(B14=""),IF($B$2="(nonblank)",--(B14&lt;&gt;""),--ISNUMBER(SEARCH($B$2,B14)))))</f>
      </c>
      <c r="AN14" s="137">
        <f>IF($C$2="",1,IF($C$2="(blank)",--(C14=""),IF($C$2="(nonblank)",--(C14&lt;&gt;""),--ISNUMBER(SEARCH($C$2,C14)))))</f>
      </c>
      <c r="AO14" s="137">
        <f>IF($D$2="",1,IF($D$2="(blank)",--(D14=""),IF($D$2="(nonblank)",--(D14&lt;&gt;""),--ISNUMBER(SEARCH($D$2,D14)))))</f>
      </c>
      <c r="AP14" s="137">
        <f>IF($E$2="",1,IF($E$2="(blank)",--(E14=""),IF($E$2="(nonblank)",--(E14&lt;&gt;""),--ISNUMBER(SEARCH($E$2,E14)))))</f>
      </c>
      <c r="AQ14" s="137">
        <f>IF($F$2="",1,IF($F$2="(blank)",--(F14=""),IF($F$2="(nonblank)",--(F14&lt;&gt;""),--ISNUMBER(SEARCH($F$2,F14)))))</f>
      </c>
      <c r="AR14" s="137">
        <f>IF($G$2="",1,IF($G$2="(blank)",--(G14=""),IF($G$2="(nonblank)",--(G14&lt;&gt;""),--ISNUMBER(SEARCH($G$2,G14)))))</f>
      </c>
      <c r="AS14" s="137">
        <f>IF($H$2="",1,IF($H$2="(blank)",--(H14=""),IF($H$2="(nonblank)",--(H14&lt;&gt;""),--ISNUMBER(SEARCH($H$2,H14)))))</f>
      </c>
      <c r="AT14" s="137">
        <f>IF($I$2="",1,IF($I$2="(blank)",--(I14=""),IF($I$2="(nonblank)",--(I14&lt;&gt;""),--ISNUMBER(SEARCH($I$2,I14)))))</f>
      </c>
      <c r="AU14" s="137">
        <f>IF($J$2="",1,IF($J$2="(blank)",--(J14=""),IF($J$2="(nonblank)",--(J14&lt;&gt;""),--ISNUMBER(SEARCH($J$2,J14)))))</f>
      </c>
      <c r="AV14" s="137">
        <f>IF($K$2="",1,IF($K$2="(blank)",--(K14=""),IF($K$2="(nonblank)",--(K14&lt;&gt;""),--ISNUMBER(SEARCH($K$2,K14)))))</f>
      </c>
      <c r="AW14" s="137">
        <f>IF($L$2="",1,IF($L$2="(blank)",--(L14=""),IF($L$2="(nonblank)",--(L14&lt;&gt;""),--ISNUMBER(SEARCH($L$2,L14)))))</f>
      </c>
      <c r="AX14" s="137">
        <f>IF($M$2="",1,IF($M$2="(blank)",--(M14=""),IF($M$2="(nonblank)",--(M14&lt;&gt;""),--ISNUMBER(SEARCH($M$2,M14)))))</f>
      </c>
      <c r="AY14" s="137">
        <f>IF($N$2="",1,IF($N$2="(blank)",--(N14=""),IF($N$2="(nonblank)",--(N14&lt;&gt;""),--ISNUMBER(SEARCH($N$2,N14)))))</f>
      </c>
      <c r="AZ14" s="137">
        <f>IF($O$2="",1,IF($O$2="(blank)",--(O14=""),IF($O$2="(nonblank)",--(O14&lt;&gt;""),--ISNUMBER(SEARCH($O$2,O14)))))</f>
      </c>
      <c r="BA14" s="137">
        <f>IF($P$2="",1,IF($P$2="(blank)",--(P14=""),IF($P$2="(nonblank)",--(P14&lt;&gt;""),--ISNUMBER(SEARCH($P$2,P14)))))</f>
      </c>
      <c r="BB14" s="137">
        <f>IF($Q$2="",1,IF($Q$2="(blank)",--(Q14=""),IF($Q$2="(nonblank)",--(Q14&lt;&gt;""),--ISNUMBER(SEARCH($Q$2,Q14)))))</f>
      </c>
      <c r="BC14" s="137">
        <f>IF($R$2="",1,IF($R$2="(blank)",--(R14=""),IF($R$2="(nonblank)",--(R14&lt;&gt;""),--ISNUMBER(SEARCH($R$2,R14)))))</f>
      </c>
      <c r="BD14" s="137">
        <f>IF($S$2="",1,IF($S$2="(blank)",--(S14=""),IF($S$2="(nonblank)",--(S14&lt;&gt;""),--ISNUMBER(SEARCH($S$2,S14)))))</f>
      </c>
      <c r="BE14" s="137">
        <f>IF($T$2="",1,IF($T$2="(blank)",--(T14=""),IF($T$2="(nonblank)",--(T14&lt;&gt;""),--ISNUMBER(SEARCH($T$2,T14)))))</f>
      </c>
      <c r="BF14" s="137">
        <f>IF($U$2="",1,IF($U$2="(blank)",--(U14=""),IF($U$2="(nonblank)",--(U14&lt;&gt;""),--ISNUMBER(SEARCH($U$2,U14)))))</f>
      </c>
      <c r="BG14" s="137">
        <f>IF($V$2="",1,IF($V$2="(blank)",--(V14=""),IF($V$2="(nonblank)",--(V14&lt;&gt;""),--ISNUMBER(SEARCH($V$2,V14)))))</f>
      </c>
      <c r="BH14" s="137">
        <f>IF($W$2="",1,IF($W$2="(blank)",--(W14=""),IF($W$2="(nonblank)",--(W14&lt;&gt;""),--ISNUMBER(SEARCH($W$2,W14)))))</f>
      </c>
      <c r="BI14" s="137">
        <f>IF($X$2="",1,IF($X$2="(blank)",--(X14=""),IF($X$2="(nonblank)",--(X14&lt;&gt;""),--ISNUMBER(SEARCH($X$2,X14)))))</f>
      </c>
      <c r="BJ14" s="137">
        <f>IF($Y$2="",1,IF($Y$2="(blank)",--(Y14=""),IF($Y$2="(nonblank)",--(Y14&lt;&gt;""),--ISNUMBER(SEARCH($Y$2,Y14)))))</f>
      </c>
      <c r="BK14" s="137">
        <f>IF($Z$2="",1,IF($Z$2="(blank)",--(Z14=""),IF($Z$2="(nonblank)",--(Z14&lt;&gt;""),--ISNUMBER(SEARCH($Z$2,Z14)))))</f>
      </c>
      <c r="BL14" s="137">
        <f>IF($AA$2="",1,IF($AA$2="(blank)",--(AA14=""),IF($AA$2="(nonblank)",--(AA14&lt;&gt;""),--ISNUMBER(SEARCH($AA$2,AA14)))))</f>
      </c>
      <c r="BM14" s="137">
        <f>IF($AB$2="",1,IF($AB$2="(blank)",--(AB14=""),IF($AB$2="(nonblank)",--(AB14&lt;&gt;""),--ISNUMBER(SEARCH($AB$2,AB14)))))</f>
      </c>
      <c r="BN14" s="137">
        <f>IF($AC$2="",1,IF($AC$2="(blank)",--(AC14=""),IF($AC$2="(nonblank)",--(AC14&lt;&gt;""),--ISNUMBER(SEARCH($AC$2,AC14)))))</f>
      </c>
      <c r="BO14" s="137">
        <f>IF($AD$2="",1,IF($AD$2="(blank)",--(AD14=""),IF($AD$2="(nonblank)",--(AD14&lt;&gt;""),--ISNUMBER(SEARCH($AD$2,AD14)))))</f>
      </c>
      <c r="BP14" s="137">
        <f>IF($AE$2="",1,IF($AE$2="(blank)",--(AE14=""),IF($AE$2="(nonblank)",--(AE14&lt;&gt;""),--ISNUMBER(SEARCH($AE$2,AE14)))))</f>
      </c>
      <c r="BQ14" s="137">
        <f>IF($AF$2="",1,IF($AF$2="(blank)",--(AF14=""),IF($AF$2="(nonblank)",--(AF14&lt;&gt;""),--ISNUMBER(SEARCH($AF$2,AF14)))))</f>
      </c>
      <c r="BR14" s="137">
        <f>IF($AG$2="",1,IF($AG$2="(blank)",--(AG14=""),IF($AG$2="(nonblank)",--(AG14&lt;&gt;""),--ISNUMBER(SEARCH($AG$2,AG14)))))</f>
      </c>
      <c r="BS14" s="137">
        <f>IF($AH$2="",1,IF($AH$2="(blank)",--(AH14=""),IF($AH$2="(nonblank)",--(AH14&lt;&gt;""),--ISNUMBER(SEARCH($AH$2,AH14)))))</f>
      </c>
      <c r="BT14" s="137">
        <f>IF(COUNTIF($AL14:$BS14,0)&gt;0,0,1)</f>
      </c>
    </row>
    <row r="15" ht="14.25" customHeight="1" s="137">
      <c r="A15" s="148" t="n">
        <v>250</v>
      </c>
      <c r="B15" s="149" t="inlineStr">
        <is>
          <t>Scrap of empty oil Druam</t>
        </is>
      </c>
      <c r="C15" s="150" t="n">
        <v>543</v>
      </c>
      <c r="D15" s="151" t="n">
        <v>21977</v>
      </c>
      <c r="E15" s="151" t="inlineStr">
        <is>
          <t>NO</t>
        </is>
      </c>
      <c r="F15" s="151" t="n">
        <v>2008</v>
      </c>
      <c r="G15" s="149" t="inlineStr">
        <is>
          <t>HIND TRADERS</t>
        </is>
      </c>
      <c r="H15" s="152" t="n">
        <v>135750</v>
      </c>
      <c r="I15" s="152">
        <f>ROUND(H15*18%,0)</f>
        <v/>
      </c>
      <c r="J15" s="152">
        <f>+H15+I15</f>
        <v/>
      </c>
      <c r="K15" s="152">
        <f>ROUND((H15+I15)*2%,0)</f>
        <v/>
      </c>
      <c r="L15" s="153">
        <f>H15*0.1%</f>
        <v/>
      </c>
      <c r="M15" s="153">
        <f>H15*2.25%*118%</f>
        <v/>
      </c>
      <c r="N15" s="154">
        <f>H15*2.25%*2%</f>
        <v/>
      </c>
      <c r="O15" s="153">
        <f>M15-N15</f>
        <v/>
      </c>
      <c r="P15" s="153">
        <f>ROUND(O15+L15,0)</f>
        <v/>
      </c>
      <c r="Q15" s="155" t="n">
        <v>0</v>
      </c>
      <c r="R15" s="153">
        <f>ROUND(H15*Q15,0)</f>
        <v/>
      </c>
      <c r="S15" s="152">
        <f>ROUND(H15*117.65%-R15,0)</f>
        <v/>
      </c>
      <c r="T15" s="153">
        <f>ROUND(H15*25%,0)</f>
        <v/>
      </c>
      <c r="U15" s="156" t="n">
        <v>33938</v>
      </c>
      <c r="V15" s="153" t="inlineStr">
        <is>
          <t>14.08.2026</t>
        </is>
      </c>
      <c r="W15" s="153">
        <f>ROUND(H15*92.65%-R15,0)</f>
        <v/>
      </c>
      <c r="X15" s="153" t="n">
        <v>125772</v>
      </c>
      <c r="Y15" s="153" t="inlineStr">
        <is>
          <t>18.08.2026</t>
        </is>
      </c>
      <c r="Z15" s="153">
        <f>IF(IF(OR(AB15="",AB15=0),TODAY(),DATE(VALUE(RIGHT(AB15,4)),VALUE(MID(AB15,4,2)),VALUE(LEFT(AB15,2))))&lt;=DATE(2026,8,24),0,H15*0.0118*CEILING((IF(OR(AB15="",AB15=0),TODAY(),DATE(VALUE(RIGHT(AB15,4)),VALUE(MID(AB15,4,2)),VALUE(LEFT(AB15,2))))-DATE(2026,8,22))/7,1))</f>
        <v/>
      </c>
      <c r="AA15" s="153" t="n"/>
      <c r="AB15" s="153" t="n"/>
      <c r="AC15" s="157">
        <f>U15+X15+AA15</f>
        <v/>
      </c>
      <c r="AD15" s="157">
        <f>S15-AC15</f>
        <v/>
      </c>
      <c r="AE15" s="153">
        <f>IF(AD15="","",IF(AD15&lt;=5,"SETTLED","OUTSTANDING"))</f>
        <v/>
      </c>
      <c r="AF15" s="153" t="inlineStr">
        <is>
          <t>DR2640100026</t>
        </is>
      </c>
      <c r="AG15" s="158" t="n">
        <v>1800003247</v>
      </c>
      <c r="AH15" s="159" t="inlineStr">
        <is>
          <t>20.08.2026</t>
        </is>
      </c>
      <c r="AL15" s="137">
        <f>IF($A$2="",1,IF($A$2="(blank)",--(A15=""),IF($A$2="(nonblank)",--(A15&lt;&gt;""),--ISNUMBER(SEARCH($A$2,A15)))))</f>
      </c>
      <c r="AM15" s="137">
        <f>IF($B$2="",1,IF($B$2="(blank)",--(B15=""),IF($B$2="(nonblank)",--(B15&lt;&gt;""),--ISNUMBER(SEARCH($B$2,B15)))))</f>
      </c>
      <c r="AN15" s="137">
        <f>IF($C$2="",1,IF($C$2="(blank)",--(C15=""),IF($C$2="(nonblank)",--(C15&lt;&gt;""),--ISNUMBER(SEARCH($C$2,C15)))))</f>
      </c>
      <c r="AO15" s="137">
        <f>IF($D$2="",1,IF($D$2="(blank)",--(D15=""),IF($D$2="(nonblank)",--(D15&lt;&gt;""),--ISNUMBER(SEARCH($D$2,D15)))))</f>
      </c>
      <c r="AP15" s="137">
        <f>IF($E$2="",1,IF($E$2="(blank)",--(E15=""),IF($E$2="(nonblank)",--(E15&lt;&gt;""),--ISNUMBER(SEARCH($E$2,E15)))))</f>
      </c>
      <c r="AQ15" s="137">
        <f>IF($F$2="",1,IF($F$2="(blank)",--(F15=""),IF($F$2="(nonblank)",--(F15&lt;&gt;""),--ISNUMBER(SEARCH($F$2,F15)))))</f>
      </c>
      <c r="AR15" s="137">
        <f>IF($G$2="",1,IF($G$2="(blank)",--(G15=""),IF($G$2="(nonblank)",--(G15&lt;&gt;""),--ISNUMBER(SEARCH($G$2,G15)))))</f>
      </c>
      <c r="AS15" s="137">
        <f>IF($H$2="",1,IF($H$2="(blank)",--(H15=""),IF($H$2="(nonblank)",--(H15&lt;&gt;""),--ISNUMBER(SEARCH($H$2,H15)))))</f>
      </c>
      <c r="AT15" s="137">
        <f>IF($I$2="",1,IF($I$2="(blank)",--(I15=""),IF($I$2="(nonblank)",--(I15&lt;&gt;""),--ISNUMBER(SEARCH($I$2,I15)))))</f>
      </c>
      <c r="AU15" s="137">
        <f>IF($J$2="",1,IF($J$2="(blank)",--(J15=""),IF($J$2="(nonblank)",--(J15&lt;&gt;""),--ISNUMBER(SEARCH($J$2,J15)))))</f>
      </c>
      <c r="AV15" s="137">
        <f>IF($K$2="",1,IF($K$2="(blank)",--(K15=""),IF($K$2="(nonblank)",--(K15&lt;&gt;""),--ISNUMBER(SEARCH($K$2,K15)))))</f>
      </c>
      <c r="AW15" s="137">
        <f>IF($L$2="",1,IF($L$2="(blank)",--(L15=""),IF($L$2="(nonblank)",--(L15&lt;&gt;""),--ISNUMBER(SEARCH($L$2,L15)))))</f>
      </c>
      <c r="AX15" s="137">
        <f>IF($M$2="",1,IF($M$2="(blank)",--(M15=""),IF($M$2="(nonblank)",--(M15&lt;&gt;""),--ISNUMBER(SEARCH($M$2,M15)))))</f>
      </c>
      <c r="AY15" s="137">
        <f>IF($N$2="",1,IF($N$2="(blank)",--(N15=""),IF($N$2="(nonblank)",--(N15&lt;&gt;""),--ISNUMBER(SEARCH($N$2,N15)))))</f>
      </c>
      <c r="AZ15" s="137">
        <f>IF($O$2="",1,IF($O$2="(blank)",--(O15=""),IF($O$2="(nonblank)",--(O15&lt;&gt;""),--ISNUMBER(SEARCH($O$2,O15)))))</f>
      </c>
      <c r="BA15" s="137">
        <f>IF($P$2="",1,IF($P$2="(blank)",--(P15=""),IF($P$2="(nonblank)",--(P15&lt;&gt;""),--ISNUMBER(SEARCH($P$2,P15)))))</f>
      </c>
      <c r="BB15" s="137">
        <f>IF($Q$2="",1,IF($Q$2="(blank)",--(Q15=""),IF($Q$2="(nonblank)",--(Q15&lt;&gt;""),--ISNUMBER(SEARCH($Q$2,Q15)))))</f>
      </c>
      <c r="BC15" s="137">
        <f>IF($R$2="",1,IF($R$2="(blank)",--(R15=""),IF($R$2="(nonblank)",--(R15&lt;&gt;""),--ISNUMBER(SEARCH($R$2,R15)))))</f>
      </c>
      <c r="BD15" s="137">
        <f>IF($S$2="",1,IF($S$2="(blank)",--(S15=""),IF($S$2="(nonblank)",--(S15&lt;&gt;""),--ISNUMBER(SEARCH($S$2,S15)))))</f>
      </c>
      <c r="BE15" s="137">
        <f>IF($T$2="",1,IF($T$2="(blank)",--(T15=""),IF($T$2="(nonblank)",--(T15&lt;&gt;""),--ISNUMBER(SEARCH($T$2,T15)))))</f>
      </c>
      <c r="BF15" s="137">
        <f>IF($U$2="",1,IF($U$2="(blank)",--(U15=""),IF($U$2="(nonblank)",--(U15&lt;&gt;""),--ISNUMBER(SEARCH($U$2,U15)))))</f>
      </c>
      <c r="BG15" s="137">
        <f>IF($V$2="",1,IF($V$2="(blank)",--(V15=""),IF($V$2="(nonblank)",--(V15&lt;&gt;""),--ISNUMBER(SEARCH($V$2,V15)))))</f>
      </c>
      <c r="BH15" s="137">
        <f>IF($W$2="",1,IF($W$2="(blank)",--(W15=""),IF($W$2="(nonblank)",--(W15&lt;&gt;""),--ISNUMBER(SEARCH($W$2,W15)))))</f>
      </c>
      <c r="BI15" s="137">
        <f>IF($X$2="",1,IF($X$2="(blank)",--(X15=""),IF($X$2="(nonblank)",--(X15&lt;&gt;""),--ISNUMBER(SEARCH($X$2,X15)))))</f>
      </c>
      <c r="BJ15" s="137">
        <f>IF($Y$2="",1,IF($Y$2="(blank)",--(Y15=""),IF($Y$2="(nonblank)",--(Y15&lt;&gt;""),--ISNUMBER(SEARCH($Y$2,Y15)))))</f>
      </c>
      <c r="BK15" s="137">
        <f>IF($Z$2="",1,IF($Z$2="(blank)",--(Z15=""),IF($Z$2="(nonblank)",--(Z15&lt;&gt;""),--ISNUMBER(SEARCH($Z$2,Z15)))))</f>
      </c>
      <c r="BL15" s="137">
        <f>IF($AA$2="",1,IF($AA$2="(blank)",--(AA15=""),IF($AA$2="(nonblank)",--(AA15&lt;&gt;""),--ISNUMBER(SEARCH($AA$2,AA15)))))</f>
      </c>
      <c r="BM15" s="137">
        <f>IF($AB$2="",1,IF($AB$2="(blank)",--(AB15=""),IF($AB$2="(nonblank)",--(AB15&lt;&gt;""),--ISNUMBER(SEARCH($AB$2,AB15)))))</f>
      </c>
      <c r="BN15" s="137">
        <f>IF($AC$2="",1,IF($AC$2="(blank)",--(AC15=""),IF($AC$2="(nonblank)",--(AC15&lt;&gt;""),--ISNUMBER(SEARCH($AC$2,AC15)))))</f>
      </c>
      <c r="BO15" s="137">
        <f>IF($AD$2="",1,IF($AD$2="(blank)",--(AD15=""),IF($AD$2="(nonblank)",--(AD15&lt;&gt;""),--ISNUMBER(SEARCH($AD$2,AD15)))))</f>
      </c>
      <c r="BP15" s="137">
        <f>IF($AE$2="",1,IF($AE$2="(blank)",--(AE15=""),IF($AE$2="(nonblank)",--(AE15&lt;&gt;""),--ISNUMBER(SEARCH($AE$2,AE15)))))</f>
      </c>
      <c r="BQ15" s="137">
        <f>IF($AF$2="",1,IF($AF$2="(blank)",--(AF15=""),IF($AF$2="(nonblank)",--(AF15&lt;&gt;""),--ISNUMBER(SEARCH($AF$2,AF15)))))</f>
      </c>
      <c r="BR15" s="137">
        <f>IF($AG$2="",1,IF($AG$2="(blank)",--(AG15=""),IF($AG$2="(nonblank)",--(AG15&lt;&gt;""),--ISNUMBER(SEARCH($AG$2,AG15)))))</f>
      </c>
      <c r="BS15" s="137">
        <f>IF($AH$2="",1,IF($AH$2="(blank)",--(AH15=""),IF($AH$2="(nonblank)",--(AH15&lt;&gt;""),--ISNUMBER(SEARCH($AH$2,AH15)))))</f>
      </c>
      <c r="BT15" s="137">
        <f>IF(COUNTIF($AL15:$BS15,0)&gt;0,0,1)</f>
      </c>
    </row>
    <row r="16" ht="14.25" customHeight="1" s="13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IF(IF(OR(AB16="",AB16=0),TODAY(),DATE(VALUE(RIGHT(AB16,4)),VALUE(MID(AB16,4,2)),VALUE(LEFT(AB16,2))))&lt;=DATE(2026,8,24),0,H16*0.0118*CEILING((IF(OR(AB16="",AB16=0),TODAY(),DATE(VALUE(RIGHT(AB16,4)),VALUE(MID(AB16,4,2)),VALUE(LEFT(AB16,2))))-DATE(2026,8,22))/7,1))</f>
        <v/>
      </c>
      <c r="AA16" s="28" t="n"/>
      <c r="AB16" s="28" t="n"/>
      <c r="AC16" s="15">
        <f>U16+X16+AA16</f>
        <v/>
      </c>
      <c r="AD16" s="19">
        <f>S16-AC16</f>
        <v/>
      </c>
      <c r="AE16" s="20">
        <f>IF(AD16="","",IF(AD16&lt;=5,"SETTLED","OUTSTANDING"))</f>
        <v/>
      </c>
      <c r="AF16" s="20" t="inlineStr">
        <is>
          <t>DR2640100019</t>
        </is>
      </c>
      <c r="AG16" s="21" t="n">
        <v>1800003157</v>
      </c>
      <c r="AH16" s="22" t="inlineStr">
        <is>
          <t>14.08.2026</t>
        </is>
      </c>
      <c r="AL16" s="137">
        <f>IF($A$2="",1,IF($A$2="(blank)",--(A16=""),IF($A$2="(nonblank)",--(A16&lt;&gt;""),--ISNUMBER(SEARCH($A$2,A16)))))</f>
      </c>
      <c r="AM16" s="137">
        <f>IF($B$2="",1,IF($B$2="(blank)",--(B16=""),IF($B$2="(nonblank)",--(B16&lt;&gt;""),--ISNUMBER(SEARCH($B$2,B16)))))</f>
      </c>
      <c r="AN16" s="137">
        <f>IF($C$2="",1,IF($C$2="(blank)",--(C16=""),IF($C$2="(nonblank)",--(C16&lt;&gt;""),--ISNUMBER(SEARCH($C$2,C16)))))</f>
      </c>
      <c r="AO16" s="137">
        <f>IF($D$2="",1,IF($D$2="(blank)",--(D16=""),IF($D$2="(nonblank)",--(D16&lt;&gt;""),--ISNUMBER(SEARCH($D$2,D16)))))</f>
      </c>
      <c r="AP16" s="137">
        <f>IF($E$2="",1,IF($E$2="(blank)",--(E16=""),IF($E$2="(nonblank)",--(E16&lt;&gt;""),--ISNUMBER(SEARCH($E$2,E16)))))</f>
      </c>
      <c r="AQ16" s="137">
        <f>IF($F$2="",1,IF($F$2="(blank)",--(F16=""),IF($F$2="(nonblank)",--(F16&lt;&gt;""),--ISNUMBER(SEARCH($F$2,F16)))))</f>
      </c>
      <c r="AR16" s="137">
        <f>IF($G$2="",1,IF($G$2="(blank)",--(G16=""),IF($G$2="(nonblank)",--(G16&lt;&gt;""),--ISNUMBER(SEARCH($G$2,G16)))))</f>
      </c>
      <c r="AS16" s="137">
        <f>IF($H$2="",1,IF($H$2="(blank)",--(H16=""),IF($H$2="(nonblank)",--(H16&lt;&gt;""),--ISNUMBER(SEARCH($H$2,H16)))))</f>
      </c>
      <c r="AT16" s="137">
        <f>IF($I$2="",1,IF($I$2="(blank)",--(I16=""),IF($I$2="(nonblank)",--(I16&lt;&gt;""),--ISNUMBER(SEARCH($I$2,I16)))))</f>
      </c>
      <c r="AU16" s="137">
        <f>IF($J$2="",1,IF($J$2="(blank)",--(J16=""),IF($J$2="(nonblank)",--(J16&lt;&gt;""),--ISNUMBER(SEARCH($J$2,J16)))))</f>
      </c>
      <c r="AV16" s="137">
        <f>IF($K$2="",1,IF($K$2="(blank)",--(K16=""),IF($K$2="(nonblank)",--(K16&lt;&gt;""),--ISNUMBER(SEARCH($K$2,K16)))))</f>
      </c>
      <c r="AW16" s="137">
        <f>IF($L$2="",1,IF($L$2="(blank)",--(L16=""),IF($L$2="(nonblank)",--(L16&lt;&gt;""),--ISNUMBER(SEARCH($L$2,L16)))))</f>
      </c>
      <c r="AX16" s="137">
        <f>IF($M$2="",1,IF($M$2="(blank)",--(M16=""),IF($M$2="(nonblank)",--(M16&lt;&gt;""),--ISNUMBER(SEARCH($M$2,M16)))))</f>
      </c>
      <c r="AY16" s="137">
        <f>IF($N$2="",1,IF($N$2="(blank)",--(N16=""),IF($N$2="(nonblank)",--(N16&lt;&gt;""),--ISNUMBER(SEARCH($N$2,N16)))))</f>
      </c>
      <c r="AZ16" s="137">
        <f>IF($O$2="",1,IF($O$2="(blank)",--(O16=""),IF($O$2="(nonblank)",--(O16&lt;&gt;""),--ISNUMBER(SEARCH($O$2,O16)))))</f>
      </c>
      <c r="BA16" s="137">
        <f>IF($P$2="",1,IF($P$2="(blank)",--(P16=""),IF($P$2="(nonblank)",--(P16&lt;&gt;""),--ISNUMBER(SEARCH($P$2,P16)))))</f>
      </c>
      <c r="BB16" s="137">
        <f>IF($Q$2="",1,IF($Q$2="(blank)",--(Q16=""),IF($Q$2="(nonblank)",--(Q16&lt;&gt;""),--ISNUMBER(SEARCH($Q$2,Q16)))))</f>
      </c>
      <c r="BC16" s="137">
        <f>IF($R$2="",1,IF($R$2="(blank)",--(R16=""),IF($R$2="(nonblank)",--(R16&lt;&gt;""),--ISNUMBER(SEARCH($R$2,R16)))))</f>
      </c>
      <c r="BD16" s="137">
        <f>IF($S$2="",1,IF($S$2="(blank)",--(S16=""),IF($S$2="(nonblank)",--(S16&lt;&gt;""),--ISNUMBER(SEARCH($S$2,S16)))))</f>
      </c>
      <c r="BE16" s="137">
        <f>IF($T$2="",1,IF($T$2="(blank)",--(T16=""),IF($T$2="(nonblank)",--(T16&lt;&gt;""),--ISNUMBER(SEARCH($T$2,T16)))))</f>
      </c>
      <c r="BF16" s="137">
        <f>IF($U$2="",1,IF($U$2="(blank)",--(U16=""),IF($U$2="(nonblank)",--(U16&lt;&gt;""),--ISNUMBER(SEARCH($U$2,U16)))))</f>
      </c>
      <c r="BG16" s="137">
        <f>IF($V$2="",1,IF($V$2="(blank)",--(V16=""),IF($V$2="(nonblank)",--(V16&lt;&gt;""),--ISNUMBER(SEARCH($V$2,V16)))))</f>
      </c>
      <c r="BH16" s="137">
        <f>IF($W$2="",1,IF($W$2="(blank)",--(W16=""),IF($W$2="(nonblank)",--(W16&lt;&gt;""),--ISNUMBER(SEARCH($W$2,W16)))))</f>
      </c>
      <c r="BI16" s="137">
        <f>IF($X$2="",1,IF($X$2="(blank)",--(X16=""),IF($X$2="(nonblank)",--(X16&lt;&gt;""),--ISNUMBER(SEARCH($X$2,X16)))))</f>
      </c>
      <c r="BJ16" s="137">
        <f>IF($Y$2="",1,IF($Y$2="(blank)",--(Y16=""),IF($Y$2="(nonblank)",--(Y16&lt;&gt;""),--ISNUMBER(SEARCH($Y$2,Y16)))))</f>
      </c>
      <c r="BK16" s="137">
        <f>IF($Z$2="",1,IF($Z$2="(blank)",--(Z16=""),IF($Z$2="(nonblank)",--(Z16&lt;&gt;""),--ISNUMBER(SEARCH($Z$2,Z16)))))</f>
      </c>
      <c r="BL16" s="137">
        <f>IF($AA$2="",1,IF($AA$2="(blank)",--(AA16=""),IF($AA$2="(nonblank)",--(AA16&lt;&gt;""),--ISNUMBER(SEARCH($AA$2,AA16)))))</f>
      </c>
      <c r="BM16" s="137">
        <f>IF($AB$2="",1,IF($AB$2="(blank)",--(AB16=""),IF($AB$2="(nonblank)",--(AB16&lt;&gt;""),--ISNUMBER(SEARCH($AB$2,AB16)))))</f>
      </c>
      <c r="BN16" s="137">
        <f>IF($AC$2="",1,IF($AC$2="(blank)",--(AC16=""),IF($AC$2="(nonblank)",--(AC16&lt;&gt;""),--ISNUMBER(SEARCH($AC$2,AC16)))))</f>
      </c>
      <c r="BO16" s="137">
        <f>IF($AD$2="",1,IF($AD$2="(blank)",--(AD16=""),IF($AD$2="(nonblank)",--(AD16&lt;&gt;""),--ISNUMBER(SEARCH($AD$2,AD16)))))</f>
      </c>
      <c r="BP16" s="137">
        <f>IF($AE$2="",1,IF($AE$2="(blank)",--(AE16=""),IF($AE$2="(nonblank)",--(AE16&lt;&gt;""),--ISNUMBER(SEARCH($AE$2,AE16)))))</f>
      </c>
      <c r="BQ16" s="137">
        <f>IF($AF$2="",1,IF($AF$2="(blank)",--(AF16=""),IF($AF$2="(nonblank)",--(AF16&lt;&gt;""),--ISNUMBER(SEARCH($AF$2,AF16)))))</f>
      </c>
      <c r="BR16" s="137">
        <f>IF($AG$2="",1,IF($AG$2="(blank)",--(AG16=""),IF($AG$2="(nonblank)",--(AG16&lt;&gt;""),--ISNUMBER(SEARCH($AG$2,AG16)))))</f>
      </c>
      <c r="BS16" s="137">
        <f>IF($AH$2="",1,IF($AH$2="(blank)",--(AH16=""),IF($AH$2="(nonblank)",--(AH16&lt;&gt;""),--ISNUMBER(SEARCH($AH$2,AH16)))))</f>
      </c>
      <c r="BT16" s="137">
        <f>IF(COUNTIF($AL16:$BS16,0)&gt;0,0,1)</f>
      </c>
    </row>
    <row r="17" ht="14.25" customHeight="1" s="137">
      <c r="A17" s="148" t="n">
        <v>100</v>
      </c>
      <c r="B17" s="149" t="inlineStr">
        <is>
          <t>Scrap of empty oil Barrels</t>
        </is>
      </c>
      <c r="C17" s="150" t="n">
        <v>710</v>
      </c>
      <c r="D17" s="151" t="n">
        <v>21978</v>
      </c>
      <c r="E17" s="151" t="inlineStr">
        <is>
          <t>NO</t>
        </is>
      </c>
      <c r="F17" s="151" t="n">
        <v>2015</v>
      </c>
      <c r="G17" s="149" t="inlineStr">
        <is>
          <t>STERLING ENTERPRISES</t>
        </is>
      </c>
      <c r="H17" s="152" t="n">
        <v>71000</v>
      </c>
      <c r="I17" s="152">
        <f>ROUND(H17*18%,0)</f>
        <v/>
      </c>
      <c r="J17" s="152">
        <f>+H17+I17</f>
        <v/>
      </c>
      <c r="K17" s="152">
        <f>ROUND((H17+I17)*2%,0)</f>
        <v/>
      </c>
      <c r="L17" s="153">
        <f>H17*0.1%</f>
        <v/>
      </c>
      <c r="M17" s="153">
        <f>H17*2.25%*118%</f>
        <v/>
      </c>
      <c r="N17" s="154">
        <f>H17*2.25%*2%</f>
        <v/>
      </c>
      <c r="O17" s="153">
        <f>M17-N17</f>
        <v/>
      </c>
      <c r="P17" s="153">
        <f>ROUND(O17+L17,0)</f>
        <v/>
      </c>
      <c r="Q17" s="155" t="n">
        <v>0</v>
      </c>
      <c r="R17" s="153">
        <f>ROUND(H17*Q17,0)</f>
        <v/>
      </c>
      <c r="S17" s="152">
        <f>ROUND(H17*117.65%-R17,0)</f>
        <v/>
      </c>
      <c r="T17" s="153">
        <f>ROUND(H17*25%,0)</f>
        <v/>
      </c>
      <c r="U17" s="156" t="n">
        <v>17750</v>
      </c>
      <c r="V17" s="153" t="inlineStr">
        <is>
          <t>11.08.2026</t>
        </is>
      </c>
      <c r="W17" s="153">
        <f>ROUND(H17*92.65%-R17,0)</f>
        <v/>
      </c>
      <c r="X17" s="153">
        <f>+W17</f>
        <v/>
      </c>
      <c r="Y17" s="153" t="inlineStr">
        <is>
          <t>11.08.2026</t>
        </is>
      </c>
      <c r="Z17" s="153">
        <f>IF(IF(OR(AB17="",AB17=0),TODAY(),DATE(VALUE(RIGHT(AB17,4)),VALUE(MID(AB17,4,2)),VALUE(LEFT(AB17,2))))&lt;=DATE(2026,8,24),0,H17*0.0118*CEILING((IF(OR(AB17="",AB17=0),TODAY(),DATE(VALUE(RIGHT(AB17,4)),VALUE(MID(AB17,4,2)),VALUE(LEFT(AB17,2))))-DATE(2026,8,22))/7,1))</f>
        <v/>
      </c>
      <c r="AA17" s="153" t="n"/>
      <c r="AB17" s="153" t="n"/>
      <c r="AC17" s="157">
        <f>U17+X17+AA17</f>
        <v/>
      </c>
      <c r="AD17" s="157">
        <f>S17-AC17</f>
        <v/>
      </c>
      <c r="AE17" s="153">
        <f>IF(AD17="","",IF(AD17&lt;=5,"SETTLED","OUTSTANDING"))</f>
        <v/>
      </c>
      <c r="AF17" s="153" t="inlineStr">
        <is>
          <t>DR2640100020</t>
        </is>
      </c>
      <c r="AG17" s="158" t="n">
        <v>1800003158</v>
      </c>
      <c r="AH17" s="159" t="inlineStr">
        <is>
          <t>14.08.2026</t>
        </is>
      </c>
      <c r="AL17" s="137">
        <f>IF($A$2="",1,IF($A$2="(blank)",--(A17=""),IF($A$2="(nonblank)",--(A17&lt;&gt;""),--ISNUMBER(SEARCH($A$2,A17)))))</f>
      </c>
      <c r="AM17" s="137">
        <f>IF($B$2="",1,IF($B$2="(blank)",--(B17=""),IF($B$2="(nonblank)",--(B17&lt;&gt;""),--ISNUMBER(SEARCH($B$2,B17)))))</f>
      </c>
      <c r="AN17" s="137">
        <f>IF($C$2="",1,IF($C$2="(blank)",--(C17=""),IF($C$2="(nonblank)",--(C17&lt;&gt;""),--ISNUMBER(SEARCH($C$2,C17)))))</f>
      </c>
      <c r="AO17" s="137">
        <f>IF($D$2="",1,IF($D$2="(blank)",--(D17=""),IF($D$2="(nonblank)",--(D17&lt;&gt;""),--ISNUMBER(SEARCH($D$2,D17)))))</f>
      </c>
      <c r="AP17" s="137">
        <f>IF($E$2="",1,IF($E$2="(blank)",--(E17=""),IF($E$2="(nonblank)",--(E17&lt;&gt;""),--ISNUMBER(SEARCH($E$2,E17)))))</f>
      </c>
      <c r="AQ17" s="137">
        <f>IF($F$2="",1,IF($F$2="(blank)",--(F17=""),IF($F$2="(nonblank)",--(F17&lt;&gt;""),--ISNUMBER(SEARCH($F$2,F17)))))</f>
      </c>
      <c r="AR17" s="137">
        <f>IF($G$2="",1,IF($G$2="(blank)",--(G17=""),IF($G$2="(nonblank)",--(G17&lt;&gt;""),--ISNUMBER(SEARCH($G$2,G17)))))</f>
      </c>
      <c r="AS17" s="137">
        <f>IF($H$2="",1,IF($H$2="(blank)",--(H17=""),IF($H$2="(nonblank)",--(H17&lt;&gt;""),--ISNUMBER(SEARCH($H$2,H17)))))</f>
      </c>
      <c r="AT17" s="137">
        <f>IF($I$2="",1,IF($I$2="(blank)",--(I17=""),IF($I$2="(nonblank)",--(I17&lt;&gt;""),--ISNUMBER(SEARCH($I$2,I17)))))</f>
      </c>
      <c r="AU17" s="137">
        <f>IF($J$2="",1,IF($J$2="(blank)",--(J17=""),IF($J$2="(nonblank)",--(J17&lt;&gt;""),--ISNUMBER(SEARCH($J$2,J17)))))</f>
      </c>
      <c r="AV17" s="137">
        <f>IF($K$2="",1,IF($K$2="(blank)",--(K17=""),IF($K$2="(nonblank)",--(K17&lt;&gt;""),--ISNUMBER(SEARCH($K$2,K17)))))</f>
      </c>
      <c r="AW17" s="137">
        <f>IF($L$2="",1,IF($L$2="(blank)",--(L17=""),IF($L$2="(nonblank)",--(L17&lt;&gt;""),--ISNUMBER(SEARCH($L$2,L17)))))</f>
      </c>
      <c r="AX17" s="137">
        <f>IF($M$2="",1,IF($M$2="(blank)",--(M17=""),IF($M$2="(nonblank)",--(M17&lt;&gt;""),--ISNUMBER(SEARCH($M$2,M17)))))</f>
      </c>
      <c r="AY17" s="137">
        <f>IF($N$2="",1,IF($N$2="(blank)",--(N17=""),IF($N$2="(nonblank)",--(N17&lt;&gt;""),--ISNUMBER(SEARCH($N$2,N17)))))</f>
      </c>
      <c r="AZ17" s="137">
        <f>IF($O$2="",1,IF($O$2="(blank)",--(O17=""),IF($O$2="(nonblank)",--(O17&lt;&gt;""),--ISNUMBER(SEARCH($O$2,O17)))))</f>
      </c>
      <c r="BA17" s="137">
        <f>IF($P$2="",1,IF($P$2="(blank)",--(P17=""),IF($P$2="(nonblank)",--(P17&lt;&gt;""),--ISNUMBER(SEARCH($P$2,P17)))))</f>
      </c>
      <c r="BB17" s="137">
        <f>IF($Q$2="",1,IF($Q$2="(blank)",--(Q17=""),IF($Q$2="(nonblank)",--(Q17&lt;&gt;""),--ISNUMBER(SEARCH($Q$2,Q17)))))</f>
      </c>
      <c r="BC17" s="137">
        <f>IF($R$2="",1,IF($R$2="(blank)",--(R17=""),IF($R$2="(nonblank)",--(R17&lt;&gt;""),--ISNUMBER(SEARCH($R$2,R17)))))</f>
      </c>
      <c r="BD17" s="137">
        <f>IF($S$2="",1,IF($S$2="(blank)",--(S17=""),IF($S$2="(nonblank)",--(S17&lt;&gt;""),--ISNUMBER(SEARCH($S$2,S17)))))</f>
      </c>
      <c r="BE17" s="137">
        <f>IF($T$2="",1,IF($T$2="(blank)",--(T17=""),IF($T$2="(nonblank)",--(T17&lt;&gt;""),--ISNUMBER(SEARCH($T$2,T17)))))</f>
      </c>
      <c r="BF17" s="137">
        <f>IF($U$2="",1,IF($U$2="(blank)",--(U17=""),IF($U$2="(nonblank)",--(U17&lt;&gt;""),--ISNUMBER(SEARCH($U$2,U17)))))</f>
      </c>
      <c r="BG17" s="137">
        <f>IF($V$2="",1,IF($V$2="(blank)",--(V17=""),IF($V$2="(nonblank)",--(V17&lt;&gt;""),--ISNUMBER(SEARCH($V$2,V17)))))</f>
      </c>
      <c r="BH17" s="137">
        <f>IF($W$2="",1,IF($W$2="(blank)",--(W17=""),IF($W$2="(nonblank)",--(W17&lt;&gt;""),--ISNUMBER(SEARCH($W$2,W17)))))</f>
      </c>
      <c r="BI17" s="137">
        <f>IF($X$2="",1,IF($X$2="(blank)",--(X17=""),IF($X$2="(nonblank)",--(X17&lt;&gt;""),--ISNUMBER(SEARCH($X$2,X17)))))</f>
      </c>
      <c r="BJ17" s="137">
        <f>IF($Y$2="",1,IF($Y$2="(blank)",--(Y17=""),IF($Y$2="(nonblank)",--(Y17&lt;&gt;""),--ISNUMBER(SEARCH($Y$2,Y17)))))</f>
      </c>
      <c r="BK17" s="137">
        <f>IF($Z$2="",1,IF($Z$2="(blank)",--(Z17=""),IF($Z$2="(nonblank)",--(Z17&lt;&gt;""),--ISNUMBER(SEARCH($Z$2,Z17)))))</f>
      </c>
      <c r="BL17" s="137">
        <f>IF($AA$2="",1,IF($AA$2="(blank)",--(AA17=""),IF($AA$2="(nonblank)",--(AA17&lt;&gt;""),--ISNUMBER(SEARCH($AA$2,AA17)))))</f>
      </c>
      <c r="BM17" s="137">
        <f>IF($AB$2="",1,IF($AB$2="(blank)",--(AB17=""),IF($AB$2="(nonblank)",--(AB17&lt;&gt;""),--ISNUMBER(SEARCH($AB$2,AB17)))))</f>
      </c>
      <c r="BN17" s="137">
        <f>IF($AC$2="",1,IF($AC$2="(blank)",--(AC17=""),IF($AC$2="(nonblank)",--(AC17&lt;&gt;""),--ISNUMBER(SEARCH($AC$2,AC17)))))</f>
      </c>
      <c r="BO17" s="137">
        <f>IF($AD$2="",1,IF($AD$2="(blank)",--(AD17=""),IF($AD$2="(nonblank)",--(AD17&lt;&gt;""),--ISNUMBER(SEARCH($AD$2,AD17)))))</f>
      </c>
      <c r="BP17" s="137">
        <f>IF($AE$2="",1,IF($AE$2="(blank)",--(AE17=""),IF($AE$2="(nonblank)",--(AE17&lt;&gt;""),--ISNUMBER(SEARCH($AE$2,AE17)))))</f>
      </c>
      <c r="BQ17" s="137">
        <f>IF($AF$2="",1,IF($AF$2="(blank)",--(AF17=""),IF($AF$2="(nonblank)",--(AF17&lt;&gt;""),--ISNUMBER(SEARCH($AF$2,AF17)))))</f>
      </c>
      <c r="BR17" s="137">
        <f>IF($AG$2="",1,IF($AG$2="(blank)",--(AG17=""),IF($AG$2="(nonblank)",--(AG17&lt;&gt;""),--ISNUMBER(SEARCH($AG$2,AG17)))))</f>
      </c>
      <c r="BS17" s="137">
        <f>IF($AH$2="",1,IF($AH$2="(blank)",--(AH17=""),IF($AH$2="(nonblank)",--(AH17&lt;&gt;""),--ISNUMBER(SEARCH($AH$2,AH17)))))</f>
      </c>
      <c r="BT17" s="137">
        <f>IF(COUNTIF($AL17:$BS17,0)&gt;0,0,1)</f>
      </c>
    </row>
    <row r="18" ht="14.25" customHeight="1" s="13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IF(IF(OR(AB18="",AB18=0),TODAY(),DATE(VALUE(RIGHT(AB18,4)),VALUE(MID(AB18,4,2)),VALUE(LEFT(AB18,2))))&lt;=DATE(2026,8,24),0,H18*0.0118*CEILING((IF(OR(AB18="",AB18=0),TODAY(),DATE(VALUE(RIGHT(AB18,4)),VALUE(MID(AB18,4,2)),VALUE(LEFT(AB18,2))))-DATE(2026,8,22))/7,1))</f>
        <v/>
      </c>
      <c r="AA18" s="28" t="n"/>
      <c r="AB18" s="28" t="n"/>
      <c r="AC18" s="15">
        <f>U18+X18+AA18</f>
        <v/>
      </c>
      <c r="AD18" s="19">
        <f>S18-AC18</f>
        <v/>
      </c>
      <c r="AE18" s="20">
        <f>IF(AD18="","",IF(AD18&lt;=5,"SETTLED","OUTSTANDING"))</f>
        <v/>
      </c>
      <c r="AF18" s="20" t="inlineStr">
        <is>
          <t>DR2640100034</t>
        </is>
      </c>
      <c r="AG18" s="21" t="n">
        <v>1800003306</v>
      </c>
      <c r="AH18" s="22" t="inlineStr">
        <is>
          <t>27.08.2026</t>
        </is>
      </c>
      <c r="AL18" s="137">
        <f>IF($A$2="",1,IF($A$2="(blank)",--(A18=""),IF($A$2="(nonblank)",--(A18&lt;&gt;""),--ISNUMBER(SEARCH($A$2,A18)))))</f>
      </c>
      <c r="AM18" s="137">
        <f>IF($B$2="",1,IF($B$2="(blank)",--(B18=""),IF($B$2="(nonblank)",--(B18&lt;&gt;""),--ISNUMBER(SEARCH($B$2,B18)))))</f>
      </c>
      <c r="AN18" s="137">
        <f>IF($C$2="",1,IF($C$2="(blank)",--(C18=""),IF($C$2="(nonblank)",--(C18&lt;&gt;""),--ISNUMBER(SEARCH($C$2,C18)))))</f>
      </c>
      <c r="AO18" s="137">
        <f>IF($D$2="",1,IF($D$2="(blank)",--(D18=""),IF($D$2="(nonblank)",--(D18&lt;&gt;""),--ISNUMBER(SEARCH($D$2,D18)))))</f>
      </c>
      <c r="AP18" s="137">
        <f>IF($E$2="",1,IF($E$2="(blank)",--(E18=""),IF($E$2="(nonblank)",--(E18&lt;&gt;""),--ISNUMBER(SEARCH($E$2,E18)))))</f>
      </c>
      <c r="AQ18" s="137">
        <f>IF($F$2="",1,IF($F$2="(blank)",--(F18=""),IF($F$2="(nonblank)",--(F18&lt;&gt;""),--ISNUMBER(SEARCH($F$2,F18)))))</f>
      </c>
      <c r="AR18" s="137">
        <f>IF($G$2="",1,IF($G$2="(blank)",--(G18=""),IF($G$2="(nonblank)",--(G18&lt;&gt;""),--ISNUMBER(SEARCH($G$2,G18)))))</f>
      </c>
      <c r="AS18" s="137">
        <f>IF($H$2="",1,IF($H$2="(blank)",--(H18=""),IF($H$2="(nonblank)",--(H18&lt;&gt;""),--ISNUMBER(SEARCH($H$2,H18)))))</f>
      </c>
      <c r="AT18" s="137">
        <f>IF($I$2="",1,IF($I$2="(blank)",--(I18=""),IF($I$2="(nonblank)",--(I18&lt;&gt;""),--ISNUMBER(SEARCH($I$2,I18)))))</f>
      </c>
      <c r="AU18" s="137">
        <f>IF($J$2="",1,IF($J$2="(blank)",--(J18=""),IF($J$2="(nonblank)",--(J18&lt;&gt;""),--ISNUMBER(SEARCH($J$2,J18)))))</f>
      </c>
      <c r="AV18" s="137">
        <f>IF($K$2="",1,IF($K$2="(blank)",--(K18=""),IF($K$2="(nonblank)",--(K18&lt;&gt;""),--ISNUMBER(SEARCH($K$2,K18)))))</f>
      </c>
      <c r="AW18" s="137">
        <f>IF($L$2="",1,IF($L$2="(blank)",--(L18=""),IF($L$2="(nonblank)",--(L18&lt;&gt;""),--ISNUMBER(SEARCH($L$2,L18)))))</f>
      </c>
      <c r="AX18" s="137">
        <f>IF($M$2="",1,IF($M$2="(blank)",--(M18=""),IF($M$2="(nonblank)",--(M18&lt;&gt;""),--ISNUMBER(SEARCH($M$2,M18)))))</f>
      </c>
      <c r="AY18" s="137">
        <f>IF($N$2="",1,IF($N$2="(blank)",--(N18=""),IF($N$2="(nonblank)",--(N18&lt;&gt;""),--ISNUMBER(SEARCH($N$2,N18)))))</f>
      </c>
      <c r="AZ18" s="137">
        <f>IF($O$2="",1,IF($O$2="(blank)",--(O18=""),IF($O$2="(nonblank)",--(O18&lt;&gt;""),--ISNUMBER(SEARCH($O$2,O18)))))</f>
      </c>
      <c r="BA18" s="137">
        <f>IF($P$2="",1,IF($P$2="(blank)",--(P18=""),IF($P$2="(nonblank)",--(P18&lt;&gt;""),--ISNUMBER(SEARCH($P$2,P18)))))</f>
      </c>
      <c r="BB18" s="137">
        <f>IF($Q$2="",1,IF($Q$2="(blank)",--(Q18=""),IF($Q$2="(nonblank)",--(Q18&lt;&gt;""),--ISNUMBER(SEARCH($Q$2,Q18)))))</f>
      </c>
      <c r="BC18" s="137">
        <f>IF($R$2="",1,IF($R$2="(blank)",--(R18=""),IF($R$2="(nonblank)",--(R18&lt;&gt;""),--ISNUMBER(SEARCH($R$2,R18)))))</f>
      </c>
      <c r="BD18" s="137">
        <f>IF($S$2="",1,IF($S$2="(blank)",--(S18=""),IF($S$2="(nonblank)",--(S18&lt;&gt;""),--ISNUMBER(SEARCH($S$2,S18)))))</f>
      </c>
      <c r="BE18" s="137">
        <f>IF($T$2="",1,IF($T$2="(blank)",--(T18=""),IF($T$2="(nonblank)",--(T18&lt;&gt;""),--ISNUMBER(SEARCH($T$2,T18)))))</f>
      </c>
      <c r="BF18" s="137">
        <f>IF($U$2="",1,IF($U$2="(blank)",--(U18=""),IF($U$2="(nonblank)",--(U18&lt;&gt;""),--ISNUMBER(SEARCH($U$2,U18)))))</f>
      </c>
      <c r="BG18" s="137">
        <f>IF($V$2="",1,IF($V$2="(blank)",--(V18=""),IF($V$2="(nonblank)",--(V18&lt;&gt;""),--ISNUMBER(SEARCH($V$2,V18)))))</f>
      </c>
      <c r="BH18" s="137">
        <f>IF($W$2="",1,IF($W$2="(blank)",--(W18=""),IF($W$2="(nonblank)",--(W18&lt;&gt;""),--ISNUMBER(SEARCH($W$2,W18)))))</f>
      </c>
      <c r="BI18" s="137">
        <f>IF($X$2="",1,IF($X$2="(blank)",--(X18=""),IF($X$2="(nonblank)",--(X18&lt;&gt;""),--ISNUMBER(SEARCH($X$2,X18)))))</f>
      </c>
      <c r="BJ18" s="137">
        <f>IF($Y$2="",1,IF($Y$2="(blank)",--(Y18=""),IF($Y$2="(nonblank)",--(Y18&lt;&gt;""),--ISNUMBER(SEARCH($Y$2,Y18)))))</f>
      </c>
      <c r="BK18" s="137">
        <f>IF($Z$2="",1,IF($Z$2="(blank)",--(Z18=""),IF($Z$2="(nonblank)",--(Z18&lt;&gt;""),--ISNUMBER(SEARCH($Z$2,Z18)))))</f>
      </c>
      <c r="BL18" s="137">
        <f>IF($AA$2="",1,IF($AA$2="(blank)",--(AA18=""),IF($AA$2="(nonblank)",--(AA18&lt;&gt;""),--ISNUMBER(SEARCH($AA$2,AA18)))))</f>
      </c>
      <c r="BM18" s="137">
        <f>IF($AB$2="",1,IF($AB$2="(blank)",--(AB18=""),IF($AB$2="(nonblank)",--(AB18&lt;&gt;""),--ISNUMBER(SEARCH($AB$2,AB18)))))</f>
      </c>
      <c r="BN18" s="137">
        <f>IF($AC$2="",1,IF($AC$2="(blank)",--(AC18=""),IF($AC$2="(nonblank)",--(AC18&lt;&gt;""),--ISNUMBER(SEARCH($AC$2,AC18)))))</f>
      </c>
      <c r="BO18" s="137">
        <f>IF($AD$2="",1,IF($AD$2="(blank)",--(AD18=""),IF($AD$2="(nonblank)",--(AD18&lt;&gt;""),--ISNUMBER(SEARCH($AD$2,AD18)))))</f>
      </c>
      <c r="BP18" s="137">
        <f>IF($AE$2="",1,IF($AE$2="(blank)",--(AE18=""),IF($AE$2="(nonblank)",--(AE18&lt;&gt;""),--ISNUMBER(SEARCH($AE$2,AE18)))))</f>
      </c>
      <c r="BQ18" s="137">
        <f>IF($AF$2="",1,IF($AF$2="(blank)",--(AF18=""),IF($AF$2="(nonblank)",--(AF18&lt;&gt;""),--ISNUMBER(SEARCH($AF$2,AF18)))))</f>
      </c>
      <c r="BR18" s="137">
        <f>IF($AG$2="",1,IF($AG$2="(blank)",--(AG18=""),IF($AG$2="(nonblank)",--(AG18&lt;&gt;""),--ISNUMBER(SEARCH($AG$2,AG18)))))</f>
      </c>
      <c r="BS18" s="137">
        <f>IF($AH$2="",1,IF($AH$2="(blank)",--(AH18=""),IF($AH$2="(nonblank)",--(AH18&lt;&gt;""),--ISNUMBER(SEARCH($AH$2,AH18)))))</f>
      </c>
      <c r="BT18" s="137">
        <f>IF(COUNTIF($AL18:$BS18,0)&gt;0,0,1)</f>
      </c>
    </row>
    <row r="19" ht="14.25" customHeight="1" s="137">
      <c r="A19" s="148" t="n">
        <v>1</v>
      </c>
      <c r="B19" s="149" t="inlineStr">
        <is>
          <t>Scrap of 220 KV Circuit Breaker</t>
        </is>
      </c>
      <c r="C19" s="150" t="n">
        <v>210001</v>
      </c>
      <c r="D19" s="151" t="n">
        <v>21978</v>
      </c>
      <c r="E19" s="151" t="inlineStr">
        <is>
          <t>NO</t>
        </is>
      </c>
      <c r="F19" s="151" t="n">
        <v>2019</v>
      </c>
      <c r="G19" s="149" t="inlineStr">
        <is>
          <t>NATIONAL ENTERPRISES</t>
        </is>
      </c>
      <c r="H19" s="152" t="n">
        <v>210001</v>
      </c>
      <c r="I19" s="152">
        <f>ROUND(H19*18%,0)</f>
        <v/>
      </c>
      <c r="J19" s="152">
        <f>+H19+I19</f>
        <v/>
      </c>
      <c r="K19" s="152">
        <f>ROUND((H19+I19)*2%,0)</f>
        <v/>
      </c>
      <c r="L19" s="153">
        <f>H19*0.1%</f>
        <v/>
      </c>
      <c r="M19" s="153">
        <f>H19*2.25%*118%</f>
        <v/>
      </c>
      <c r="N19" s="154">
        <f>H19*2.25%*2%</f>
        <v/>
      </c>
      <c r="O19" s="153">
        <f>M19-N19</f>
        <v/>
      </c>
      <c r="P19" s="153">
        <f>ROUND(O19+L19,0)</f>
        <v/>
      </c>
      <c r="Q19" s="155" t="n">
        <v>0</v>
      </c>
      <c r="R19" s="153">
        <f>ROUND(H19*Q19,0)</f>
        <v/>
      </c>
      <c r="S19" s="152">
        <f>ROUND(H19*117.65%-R19,0)</f>
        <v/>
      </c>
      <c r="T19" s="153">
        <f>ROUND(H19*25%,0)</f>
        <v/>
      </c>
      <c r="U19" s="156">
        <f>+T19</f>
        <v/>
      </c>
      <c r="V19" s="153" t="inlineStr">
        <is>
          <t>13.08.2026</t>
        </is>
      </c>
      <c r="W19" s="153">
        <f>ROUND(H19*92.65%-R19,0)</f>
        <v/>
      </c>
      <c r="X19" s="153" t="n">
        <v>194566</v>
      </c>
      <c r="Y19" s="153" t="inlineStr">
        <is>
          <t>24.08.2026</t>
        </is>
      </c>
      <c r="Z19" s="153">
        <f>IF(IF(OR(AB19="",AB19=0),TODAY(),DATE(VALUE(RIGHT(AB19,4)),VALUE(MID(AB19,4,2)),VALUE(LEFT(AB19,2))))&lt;=DATE(2026,8,24),0,H19*0.0118*CEILING((IF(OR(AB19="",AB19=0),TODAY(),DATE(VALUE(RIGHT(AB19,4)),VALUE(MID(AB19,4,2)),VALUE(LEFT(AB19,2))))-DATE(2026,8,22))/7,1))</f>
        <v/>
      </c>
      <c r="AA19" s="153" t="n"/>
      <c r="AB19" s="153" t="n"/>
      <c r="AC19" s="157">
        <f>U19+X19+AA19</f>
        <v/>
      </c>
      <c r="AD19" s="157">
        <f>S19-AC19</f>
        <v/>
      </c>
      <c r="AE19" s="153">
        <f>IF(AD19="","",IF(AD19&lt;=5,"SETTLED","OUTSTANDING"))</f>
        <v/>
      </c>
      <c r="AF19" s="153" t="inlineStr">
        <is>
          <t>DR2640100035</t>
        </is>
      </c>
      <c r="AG19" s="158" t="n">
        <v>1800003307</v>
      </c>
      <c r="AH19" s="159" t="inlineStr">
        <is>
          <t>27.08.2026</t>
        </is>
      </c>
      <c r="AL19" s="137">
        <f>IF($A$2="",1,IF($A$2="(blank)",--(A19=""),IF($A$2="(nonblank)",--(A19&lt;&gt;""),--ISNUMBER(SEARCH($A$2,A19)))))</f>
      </c>
      <c r="AM19" s="137">
        <f>IF($B$2="",1,IF($B$2="(blank)",--(B19=""),IF($B$2="(nonblank)",--(B19&lt;&gt;""),--ISNUMBER(SEARCH($B$2,B19)))))</f>
      </c>
      <c r="AN19" s="137">
        <f>IF($C$2="",1,IF($C$2="(blank)",--(C19=""),IF($C$2="(nonblank)",--(C19&lt;&gt;""),--ISNUMBER(SEARCH($C$2,C19)))))</f>
      </c>
      <c r="AO19" s="137">
        <f>IF($D$2="",1,IF($D$2="(blank)",--(D19=""),IF($D$2="(nonblank)",--(D19&lt;&gt;""),--ISNUMBER(SEARCH($D$2,D19)))))</f>
      </c>
      <c r="AP19" s="137">
        <f>IF($E$2="",1,IF($E$2="(blank)",--(E19=""),IF($E$2="(nonblank)",--(E19&lt;&gt;""),--ISNUMBER(SEARCH($E$2,E19)))))</f>
      </c>
      <c r="AQ19" s="137">
        <f>IF($F$2="",1,IF($F$2="(blank)",--(F19=""),IF($F$2="(nonblank)",--(F19&lt;&gt;""),--ISNUMBER(SEARCH($F$2,F19)))))</f>
      </c>
      <c r="AR19" s="137">
        <f>IF($G$2="",1,IF($G$2="(blank)",--(G19=""),IF($G$2="(nonblank)",--(G19&lt;&gt;""),--ISNUMBER(SEARCH($G$2,G19)))))</f>
      </c>
      <c r="AS19" s="137">
        <f>IF($H$2="",1,IF($H$2="(blank)",--(H19=""),IF($H$2="(nonblank)",--(H19&lt;&gt;""),--ISNUMBER(SEARCH($H$2,H19)))))</f>
      </c>
      <c r="AT19" s="137">
        <f>IF($I$2="",1,IF($I$2="(blank)",--(I19=""),IF($I$2="(nonblank)",--(I19&lt;&gt;""),--ISNUMBER(SEARCH($I$2,I19)))))</f>
      </c>
      <c r="AU19" s="137">
        <f>IF($J$2="",1,IF($J$2="(blank)",--(J19=""),IF($J$2="(nonblank)",--(J19&lt;&gt;""),--ISNUMBER(SEARCH($J$2,J19)))))</f>
      </c>
      <c r="AV19" s="137">
        <f>IF($K$2="",1,IF($K$2="(blank)",--(K19=""),IF($K$2="(nonblank)",--(K19&lt;&gt;""),--ISNUMBER(SEARCH($K$2,K19)))))</f>
      </c>
      <c r="AW19" s="137">
        <f>IF($L$2="",1,IF($L$2="(blank)",--(L19=""),IF($L$2="(nonblank)",--(L19&lt;&gt;""),--ISNUMBER(SEARCH($L$2,L19)))))</f>
      </c>
      <c r="AX19" s="137">
        <f>IF($M$2="",1,IF($M$2="(blank)",--(M19=""),IF($M$2="(nonblank)",--(M19&lt;&gt;""),--ISNUMBER(SEARCH($M$2,M19)))))</f>
      </c>
      <c r="AY19" s="137">
        <f>IF($N$2="",1,IF($N$2="(blank)",--(N19=""),IF($N$2="(nonblank)",--(N19&lt;&gt;""),--ISNUMBER(SEARCH($N$2,N19)))))</f>
      </c>
      <c r="AZ19" s="137">
        <f>IF($O$2="",1,IF($O$2="(blank)",--(O19=""),IF($O$2="(nonblank)",--(O19&lt;&gt;""),--ISNUMBER(SEARCH($O$2,O19)))))</f>
      </c>
      <c r="BA19" s="137">
        <f>IF($P$2="",1,IF($P$2="(blank)",--(P19=""),IF($P$2="(nonblank)",--(P19&lt;&gt;""),--ISNUMBER(SEARCH($P$2,P19)))))</f>
      </c>
      <c r="BB19" s="137">
        <f>IF($Q$2="",1,IF($Q$2="(blank)",--(Q19=""),IF($Q$2="(nonblank)",--(Q19&lt;&gt;""),--ISNUMBER(SEARCH($Q$2,Q19)))))</f>
      </c>
      <c r="BC19" s="137">
        <f>IF($R$2="",1,IF($R$2="(blank)",--(R19=""),IF($R$2="(nonblank)",--(R19&lt;&gt;""),--ISNUMBER(SEARCH($R$2,R19)))))</f>
      </c>
      <c r="BD19" s="137">
        <f>IF($S$2="",1,IF($S$2="(blank)",--(S19=""),IF($S$2="(nonblank)",--(S19&lt;&gt;""),--ISNUMBER(SEARCH($S$2,S19)))))</f>
      </c>
      <c r="BE19" s="137">
        <f>IF($T$2="",1,IF($T$2="(blank)",--(T19=""),IF($T$2="(nonblank)",--(T19&lt;&gt;""),--ISNUMBER(SEARCH($T$2,T19)))))</f>
      </c>
      <c r="BF19" s="137">
        <f>IF($U$2="",1,IF($U$2="(blank)",--(U19=""),IF($U$2="(nonblank)",--(U19&lt;&gt;""),--ISNUMBER(SEARCH($U$2,U19)))))</f>
      </c>
      <c r="BG19" s="137">
        <f>IF($V$2="",1,IF($V$2="(blank)",--(V19=""),IF($V$2="(nonblank)",--(V19&lt;&gt;""),--ISNUMBER(SEARCH($V$2,V19)))))</f>
      </c>
      <c r="BH19" s="137">
        <f>IF($W$2="",1,IF($W$2="(blank)",--(W19=""),IF($W$2="(nonblank)",--(W19&lt;&gt;""),--ISNUMBER(SEARCH($W$2,W19)))))</f>
      </c>
      <c r="BI19" s="137">
        <f>IF($X$2="",1,IF($X$2="(blank)",--(X19=""),IF($X$2="(nonblank)",--(X19&lt;&gt;""),--ISNUMBER(SEARCH($X$2,X19)))))</f>
      </c>
      <c r="BJ19" s="137">
        <f>IF($Y$2="",1,IF($Y$2="(blank)",--(Y19=""),IF($Y$2="(nonblank)",--(Y19&lt;&gt;""),--ISNUMBER(SEARCH($Y$2,Y19)))))</f>
      </c>
      <c r="BK19" s="137">
        <f>IF($Z$2="",1,IF($Z$2="(blank)",--(Z19=""),IF($Z$2="(nonblank)",--(Z19&lt;&gt;""),--ISNUMBER(SEARCH($Z$2,Z19)))))</f>
      </c>
      <c r="BL19" s="137">
        <f>IF($AA$2="",1,IF($AA$2="(blank)",--(AA19=""),IF($AA$2="(nonblank)",--(AA19&lt;&gt;""),--ISNUMBER(SEARCH($AA$2,AA19)))))</f>
      </c>
      <c r="BM19" s="137">
        <f>IF($AB$2="",1,IF($AB$2="(blank)",--(AB19=""),IF($AB$2="(nonblank)",--(AB19&lt;&gt;""),--ISNUMBER(SEARCH($AB$2,AB19)))))</f>
      </c>
      <c r="BN19" s="137">
        <f>IF($AC$2="",1,IF($AC$2="(blank)",--(AC19=""),IF($AC$2="(nonblank)",--(AC19&lt;&gt;""),--ISNUMBER(SEARCH($AC$2,AC19)))))</f>
      </c>
      <c r="BO19" s="137">
        <f>IF($AD$2="",1,IF($AD$2="(blank)",--(AD19=""),IF($AD$2="(nonblank)",--(AD19&lt;&gt;""),--ISNUMBER(SEARCH($AD$2,AD19)))))</f>
      </c>
      <c r="BP19" s="137">
        <f>IF($AE$2="",1,IF($AE$2="(blank)",--(AE19=""),IF($AE$2="(nonblank)",--(AE19&lt;&gt;""),--ISNUMBER(SEARCH($AE$2,AE19)))))</f>
      </c>
      <c r="BQ19" s="137">
        <f>IF($AF$2="",1,IF($AF$2="(blank)",--(AF19=""),IF($AF$2="(nonblank)",--(AF19&lt;&gt;""),--ISNUMBER(SEARCH($AF$2,AF19)))))</f>
      </c>
      <c r="BR19" s="137">
        <f>IF($AG$2="",1,IF($AG$2="(blank)",--(AG19=""),IF($AG$2="(nonblank)",--(AG19&lt;&gt;""),--ISNUMBER(SEARCH($AG$2,AG19)))))</f>
      </c>
      <c r="BS19" s="137">
        <f>IF($AH$2="",1,IF($AH$2="(blank)",--(AH19=""),IF($AH$2="(nonblank)",--(AH19&lt;&gt;""),--ISNUMBER(SEARCH($AH$2,AH19)))))</f>
      </c>
      <c r="BT19" s="137">
        <f>IF(COUNTIF($AL19:$BS19,0)&gt;0,0,1)</f>
      </c>
    </row>
    <row r="20" ht="26.25" customHeight="1" s="13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IF(IF(OR(AB20="",AB20=0),TODAY(),DATE(VALUE(RIGHT(AB20,4)),VALUE(MID(AB20,4,2)),VALUE(LEFT(AB20,2))))&lt;=DATE(2026,8,24),0,H20*0.0118*CEILING((IF(OR(AB20="",AB20=0),TODAY(),DATE(VALUE(RIGHT(AB20,4)),VALUE(MID(AB20,4,2)),VALUE(LEFT(AB20,2))))-DATE(2026,8,22))/7,1))</f>
        <v/>
      </c>
      <c r="AA20" s="28" t="n"/>
      <c r="AB20" s="28" t="n"/>
      <c r="AC20" s="15">
        <f>U20+X20+AA20</f>
        <v/>
      </c>
      <c r="AD20" s="19">
        <f>S20-AC20</f>
        <v/>
      </c>
      <c r="AE20" s="20">
        <f>IF(AD20="","",IF(AD20&lt;=5,"SETTLED","OUTSTANDING"))</f>
        <v/>
      </c>
      <c r="AF20" s="20" t="inlineStr">
        <is>
          <t>DR2640100017</t>
        </is>
      </c>
      <c r="AG20" s="21" t="n">
        <v>1800003065</v>
      </c>
      <c r="AH20" s="22" t="inlineStr">
        <is>
          <t>12.08.2026</t>
        </is>
      </c>
      <c r="AL20" s="137">
        <f>IF($A$2="",1,IF($A$2="(blank)",--(A20=""),IF($A$2="(nonblank)",--(A20&lt;&gt;""),--ISNUMBER(SEARCH($A$2,A20)))))</f>
      </c>
      <c r="AM20" s="137">
        <f>IF($B$2="",1,IF($B$2="(blank)",--(B20=""),IF($B$2="(nonblank)",--(B20&lt;&gt;""),--ISNUMBER(SEARCH($B$2,B20)))))</f>
      </c>
      <c r="AN20" s="137">
        <f>IF($C$2="",1,IF($C$2="(blank)",--(C20=""),IF($C$2="(nonblank)",--(C20&lt;&gt;""),--ISNUMBER(SEARCH($C$2,C20)))))</f>
      </c>
      <c r="AO20" s="137">
        <f>IF($D$2="",1,IF($D$2="(blank)",--(D20=""),IF($D$2="(nonblank)",--(D20&lt;&gt;""),--ISNUMBER(SEARCH($D$2,D20)))))</f>
      </c>
      <c r="AP20" s="137">
        <f>IF($E$2="",1,IF($E$2="(blank)",--(E20=""),IF($E$2="(nonblank)",--(E20&lt;&gt;""),--ISNUMBER(SEARCH($E$2,E20)))))</f>
      </c>
      <c r="AQ20" s="137">
        <f>IF($F$2="",1,IF($F$2="(blank)",--(F20=""),IF($F$2="(nonblank)",--(F20&lt;&gt;""),--ISNUMBER(SEARCH($F$2,F20)))))</f>
      </c>
      <c r="AR20" s="137">
        <f>IF($G$2="",1,IF($G$2="(blank)",--(G20=""),IF($G$2="(nonblank)",--(G20&lt;&gt;""),--ISNUMBER(SEARCH($G$2,G20)))))</f>
      </c>
      <c r="AS20" s="137">
        <f>IF($H$2="",1,IF($H$2="(blank)",--(H20=""),IF($H$2="(nonblank)",--(H20&lt;&gt;""),--ISNUMBER(SEARCH($H$2,H20)))))</f>
      </c>
      <c r="AT20" s="137">
        <f>IF($I$2="",1,IF($I$2="(blank)",--(I20=""),IF($I$2="(nonblank)",--(I20&lt;&gt;""),--ISNUMBER(SEARCH($I$2,I20)))))</f>
      </c>
      <c r="AU20" s="137">
        <f>IF($J$2="",1,IF($J$2="(blank)",--(J20=""),IF($J$2="(nonblank)",--(J20&lt;&gt;""),--ISNUMBER(SEARCH($J$2,J20)))))</f>
      </c>
      <c r="AV20" s="137">
        <f>IF($K$2="",1,IF($K$2="(blank)",--(K20=""),IF($K$2="(nonblank)",--(K20&lt;&gt;""),--ISNUMBER(SEARCH($K$2,K20)))))</f>
      </c>
      <c r="AW20" s="137">
        <f>IF($L$2="",1,IF($L$2="(blank)",--(L20=""),IF($L$2="(nonblank)",--(L20&lt;&gt;""),--ISNUMBER(SEARCH($L$2,L20)))))</f>
      </c>
      <c r="AX20" s="137">
        <f>IF($M$2="",1,IF($M$2="(blank)",--(M20=""),IF($M$2="(nonblank)",--(M20&lt;&gt;""),--ISNUMBER(SEARCH($M$2,M20)))))</f>
      </c>
      <c r="AY20" s="137">
        <f>IF($N$2="",1,IF($N$2="(blank)",--(N20=""),IF($N$2="(nonblank)",--(N20&lt;&gt;""),--ISNUMBER(SEARCH($N$2,N20)))))</f>
      </c>
      <c r="AZ20" s="137">
        <f>IF($O$2="",1,IF($O$2="(blank)",--(O20=""),IF($O$2="(nonblank)",--(O20&lt;&gt;""),--ISNUMBER(SEARCH($O$2,O20)))))</f>
      </c>
      <c r="BA20" s="137">
        <f>IF($P$2="",1,IF($P$2="(blank)",--(P20=""),IF($P$2="(nonblank)",--(P20&lt;&gt;""),--ISNUMBER(SEARCH($P$2,P20)))))</f>
      </c>
      <c r="BB20" s="137">
        <f>IF($Q$2="",1,IF($Q$2="(blank)",--(Q20=""),IF($Q$2="(nonblank)",--(Q20&lt;&gt;""),--ISNUMBER(SEARCH($Q$2,Q20)))))</f>
      </c>
      <c r="BC20" s="137">
        <f>IF($R$2="",1,IF($R$2="(blank)",--(R20=""),IF($R$2="(nonblank)",--(R20&lt;&gt;""),--ISNUMBER(SEARCH($R$2,R20)))))</f>
      </c>
      <c r="BD20" s="137">
        <f>IF($S$2="",1,IF($S$2="(blank)",--(S20=""),IF($S$2="(nonblank)",--(S20&lt;&gt;""),--ISNUMBER(SEARCH($S$2,S20)))))</f>
      </c>
      <c r="BE20" s="137">
        <f>IF($T$2="",1,IF($T$2="(blank)",--(T20=""),IF($T$2="(nonblank)",--(T20&lt;&gt;""),--ISNUMBER(SEARCH($T$2,T20)))))</f>
      </c>
      <c r="BF20" s="137">
        <f>IF($U$2="",1,IF($U$2="(blank)",--(U20=""),IF($U$2="(nonblank)",--(U20&lt;&gt;""),--ISNUMBER(SEARCH($U$2,U20)))))</f>
      </c>
      <c r="BG20" s="137">
        <f>IF($V$2="",1,IF($V$2="(blank)",--(V20=""),IF($V$2="(nonblank)",--(V20&lt;&gt;""),--ISNUMBER(SEARCH($V$2,V20)))))</f>
      </c>
      <c r="BH20" s="137">
        <f>IF($W$2="",1,IF($W$2="(blank)",--(W20=""),IF($W$2="(nonblank)",--(W20&lt;&gt;""),--ISNUMBER(SEARCH($W$2,W20)))))</f>
      </c>
      <c r="BI20" s="137">
        <f>IF($X$2="",1,IF($X$2="(blank)",--(X20=""),IF($X$2="(nonblank)",--(X20&lt;&gt;""),--ISNUMBER(SEARCH($X$2,X20)))))</f>
      </c>
      <c r="BJ20" s="137">
        <f>IF($Y$2="",1,IF($Y$2="(blank)",--(Y20=""),IF($Y$2="(nonblank)",--(Y20&lt;&gt;""),--ISNUMBER(SEARCH($Y$2,Y20)))))</f>
      </c>
      <c r="BK20" s="137">
        <f>IF($Z$2="",1,IF($Z$2="(blank)",--(Z20=""),IF($Z$2="(nonblank)",--(Z20&lt;&gt;""),--ISNUMBER(SEARCH($Z$2,Z20)))))</f>
      </c>
      <c r="BL20" s="137">
        <f>IF($AA$2="",1,IF($AA$2="(blank)",--(AA20=""),IF($AA$2="(nonblank)",--(AA20&lt;&gt;""),--ISNUMBER(SEARCH($AA$2,AA20)))))</f>
      </c>
      <c r="BM20" s="137">
        <f>IF($AB$2="",1,IF($AB$2="(blank)",--(AB20=""),IF($AB$2="(nonblank)",--(AB20&lt;&gt;""),--ISNUMBER(SEARCH($AB$2,AB20)))))</f>
      </c>
      <c r="BN20" s="137">
        <f>IF($AC$2="",1,IF($AC$2="(blank)",--(AC20=""),IF($AC$2="(nonblank)",--(AC20&lt;&gt;""),--ISNUMBER(SEARCH($AC$2,AC20)))))</f>
      </c>
      <c r="BO20" s="137">
        <f>IF($AD$2="",1,IF($AD$2="(blank)",--(AD20=""),IF($AD$2="(nonblank)",--(AD20&lt;&gt;""),--ISNUMBER(SEARCH($AD$2,AD20)))))</f>
      </c>
      <c r="BP20" s="137">
        <f>IF($AE$2="",1,IF($AE$2="(blank)",--(AE20=""),IF($AE$2="(nonblank)",--(AE20&lt;&gt;""),--ISNUMBER(SEARCH($AE$2,AE20)))))</f>
      </c>
      <c r="BQ20" s="137">
        <f>IF($AF$2="",1,IF($AF$2="(blank)",--(AF20=""),IF($AF$2="(nonblank)",--(AF20&lt;&gt;""),--ISNUMBER(SEARCH($AF$2,AF20)))))</f>
      </c>
      <c r="BR20" s="137">
        <f>IF($AG$2="",1,IF($AG$2="(blank)",--(AG20=""),IF($AG$2="(nonblank)",--(AG20&lt;&gt;""),--ISNUMBER(SEARCH($AG$2,AG20)))))</f>
      </c>
      <c r="BS20" s="137">
        <f>IF($AH$2="",1,IF($AH$2="(blank)",--(AH20=""),IF($AH$2="(nonblank)",--(AH20&lt;&gt;""),--ISNUMBER(SEARCH($AH$2,AH20)))))</f>
      </c>
      <c r="BT20" s="137">
        <f>IF(COUNTIF($AL20:$BS20,0)&gt;0,0,1)</f>
      </c>
    </row>
    <row r="21" ht="39" customHeight="1" s="137">
      <c r="A21" s="148" t="n">
        <v>3</v>
      </c>
      <c r="B21" s="149" t="inlineStr">
        <is>
          <t>Scrap of 132 KV CT</t>
        </is>
      </c>
      <c r="C21" s="150" t="n">
        <v>110200</v>
      </c>
      <c r="D21" s="151" t="n">
        <v>21978</v>
      </c>
      <c r="E21" s="151" t="inlineStr">
        <is>
          <t>NO</t>
        </is>
      </c>
      <c r="F21" s="151" t="n">
        <v>2022</v>
      </c>
      <c r="G21" s="149" t="inlineStr">
        <is>
          <t>NATIONAL SCRAP AND BUILDING MATERIAL SUPPLIER</t>
        </is>
      </c>
      <c r="H21" s="152" t="n">
        <v>330600</v>
      </c>
      <c r="I21" s="152">
        <f>ROUND(H21*18%,0)</f>
        <v/>
      </c>
      <c r="J21" s="152">
        <f>+H21+I21</f>
        <v/>
      </c>
      <c r="K21" s="152">
        <f>ROUND((H21+I21)*2%,0)</f>
        <v/>
      </c>
      <c r="L21" s="153">
        <f>H21*0.1%</f>
        <v/>
      </c>
      <c r="M21" s="153">
        <f>H21*2.25%*118%</f>
        <v/>
      </c>
      <c r="N21" s="154">
        <f>H21*2.25%*2%</f>
        <v/>
      </c>
      <c r="O21" s="153">
        <f>M21-N21</f>
        <v/>
      </c>
      <c r="P21" s="153">
        <f>ROUND(O21+L21,0)</f>
        <v/>
      </c>
      <c r="Q21" s="155" t="n">
        <v>0</v>
      </c>
      <c r="R21" s="153">
        <f>ROUND(H21*Q21,0)</f>
        <v/>
      </c>
      <c r="S21" s="152">
        <f>ROUND(H21*117.65%-R21,0)</f>
        <v/>
      </c>
      <c r="T21" s="153">
        <f>ROUND(H21*25%,0)</f>
        <v/>
      </c>
      <c r="U21" s="156">
        <f>+T21</f>
        <v/>
      </c>
      <c r="V21" s="153" t="inlineStr">
        <is>
          <t>14.08.2026</t>
        </is>
      </c>
      <c r="W21" s="153">
        <f>ROUND(H21*92.65%-R21,0)</f>
        <v/>
      </c>
      <c r="X21" s="153" t="n">
        <v>306301</v>
      </c>
      <c r="Y21" s="153" t="inlineStr">
        <is>
          <t>21.08.2026</t>
        </is>
      </c>
      <c r="Z21" s="153">
        <f>IF(IF(OR(AB21="",AB21=0),TODAY(),DATE(VALUE(RIGHT(AB21,4)),VALUE(MID(AB21,4,2)),VALUE(LEFT(AB21,2))))&lt;=DATE(2026,8,24),0,H21*0.0118*CEILING((IF(OR(AB21="",AB21=0),TODAY(),DATE(VALUE(RIGHT(AB21,4)),VALUE(MID(AB21,4,2)),VALUE(LEFT(AB21,2))))-DATE(2026,8,22))/7,1))</f>
        <v/>
      </c>
      <c r="AA21" s="153" t="n"/>
      <c r="AB21" s="153" t="n"/>
      <c r="AC21" s="157">
        <f>U21+X21+AA21</f>
        <v/>
      </c>
      <c r="AD21" s="157">
        <f>S21-AC21</f>
        <v/>
      </c>
      <c r="AE21" s="153">
        <f>IF(AD21="","",IF(AD21&lt;=5,"SETTLED","OUTSTANDING"))</f>
        <v/>
      </c>
      <c r="AF21" s="153" t="inlineStr">
        <is>
          <t>DR2640100028</t>
        </is>
      </c>
      <c r="AG21" s="158" t="n">
        <v>1800003269</v>
      </c>
      <c r="AH21" s="159" t="inlineStr">
        <is>
          <t>24.08.2026</t>
        </is>
      </c>
      <c r="AL21" s="137">
        <f>IF($A$2="",1,IF($A$2="(blank)",--(A21=""),IF($A$2="(nonblank)",--(A21&lt;&gt;""),--ISNUMBER(SEARCH($A$2,A21)))))</f>
      </c>
      <c r="AM21" s="137">
        <f>IF($B$2="",1,IF($B$2="(blank)",--(B21=""),IF($B$2="(nonblank)",--(B21&lt;&gt;""),--ISNUMBER(SEARCH($B$2,B21)))))</f>
      </c>
      <c r="AN21" s="137">
        <f>IF($C$2="",1,IF($C$2="(blank)",--(C21=""),IF($C$2="(nonblank)",--(C21&lt;&gt;""),--ISNUMBER(SEARCH($C$2,C21)))))</f>
      </c>
      <c r="AO21" s="137">
        <f>IF($D$2="",1,IF($D$2="(blank)",--(D21=""),IF($D$2="(nonblank)",--(D21&lt;&gt;""),--ISNUMBER(SEARCH($D$2,D21)))))</f>
      </c>
      <c r="AP21" s="137">
        <f>IF($E$2="",1,IF($E$2="(blank)",--(E21=""),IF($E$2="(nonblank)",--(E21&lt;&gt;""),--ISNUMBER(SEARCH($E$2,E21)))))</f>
      </c>
      <c r="AQ21" s="137">
        <f>IF($F$2="",1,IF($F$2="(blank)",--(F21=""),IF($F$2="(nonblank)",--(F21&lt;&gt;""),--ISNUMBER(SEARCH($F$2,F21)))))</f>
      </c>
      <c r="AR21" s="137">
        <f>IF($G$2="",1,IF($G$2="(blank)",--(G21=""),IF($G$2="(nonblank)",--(G21&lt;&gt;""),--ISNUMBER(SEARCH($G$2,G21)))))</f>
      </c>
      <c r="AS21" s="137">
        <f>IF($H$2="",1,IF($H$2="(blank)",--(H21=""),IF($H$2="(nonblank)",--(H21&lt;&gt;""),--ISNUMBER(SEARCH($H$2,H21)))))</f>
      </c>
      <c r="AT21" s="137">
        <f>IF($I$2="",1,IF($I$2="(blank)",--(I21=""),IF($I$2="(nonblank)",--(I21&lt;&gt;""),--ISNUMBER(SEARCH($I$2,I21)))))</f>
      </c>
      <c r="AU21" s="137">
        <f>IF($J$2="",1,IF($J$2="(blank)",--(J21=""),IF($J$2="(nonblank)",--(J21&lt;&gt;""),--ISNUMBER(SEARCH($J$2,J21)))))</f>
      </c>
      <c r="AV21" s="137">
        <f>IF($K$2="",1,IF($K$2="(blank)",--(K21=""),IF($K$2="(nonblank)",--(K21&lt;&gt;""),--ISNUMBER(SEARCH($K$2,K21)))))</f>
      </c>
      <c r="AW21" s="137">
        <f>IF($L$2="",1,IF($L$2="(blank)",--(L21=""),IF($L$2="(nonblank)",--(L21&lt;&gt;""),--ISNUMBER(SEARCH($L$2,L21)))))</f>
      </c>
      <c r="AX21" s="137">
        <f>IF($M$2="",1,IF($M$2="(blank)",--(M21=""),IF($M$2="(nonblank)",--(M21&lt;&gt;""),--ISNUMBER(SEARCH($M$2,M21)))))</f>
      </c>
      <c r="AY21" s="137">
        <f>IF($N$2="",1,IF($N$2="(blank)",--(N21=""),IF($N$2="(nonblank)",--(N21&lt;&gt;""),--ISNUMBER(SEARCH($N$2,N21)))))</f>
      </c>
      <c r="AZ21" s="137">
        <f>IF($O$2="",1,IF($O$2="(blank)",--(O21=""),IF($O$2="(nonblank)",--(O21&lt;&gt;""),--ISNUMBER(SEARCH($O$2,O21)))))</f>
      </c>
      <c r="BA21" s="137">
        <f>IF($P$2="",1,IF($P$2="(blank)",--(P21=""),IF($P$2="(nonblank)",--(P21&lt;&gt;""),--ISNUMBER(SEARCH($P$2,P21)))))</f>
      </c>
      <c r="BB21" s="137">
        <f>IF($Q$2="",1,IF($Q$2="(blank)",--(Q21=""),IF($Q$2="(nonblank)",--(Q21&lt;&gt;""),--ISNUMBER(SEARCH($Q$2,Q21)))))</f>
      </c>
      <c r="BC21" s="137">
        <f>IF($R$2="",1,IF($R$2="(blank)",--(R21=""),IF($R$2="(nonblank)",--(R21&lt;&gt;""),--ISNUMBER(SEARCH($R$2,R21)))))</f>
      </c>
      <c r="BD21" s="137">
        <f>IF($S$2="",1,IF($S$2="(blank)",--(S21=""),IF($S$2="(nonblank)",--(S21&lt;&gt;""),--ISNUMBER(SEARCH($S$2,S21)))))</f>
      </c>
      <c r="BE21" s="137">
        <f>IF($T$2="",1,IF($T$2="(blank)",--(T21=""),IF($T$2="(nonblank)",--(T21&lt;&gt;""),--ISNUMBER(SEARCH($T$2,T21)))))</f>
      </c>
      <c r="BF21" s="137">
        <f>IF($U$2="",1,IF($U$2="(blank)",--(U21=""),IF($U$2="(nonblank)",--(U21&lt;&gt;""),--ISNUMBER(SEARCH($U$2,U21)))))</f>
      </c>
      <c r="BG21" s="137">
        <f>IF($V$2="",1,IF($V$2="(blank)",--(V21=""),IF($V$2="(nonblank)",--(V21&lt;&gt;""),--ISNUMBER(SEARCH($V$2,V21)))))</f>
      </c>
      <c r="BH21" s="137">
        <f>IF($W$2="",1,IF($W$2="(blank)",--(W21=""),IF($W$2="(nonblank)",--(W21&lt;&gt;""),--ISNUMBER(SEARCH($W$2,W21)))))</f>
      </c>
      <c r="BI21" s="137">
        <f>IF($X$2="",1,IF($X$2="(blank)",--(X21=""),IF($X$2="(nonblank)",--(X21&lt;&gt;""),--ISNUMBER(SEARCH($X$2,X21)))))</f>
      </c>
      <c r="BJ21" s="137">
        <f>IF($Y$2="",1,IF($Y$2="(blank)",--(Y21=""),IF($Y$2="(nonblank)",--(Y21&lt;&gt;""),--ISNUMBER(SEARCH($Y$2,Y21)))))</f>
      </c>
      <c r="BK21" s="137">
        <f>IF($Z$2="",1,IF($Z$2="(blank)",--(Z21=""),IF($Z$2="(nonblank)",--(Z21&lt;&gt;""),--ISNUMBER(SEARCH($Z$2,Z21)))))</f>
      </c>
      <c r="BL21" s="137">
        <f>IF($AA$2="",1,IF($AA$2="(blank)",--(AA21=""),IF($AA$2="(nonblank)",--(AA21&lt;&gt;""),--ISNUMBER(SEARCH($AA$2,AA21)))))</f>
      </c>
      <c r="BM21" s="137">
        <f>IF($AB$2="",1,IF($AB$2="(blank)",--(AB21=""),IF($AB$2="(nonblank)",--(AB21&lt;&gt;""),--ISNUMBER(SEARCH($AB$2,AB21)))))</f>
      </c>
      <c r="BN21" s="137">
        <f>IF($AC$2="",1,IF($AC$2="(blank)",--(AC21=""),IF($AC$2="(nonblank)",--(AC21&lt;&gt;""),--ISNUMBER(SEARCH($AC$2,AC21)))))</f>
      </c>
      <c r="BO21" s="137">
        <f>IF($AD$2="",1,IF($AD$2="(blank)",--(AD21=""),IF($AD$2="(nonblank)",--(AD21&lt;&gt;""),--ISNUMBER(SEARCH($AD$2,AD21)))))</f>
      </c>
      <c r="BP21" s="137">
        <f>IF($AE$2="",1,IF($AE$2="(blank)",--(AE21=""),IF($AE$2="(nonblank)",--(AE21&lt;&gt;""),--ISNUMBER(SEARCH($AE$2,AE21)))))</f>
      </c>
      <c r="BQ21" s="137">
        <f>IF($AF$2="",1,IF($AF$2="(blank)",--(AF21=""),IF($AF$2="(nonblank)",--(AF21&lt;&gt;""),--ISNUMBER(SEARCH($AF$2,AF21)))))</f>
      </c>
      <c r="BR21" s="137">
        <f>IF($AG$2="",1,IF($AG$2="(blank)",--(AG21=""),IF($AG$2="(nonblank)",--(AG21&lt;&gt;""),--ISNUMBER(SEARCH($AG$2,AG21)))))</f>
      </c>
      <c r="BS21" s="137">
        <f>IF($AH$2="",1,IF($AH$2="(blank)",--(AH21=""),IF($AH$2="(nonblank)",--(AH21&lt;&gt;""),--ISNUMBER(SEARCH($AH$2,AH21)))))</f>
      </c>
      <c r="BT21" s="137">
        <f>IF(COUNTIF($AL21:$BS21,0)&gt;0,0,1)</f>
      </c>
    </row>
    <row r="22" ht="14.25" customHeight="1" s="13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IF(IF(OR(AB22="",AB22=0),TODAY(),DATE(VALUE(RIGHT(AB22,4)),VALUE(MID(AB22,4,2)),VALUE(LEFT(AB22,2))))&lt;=DATE(2026,8,24),0,H22*0.0118*CEILING((IF(OR(AB22="",AB22=0),TODAY(),DATE(VALUE(RIGHT(AB22,4)),VALUE(MID(AB22,4,2)),VALUE(LEFT(AB22,2))))-DATE(2026,8,22))/7,1))</f>
        <v/>
      </c>
      <c r="AA22" s="28" t="n"/>
      <c r="AB22" s="28" t="n"/>
      <c r="AC22" s="15">
        <f>U22+X22+AA22</f>
        <v/>
      </c>
      <c r="AD22" s="19">
        <f>S22-AC22</f>
        <v/>
      </c>
      <c r="AE22" s="20">
        <f>IF(AD22="","",IF(AD22&lt;=5,"SETTLED","OUTSTANDING"))</f>
        <v/>
      </c>
      <c r="AF22" s="20" t="inlineStr">
        <is>
          <t>DR2640100044</t>
        </is>
      </c>
      <c r="AG22" s="21" t="n">
        <v>1800003308</v>
      </c>
      <c r="AH22" s="22" t="inlineStr">
        <is>
          <t>27.08.2026</t>
        </is>
      </c>
      <c r="AL22" s="137">
        <f>IF($A$2="",1,IF($A$2="(blank)",--(A22=""),IF($A$2="(nonblank)",--(A22&lt;&gt;""),--ISNUMBER(SEARCH($A$2,A22)))))</f>
      </c>
      <c r="AM22" s="137">
        <f>IF($B$2="",1,IF($B$2="(blank)",--(B22=""),IF($B$2="(nonblank)",--(B22&lt;&gt;""),--ISNUMBER(SEARCH($B$2,B22)))))</f>
      </c>
      <c r="AN22" s="137">
        <f>IF($C$2="",1,IF($C$2="(blank)",--(C22=""),IF($C$2="(nonblank)",--(C22&lt;&gt;""),--ISNUMBER(SEARCH($C$2,C22)))))</f>
      </c>
      <c r="AO22" s="137">
        <f>IF($D$2="",1,IF($D$2="(blank)",--(D22=""),IF($D$2="(nonblank)",--(D22&lt;&gt;""),--ISNUMBER(SEARCH($D$2,D22)))))</f>
      </c>
      <c r="AP22" s="137">
        <f>IF($E$2="",1,IF($E$2="(blank)",--(E22=""),IF($E$2="(nonblank)",--(E22&lt;&gt;""),--ISNUMBER(SEARCH($E$2,E22)))))</f>
      </c>
      <c r="AQ22" s="137">
        <f>IF($F$2="",1,IF($F$2="(blank)",--(F22=""),IF($F$2="(nonblank)",--(F22&lt;&gt;""),--ISNUMBER(SEARCH($F$2,F22)))))</f>
      </c>
      <c r="AR22" s="137">
        <f>IF($G$2="",1,IF($G$2="(blank)",--(G22=""),IF($G$2="(nonblank)",--(G22&lt;&gt;""),--ISNUMBER(SEARCH($G$2,G22)))))</f>
      </c>
      <c r="AS22" s="137">
        <f>IF($H$2="",1,IF($H$2="(blank)",--(H22=""),IF($H$2="(nonblank)",--(H22&lt;&gt;""),--ISNUMBER(SEARCH($H$2,H22)))))</f>
      </c>
      <c r="AT22" s="137">
        <f>IF($I$2="",1,IF($I$2="(blank)",--(I22=""),IF($I$2="(nonblank)",--(I22&lt;&gt;""),--ISNUMBER(SEARCH($I$2,I22)))))</f>
      </c>
      <c r="AU22" s="137">
        <f>IF($J$2="",1,IF($J$2="(blank)",--(J22=""),IF($J$2="(nonblank)",--(J22&lt;&gt;""),--ISNUMBER(SEARCH($J$2,J22)))))</f>
      </c>
      <c r="AV22" s="137">
        <f>IF($K$2="",1,IF($K$2="(blank)",--(K22=""),IF($K$2="(nonblank)",--(K22&lt;&gt;""),--ISNUMBER(SEARCH($K$2,K22)))))</f>
      </c>
      <c r="AW22" s="137">
        <f>IF($L$2="",1,IF($L$2="(blank)",--(L22=""),IF($L$2="(nonblank)",--(L22&lt;&gt;""),--ISNUMBER(SEARCH($L$2,L22)))))</f>
      </c>
      <c r="AX22" s="137">
        <f>IF($M$2="",1,IF($M$2="(blank)",--(M22=""),IF($M$2="(nonblank)",--(M22&lt;&gt;""),--ISNUMBER(SEARCH($M$2,M22)))))</f>
      </c>
      <c r="AY22" s="137">
        <f>IF($N$2="",1,IF($N$2="(blank)",--(N22=""),IF($N$2="(nonblank)",--(N22&lt;&gt;""),--ISNUMBER(SEARCH($N$2,N22)))))</f>
      </c>
      <c r="AZ22" s="137">
        <f>IF($O$2="",1,IF($O$2="(blank)",--(O22=""),IF($O$2="(nonblank)",--(O22&lt;&gt;""),--ISNUMBER(SEARCH($O$2,O22)))))</f>
      </c>
      <c r="BA22" s="137">
        <f>IF($P$2="",1,IF($P$2="(blank)",--(P22=""),IF($P$2="(nonblank)",--(P22&lt;&gt;""),--ISNUMBER(SEARCH($P$2,P22)))))</f>
      </c>
      <c r="BB22" s="137">
        <f>IF($Q$2="",1,IF($Q$2="(blank)",--(Q22=""),IF($Q$2="(nonblank)",--(Q22&lt;&gt;""),--ISNUMBER(SEARCH($Q$2,Q22)))))</f>
      </c>
      <c r="BC22" s="137">
        <f>IF($R$2="",1,IF($R$2="(blank)",--(R22=""),IF($R$2="(nonblank)",--(R22&lt;&gt;""),--ISNUMBER(SEARCH($R$2,R22)))))</f>
      </c>
      <c r="BD22" s="137">
        <f>IF($S$2="",1,IF($S$2="(blank)",--(S22=""),IF($S$2="(nonblank)",--(S22&lt;&gt;""),--ISNUMBER(SEARCH($S$2,S22)))))</f>
      </c>
      <c r="BE22" s="137">
        <f>IF($T$2="",1,IF($T$2="(blank)",--(T22=""),IF($T$2="(nonblank)",--(T22&lt;&gt;""),--ISNUMBER(SEARCH($T$2,T22)))))</f>
      </c>
      <c r="BF22" s="137">
        <f>IF($U$2="",1,IF($U$2="(blank)",--(U22=""),IF($U$2="(nonblank)",--(U22&lt;&gt;""),--ISNUMBER(SEARCH($U$2,U22)))))</f>
      </c>
      <c r="BG22" s="137">
        <f>IF($V$2="",1,IF($V$2="(blank)",--(V22=""),IF($V$2="(nonblank)",--(V22&lt;&gt;""),--ISNUMBER(SEARCH($V$2,V22)))))</f>
      </c>
      <c r="BH22" s="137">
        <f>IF($W$2="",1,IF($W$2="(blank)",--(W22=""),IF($W$2="(nonblank)",--(W22&lt;&gt;""),--ISNUMBER(SEARCH($W$2,W22)))))</f>
      </c>
      <c r="BI22" s="137">
        <f>IF($X$2="",1,IF($X$2="(blank)",--(X22=""),IF($X$2="(nonblank)",--(X22&lt;&gt;""),--ISNUMBER(SEARCH($X$2,X22)))))</f>
      </c>
      <c r="BJ22" s="137">
        <f>IF($Y$2="",1,IF($Y$2="(blank)",--(Y22=""),IF($Y$2="(nonblank)",--(Y22&lt;&gt;""),--ISNUMBER(SEARCH($Y$2,Y22)))))</f>
      </c>
      <c r="BK22" s="137">
        <f>IF($Z$2="",1,IF($Z$2="(blank)",--(Z22=""),IF($Z$2="(nonblank)",--(Z22&lt;&gt;""),--ISNUMBER(SEARCH($Z$2,Z22)))))</f>
      </c>
      <c r="BL22" s="137">
        <f>IF($AA$2="",1,IF($AA$2="(blank)",--(AA22=""),IF($AA$2="(nonblank)",--(AA22&lt;&gt;""),--ISNUMBER(SEARCH($AA$2,AA22)))))</f>
      </c>
      <c r="BM22" s="137">
        <f>IF($AB$2="",1,IF($AB$2="(blank)",--(AB22=""),IF($AB$2="(nonblank)",--(AB22&lt;&gt;""),--ISNUMBER(SEARCH($AB$2,AB22)))))</f>
      </c>
      <c r="BN22" s="137">
        <f>IF($AC$2="",1,IF($AC$2="(blank)",--(AC22=""),IF($AC$2="(nonblank)",--(AC22&lt;&gt;""),--ISNUMBER(SEARCH($AC$2,AC22)))))</f>
      </c>
      <c r="BO22" s="137">
        <f>IF($AD$2="",1,IF($AD$2="(blank)",--(AD22=""),IF($AD$2="(nonblank)",--(AD22&lt;&gt;""),--ISNUMBER(SEARCH($AD$2,AD22)))))</f>
      </c>
      <c r="BP22" s="137">
        <f>IF($AE$2="",1,IF($AE$2="(blank)",--(AE22=""),IF($AE$2="(nonblank)",--(AE22&lt;&gt;""),--ISNUMBER(SEARCH($AE$2,AE22)))))</f>
      </c>
      <c r="BQ22" s="137">
        <f>IF($AF$2="",1,IF($AF$2="(blank)",--(AF22=""),IF($AF$2="(nonblank)",--(AF22&lt;&gt;""),--ISNUMBER(SEARCH($AF$2,AF22)))))</f>
      </c>
      <c r="BR22" s="137">
        <f>IF($AG$2="",1,IF($AG$2="(blank)",--(AG22=""),IF($AG$2="(nonblank)",--(AG22&lt;&gt;""),--ISNUMBER(SEARCH($AG$2,AG22)))))</f>
      </c>
      <c r="BS22" s="137">
        <f>IF($AH$2="",1,IF($AH$2="(blank)",--(AH22=""),IF($AH$2="(nonblank)",--(AH22&lt;&gt;""),--ISNUMBER(SEARCH($AH$2,AH22)))))</f>
      </c>
      <c r="BT22" s="137">
        <f>IF(COUNTIF($AL22:$BS22,0)&gt;0,0,1)</f>
      </c>
    </row>
    <row r="23" ht="14.25" customHeight="1" s="137">
      <c r="A23" s="148" t="n">
        <v>90</v>
      </c>
      <c r="B23" s="149" t="inlineStr">
        <is>
          <t>Scrap of empty oil Barrels</t>
        </is>
      </c>
      <c r="C23" s="150" t="n">
        <v>700</v>
      </c>
      <c r="D23" s="151" t="n">
        <v>21978</v>
      </c>
      <c r="E23" s="151" t="inlineStr">
        <is>
          <t>NO</t>
        </is>
      </c>
      <c r="F23" s="151" t="n">
        <v>2025</v>
      </c>
      <c r="G23" s="149" t="inlineStr">
        <is>
          <t>STERLING ENTERPRISES</t>
        </is>
      </c>
      <c r="H23" s="152" t="n">
        <v>63000</v>
      </c>
      <c r="I23" s="152">
        <f>ROUND(H23*18%,0)</f>
        <v/>
      </c>
      <c r="J23" s="152">
        <f>+H23+I23</f>
        <v/>
      </c>
      <c r="K23" s="152">
        <f>ROUND((H23+I23)*2%,0)</f>
        <v/>
      </c>
      <c r="L23" s="153">
        <f>H23*0.1%</f>
        <v/>
      </c>
      <c r="M23" s="153">
        <f>H23*2.25%*118%</f>
        <v/>
      </c>
      <c r="N23" s="154">
        <f>H23*2.25%*2%</f>
        <v/>
      </c>
      <c r="O23" s="153">
        <f>M23-N23</f>
        <v/>
      </c>
      <c r="P23" s="153">
        <f>ROUND(O23+L23,0)</f>
        <v/>
      </c>
      <c r="Q23" s="155" t="n">
        <v>0</v>
      </c>
      <c r="R23" s="153">
        <f>ROUND(H23*Q23,0)</f>
        <v/>
      </c>
      <c r="S23" s="152">
        <f>ROUND(H23*117.65%-R23,0)</f>
        <v/>
      </c>
      <c r="T23" s="153">
        <f>ROUND(H23*25%,0)</f>
        <v/>
      </c>
      <c r="U23" s="156" t="n">
        <v>15750</v>
      </c>
      <c r="V23" s="153" t="inlineStr">
        <is>
          <t>11.08.2026</t>
        </is>
      </c>
      <c r="W23" s="153">
        <f>ROUND(H23*92.65%-R23,0)</f>
        <v/>
      </c>
      <c r="X23" s="153" t="n">
        <v>58418</v>
      </c>
      <c r="Y23" s="153" t="inlineStr">
        <is>
          <t>11.08.2026</t>
        </is>
      </c>
      <c r="Z23" s="153">
        <f>IF(IF(OR(AB23="",AB23=0),TODAY(),DATE(VALUE(RIGHT(AB23,4)),VALUE(MID(AB23,4,2)),VALUE(LEFT(AB23,2))))&lt;=DATE(2026,8,24),0,H23*0.0118*CEILING((IF(OR(AB23="",AB23=0),TODAY(),DATE(VALUE(RIGHT(AB23,4)),VALUE(MID(AB23,4,2)),VALUE(LEFT(AB23,2))))-DATE(2026,8,22))/7,1))</f>
        <v/>
      </c>
      <c r="AA23" s="153" t="n"/>
      <c r="AB23" s="153" t="n"/>
      <c r="AC23" s="157">
        <f>U23+X23+AA23</f>
        <v/>
      </c>
      <c r="AD23" s="157">
        <f>S23-AC23</f>
        <v/>
      </c>
      <c r="AE23" s="153">
        <f>IF(AD23="","",IF(AD23&lt;=5,"SETTLED","OUTSTANDING"))</f>
        <v/>
      </c>
      <c r="AF23" s="153" t="inlineStr">
        <is>
          <t>DR2640100021</t>
        </is>
      </c>
      <c r="AG23" s="158" t="n">
        <v>1800003160</v>
      </c>
      <c r="AH23" s="159" t="inlineStr">
        <is>
          <t>14.08.2026</t>
        </is>
      </c>
      <c r="AL23" s="137">
        <f>IF($A$2="",1,IF($A$2="(blank)",--(A23=""),IF($A$2="(nonblank)",--(A23&lt;&gt;""),--ISNUMBER(SEARCH($A$2,A23)))))</f>
      </c>
      <c r="AM23" s="137">
        <f>IF($B$2="",1,IF($B$2="(blank)",--(B23=""),IF($B$2="(nonblank)",--(B23&lt;&gt;""),--ISNUMBER(SEARCH($B$2,B23)))))</f>
      </c>
      <c r="AN23" s="137">
        <f>IF($C$2="",1,IF($C$2="(blank)",--(C23=""),IF($C$2="(nonblank)",--(C23&lt;&gt;""),--ISNUMBER(SEARCH($C$2,C23)))))</f>
      </c>
      <c r="AO23" s="137">
        <f>IF($D$2="",1,IF($D$2="(blank)",--(D23=""),IF($D$2="(nonblank)",--(D23&lt;&gt;""),--ISNUMBER(SEARCH($D$2,D23)))))</f>
      </c>
      <c r="AP23" s="137">
        <f>IF($E$2="",1,IF($E$2="(blank)",--(E23=""),IF($E$2="(nonblank)",--(E23&lt;&gt;""),--ISNUMBER(SEARCH($E$2,E23)))))</f>
      </c>
      <c r="AQ23" s="137">
        <f>IF($F$2="",1,IF($F$2="(blank)",--(F23=""),IF($F$2="(nonblank)",--(F23&lt;&gt;""),--ISNUMBER(SEARCH($F$2,F23)))))</f>
      </c>
      <c r="AR23" s="137">
        <f>IF($G$2="",1,IF($G$2="(blank)",--(G23=""),IF($G$2="(nonblank)",--(G23&lt;&gt;""),--ISNUMBER(SEARCH($G$2,G23)))))</f>
      </c>
      <c r="AS23" s="137">
        <f>IF($H$2="",1,IF($H$2="(blank)",--(H23=""),IF($H$2="(nonblank)",--(H23&lt;&gt;""),--ISNUMBER(SEARCH($H$2,H23)))))</f>
      </c>
      <c r="AT23" s="137">
        <f>IF($I$2="",1,IF($I$2="(blank)",--(I23=""),IF($I$2="(nonblank)",--(I23&lt;&gt;""),--ISNUMBER(SEARCH($I$2,I23)))))</f>
      </c>
      <c r="AU23" s="137">
        <f>IF($J$2="",1,IF($J$2="(blank)",--(J23=""),IF($J$2="(nonblank)",--(J23&lt;&gt;""),--ISNUMBER(SEARCH($J$2,J23)))))</f>
      </c>
      <c r="AV23" s="137">
        <f>IF($K$2="",1,IF($K$2="(blank)",--(K23=""),IF($K$2="(nonblank)",--(K23&lt;&gt;""),--ISNUMBER(SEARCH($K$2,K23)))))</f>
      </c>
      <c r="AW23" s="137">
        <f>IF($L$2="",1,IF($L$2="(blank)",--(L23=""),IF($L$2="(nonblank)",--(L23&lt;&gt;""),--ISNUMBER(SEARCH($L$2,L23)))))</f>
      </c>
      <c r="AX23" s="137">
        <f>IF($M$2="",1,IF($M$2="(blank)",--(M23=""),IF($M$2="(nonblank)",--(M23&lt;&gt;""),--ISNUMBER(SEARCH($M$2,M23)))))</f>
      </c>
      <c r="AY23" s="137">
        <f>IF($N$2="",1,IF($N$2="(blank)",--(N23=""),IF($N$2="(nonblank)",--(N23&lt;&gt;""),--ISNUMBER(SEARCH($N$2,N23)))))</f>
      </c>
      <c r="AZ23" s="137">
        <f>IF($O$2="",1,IF($O$2="(blank)",--(O23=""),IF($O$2="(nonblank)",--(O23&lt;&gt;""),--ISNUMBER(SEARCH($O$2,O23)))))</f>
      </c>
      <c r="BA23" s="137">
        <f>IF($P$2="",1,IF($P$2="(blank)",--(P23=""),IF($P$2="(nonblank)",--(P23&lt;&gt;""),--ISNUMBER(SEARCH($P$2,P23)))))</f>
      </c>
      <c r="BB23" s="137">
        <f>IF($Q$2="",1,IF($Q$2="(blank)",--(Q23=""),IF($Q$2="(nonblank)",--(Q23&lt;&gt;""),--ISNUMBER(SEARCH($Q$2,Q23)))))</f>
      </c>
      <c r="BC23" s="137">
        <f>IF($R$2="",1,IF($R$2="(blank)",--(R23=""),IF($R$2="(nonblank)",--(R23&lt;&gt;""),--ISNUMBER(SEARCH($R$2,R23)))))</f>
      </c>
      <c r="BD23" s="137">
        <f>IF($S$2="",1,IF($S$2="(blank)",--(S23=""),IF($S$2="(nonblank)",--(S23&lt;&gt;""),--ISNUMBER(SEARCH($S$2,S23)))))</f>
      </c>
      <c r="BE23" s="137">
        <f>IF($T$2="",1,IF($T$2="(blank)",--(T23=""),IF($T$2="(nonblank)",--(T23&lt;&gt;""),--ISNUMBER(SEARCH($T$2,T23)))))</f>
      </c>
      <c r="BF23" s="137">
        <f>IF($U$2="",1,IF($U$2="(blank)",--(U23=""),IF($U$2="(nonblank)",--(U23&lt;&gt;""),--ISNUMBER(SEARCH($U$2,U23)))))</f>
      </c>
      <c r="BG23" s="137">
        <f>IF($V$2="",1,IF($V$2="(blank)",--(V23=""),IF($V$2="(nonblank)",--(V23&lt;&gt;""),--ISNUMBER(SEARCH($V$2,V23)))))</f>
      </c>
      <c r="BH23" s="137">
        <f>IF($W$2="",1,IF($W$2="(blank)",--(W23=""),IF($W$2="(nonblank)",--(W23&lt;&gt;""),--ISNUMBER(SEARCH($W$2,W23)))))</f>
      </c>
      <c r="BI23" s="137">
        <f>IF($X$2="",1,IF($X$2="(blank)",--(X23=""),IF($X$2="(nonblank)",--(X23&lt;&gt;""),--ISNUMBER(SEARCH($X$2,X23)))))</f>
      </c>
      <c r="BJ23" s="137">
        <f>IF($Y$2="",1,IF($Y$2="(blank)",--(Y23=""),IF($Y$2="(nonblank)",--(Y23&lt;&gt;""),--ISNUMBER(SEARCH($Y$2,Y23)))))</f>
      </c>
      <c r="BK23" s="137">
        <f>IF($Z$2="",1,IF($Z$2="(blank)",--(Z23=""),IF($Z$2="(nonblank)",--(Z23&lt;&gt;""),--ISNUMBER(SEARCH($Z$2,Z23)))))</f>
      </c>
      <c r="BL23" s="137">
        <f>IF($AA$2="",1,IF($AA$2="(blank)",--(AA23=""),IF($AA$2="(nonblank)",--(AA23&lt;&gt;""),--ISNUMBER(SEARCH($AA$2,AA23)))))</f>
      </c>
      <c r="BM23" s="137">
        <f>IF($AB$2="",1,IF($AB$2="(blank)",--(AB23=""),IF($AB$2="(nonblank)",--(AB23&lt;&gt;""),--ISNUMBER(SEARCH($AB$2,AB23)))))</f>
      </c>
      <c r="BN23" s="137">
        <f>IF($AC$2="",1,IF($AC$2="(blank)",--(AC23=""),IF($AC$2="(nonblank)",--(AC23&lt;&gt;""),--ISNUMBER(SEARCH($AC$2,AC23)))))</f>
      </c>
      <c r="BO23" s="137">
        <f>IF($AD$2="",1,IF($AD$2="(blank)",--(AD23=""),IF($AD$2="(nonblank)",--(AD23&lt;&gt;""),--ISNUMBER(SEARCH($AD$2,AD23)))))</f>
      </c>
      <c r="BP23" s="137">
        <f>IF($AE$2="",1,IF($AE$2="(blank)",--(AE23=""),IF($AE$2="(nonblank)",--(AE23&lt;&gt;""),--ISNUMBER(SEARCH($AE$2,AE23)))))</f>
      </c>
      <c r="BQ23" s="137">
        <f>IF($AF$2="",1,IF($AF$2="(blank)",--(AF23=""),IF($AF$2="(nonblank)",--(AF23&lt;&gt;""),--ISNUMBER(SEARCH($AF$2,AF23)))))</f>
      </c>
      <c r="BR23" s="137">
        <f>IF($AG$2="",1,IF($AG$2="(blank)",--(AG23=""),IF($AG$2="(nonblank)",--(AG23&lt;&gt;""),--ISNUMBER(SEARCH($AG$2,AG23)))))</f>
      </c>
      <c r="BS23" s="137">
        <f>IF($AH$2="",1,IF($AH$2="(blank)",--(AH23=""),IF($AH$2="(nonblank)",--(AH23&lt;&gt;""),--ISNUMBER(SEARCH($AH$2,AH23)))))</f>
      </c>
      <c r="BT23" s="137">
        <f>IF(COUNTIF($AL23:$BS23,0)&gt;0,0,1)</f>
      </c>
    </row>
    <row r="24" ht="14.25" customHeight="1" s="13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IF(IF(OR(AB24="",AB24=0),TODAY(),DATE(VALUE(RIGHT(AB24,4)),VALUE(MID(AB24,4,2)),VALUE(LEFT(AB24,2))))&lt;=DATE(2026,8,24),0,H24*0.0118*CEILING((IF(OR(AB24="",AB24=0),TODAY(),DATE(VALUE(RIGHT(AB24,4)),VALUE(MID(AB24,4,2)),VALUE(LEFT(AB24,2))))-DATE(2026,8,22))/7,1))</f>
        <v/>
      </c>
      <c r="AA24" s="28" t="n"/>
      <c r="AB24" s="28" t="n"/>
      <c r="AC24" s="15">
        <f>U24+X24+AA24</f>
        <v/>
      </c>
      <c r="AD24" s="19">
        <f>S24-AC24</f>
        <v/>
      </c>
      <c r="AE24" s="20">
        <f>IF(AD24="","",IF(AD24&lt;=5,"SETTLED","OUTSTANDING"))</f>
        <v/>
      </c>
      <c r="AF24" s="20" t="inlineStr">
        <is>
          <t>DR2640100036</t>
        </is>
      </c>
      <c r="AG24" s="21" t="n">
        <v>1800003309</v>
      </c>
      <c r="AH24" s="22" t="inlineStr">
        <is>
          <t>27.08.2026</t>
        </is>
      </c>
      <c r="AL24" s="137">
        <f>IF($A$2="",1,IF($A$2="(blank)",--(A24=""),IF($A$2="(nonblank)",--(A24&lt;&gt;""),--ISNUMBER(SEARCH($A$2,A24)))))</f>
      </c>
      <c r="AM24" s="137">
        <f>IF($B$2="",1,IF($B$2="(blank)",--(B24=""),IF($B$2="(nonblank)",--(B24&lt;&gt;""),--ISNUMBER(SEARCH($B$2,B24)))))</f>
      </c>
      <c r="AN24" s="137">
        <f>IF($C$2="",1,IF($C$2="(blank)",--(C24=""),IF($C$2="(nonblank)",--(C24&lt;&gt;""),--ISNUMBER(SEARCH($C$2,C24)))))</f>
      </c>
      <c r="AO24" s="137">
        <f>IF($D$2="",1,IF($D$2="(blank)",--(D24=""),IF($D$2="(nonblank)",--(D24&lt;&gt;""),--ISNUMBER(SEARCH($D$2,D24)))))</f>
      </c>
      <c r="AP24" s="137">
        <f>IF($E$2="",1,IF($E$2="(blank)",--(E24=""),IF($E$2="(nonblank)",--(E24&lt;&gt;""),--ISNUMBER(SEARCH($E$2,E24)))))</f>
      </c>
      <c r="AQ24" s="137">
        <f>IF($F$2="",1,IF($F$2="(blank)",--(F24=""),IF($F$2="(nonblank)",--(F24&lt;&gt;""),--ISNUMBER(SEARCH($F$2,F24)))))</f>
      </c>
      <c r="AR24" s="137">
        <f>IF($G$2="",1,IF($G$2="(blank)",--(G24=""),IF($G$2="(nonblank)",--(G24&lt;&gt;""),--ISNUMBER(SEARCH($G$2,G24)))))</f>
      </c>
      <c r="AS24" s="137">
        <f>IF($H$2="",1,IF($H$2="(blank)",--(H24=""),IF($H$2="(nonblank)",--(H24&lt;&gt;""),--ISNUMBER(SEARCH($H$2,H24)))))</f>
      </c>
      <c r="AT24" s="137">
        <f>IF($I$2="",1,IF($I$2="(blank)",--(I24=""),IF($I$2="(nonblank)",--(I24&lt;&gt;""),--ISNUMBER(SEARCH($I$2,I24)))))</f>
      </c>
      <c r="AU24" s="137">
        <f>IF($J$2="",1,IF($J$2="(blank)",--(J24=""),IF($J$2="(nonblank)",--(J24&lt;&gt;""),--ISNUMBER(SEARCH($J$2,J24)))))</f>
      </c>
      <c r="AV24" s="137">
        <f>IF($K$2="",1,IF($K$2="(blank)",--(K24=""),IF($K$2="(nonblank)",--(K24&lt;&gt;""),--ISNUMBER(SEARCH($K$2,K24)))))</f>
      </c>
      <c r="AW24" s="137">
        <f>IF($L$2="",1,IF($L$2="(blank)",--(L24=""),IF($L$2="(nonblank)",--(L24&lt;&gt;""),--ISNUMBER(SEARCH($L$2,L24)))))</f>
      </c>
      <c r="AX24" s="137">
        <f>IF($M$2="",1,IF($M$2="(blank)",--(M24=""),IF($M$2="(nonblank)",--(M24&lt;&gt;""),--ISNUMBER(SEARCH($M$2,M24)))))</f>
      </c>
      <c r="AY24" s="137">
        <f>IF($N$2="",1,IF($N$2="(blank)",--(N24=""),IF($N$2="(nonblank)",--(N24&lt;&gt;""),--ISNUMBER(SEARCH($N$2,N24)))))</f>
      </c>
      <c r="AZ24" s="137">
        <f>IF($O$2="",1,IF($O$2="(blank)",--(O24=""),IF($O$2="(nonblank)",--(O24&lt;&gt;""),--ISNUMBER(SEARCH($O$2,O24)))))</f>
      </c>
      <c r="BA24" s="137">
        <f>IF($P$2="",1,IF($P$2="(blank)",--(P24=""),IF($P$2="(nonblank)",--(P24&lt;&gt;""),--ISNUMBER(SEARCH($P$2,P24)))))</f>
      </c>
      <c r="BB24" s="137">
        <f>IF($Q$2="",1,IF($Q$2="(blank)",--(Q24=""),IF($Q$2="(nonblank)",--(Q24&lt;&gt;""),--ISNUMBER(SEARCH($Q$2,Q24)))))</f>
      </c>
      <c r="BC24" s="137">
        <f>IF($R$2="",1,IF($R$2="(blank)",--(R24=""),IF($R$2="(nonblank)",--(R24&lt;&gt;""),--ISNUMBER(SEARCH($R$2,R24)))))</f>
      </c>
      <c r="BD24" s="137">
        <f>IF($S$2="",1,IF($S$2="(blank)",--(S24=""),IF($S$2="(nonblank)",--(S24&lt;&gt;""),--ISNUMBER(SEARCH($S$2,S24)))))</f>
      </c>
      <c r="BE24" s="137">
        <f>IF($T$2="",1,IF($T$2="(blank)",--(T24=""),IF($T$2="(nonblank)",--(T24&lt;&gt;""),--ISNUMBER(SEARCH($T$2,T24)))))</f>
      </c>
      <c r="BF24" s="137">
        <f>IF($U$2="",1,IF($U$2="(blank)",--(U24=""),IF($U$2="(nonblank)",--(U24&lt;&gt;""),--ISNUMBER(SEARCH($U$2,U24)))))</f>
      </c>
      <c r="BG24" s="137">
        <f>IF($V$2="",1,IF($V$2="(blank)",--(V24=""),IF($V$2="(nonblank)",--(V24&lt;&gt;""),--ISNUMBER(SEARCH($V$2,V24)))))</f>
      </c>
      <c r="BH24" s="137">
        <f>IF($W$2="",1,IF($W$2="(blank)",--(W24=""),IF($W$2="(nonblank)",--(W24&lt;&gt;""),--ISNUMBER(SEARCH($W$2,W24)))))</f>
      </c>
      <c r="BI24" s="137">
        <f>IF($X$2="",1,IF($X$2="(blank)",--(X24=""),IF($X$2="(nonblank)",--(X24&lt;&gt;""),--ISNUMBER(SEARCH($X$2,X24)))))</f>
      </c>
      <c r="BJ24" s="137">
        <f>IF($Y$2="",1,IF($Y$2="(blank)",--(Y24=""),IF($Y$2="(nonblank)",--(Y24&lt;&gt;""),--ISNUMBER(SEARCH($Y$2,Y24)))))</f>
      </c>
      <c r="BK24" s="137">
        <f>IF($Z$2="",1,IF($Z$2="(blank)",--(Z24=""),IF($Z$2="(nonblank)",--(Z24&lt;&gt;""),--ISNUMBER(SEARCH($Z$2,Z24)))))</f>
      </c>
      <c r="BL24" s="137">
        <f>IF($AA$2="",1,IF($AA$2="(blank)",--(AA24=""),IF($AA$2="(nonblank)",--(AA24&lt;&gt;""),--ISNUMBER(SEARCH($AA$2,AA24)))))</f>
      </c>
      <c r="BM24" s="137">
        <f>IF($AB$2="",1,IF($AB$2="(blank)",--(AB24=""),IF($AB$2="(nonblank)",--(AB24&lt;&gt;""),--ISNUMBER(SEARCH($AB$2,AB24)))))</f>
      </c>
      <c r="BN24" s="137">
        <f>IF($AC$2="",1,IF($AC$2="(blank)",--(AC24=""),IF($AC$2="(nonblank)",--(AC24&lt;&gt;""),--ISNUMBER(SEARCH($AC$2,AC24)))))</f>
      </c>
      <c r="BO24" s="137">
        <f>IF($AD$2="",1,IF($AD$2="(blank)",--(AD24=""),IF($AD$2="(nonblank)",--(AD24&lt;&gt;""),--ISNUMBER(SEARCH($AD$2,AD24)))))</f>
      </c>
      <c r="BP24" s="137">
        <f>IF($AE$2="",1,IF($AE$2="(blank)",--(AE24=""),IF($AE$2="(nonblank)",--(AE24&lt;&gt;""),--ISNUMBER(SEARCH($AE$2,AE24)))))</f>
      </c>
      <c r="BQ24" s="137">
        <f>IF($AF$2="",1,IF($AF$2="(blank)",--(AF24=""),IF($AF$2="(nonblank)",--(AF24&lt;&gt;""),--ISNUMBER(SEARCH($AF$2,AF24)))))</f>
      </c>
      <c r="BR24" s="137">
        <f>IF($AG$2="",1,IF($AG$2="(blank)",--(AG24=""),IF($AG$2="(nonblank)",--(AG24&lt;&gt;""),--ISNUMBER(SEARCH($AG$2,AG24)))))</f>
      </c>
      <c r="BS24" s="137">
        <f>IF($AH$2="",1,IF($AH$2="(blank)",--(AH24=""),IF($AH$2="(nonblank)",--(AH24&lt;&gt;""),--ISNUMBER(SEARCH($AH$2,AH24)))))</f>
      </c>
      <c r="BT24" s="137">
        <f>IF(COUNTIF($AL24:$BS24,0)&gt;0,0,1)</f>
      </c>
    </row>
    <row r="25" ht="14.25" customHeight="1" s="137">
      <c r="A25" s="148" t="n">
        <v>1000</v>
      </c>
      <c r="B25" s="149" t="inlineStr">
        <is>
          <t>Scrap Empty Oil Drum/ Barrel</t>
        </is>
      </c>
      <c r="C25" s="150" t="n">
        <v>517</v>
      </c>
      <c r="D25" s="151" t="n">
        <v>21978</v>
      </c>
      <c r="E25" s="151" t="inlineStr">
        <is>
          <t>NO</t>
        </is>
      </c>
      <c r="F25" s="151" t="n">
        <v>2033</v>
      </c>
      <c r="G25" s="149" t="inlineStr">
        <is>
          <t>WATAN SCRAP TRADERS</t>
        </is>
      </c>
      <c r="H25" s="152" t="n">
        <v>517000</v>
      </c>
      <c r="I25" s="152">
        <f>ROUND(H25*18%,0)</f>
        <v/>
      </c>
      <c r="J25" s="152">
        <f>+H25+I25</f>
        <v/>
      </c>
      <c r="K25" s="152">
        <f>ROUND((H25+I25)*2%,0)</f>
        <v/>
      </c>
      <c r="L25" s="153">
        <f>H25*0.1%</f>
        <v/>
      </c>
      <c r="M25" s="153">
        <f>H25*2.25%*118%</f>
        <v/>
      </c>
      <c r="N25" s="154">
        <f>H25*2.25%*2%</f>
        <v/>
      </c>
      <c r="O25" s="153">
        <f>M25-N25</f>
        <v/>
      </c>
      <c r="P25" s="153">
        <f>ROUND(O25+L25,0)</f>
        <v/>
      </c>
      <c r="Q25" s="155" t="n">
        <v>0</v>
      </c>
      <c r="R25" s="153">
        <f>ROUND(H25*Q25,0)</f>
        <v/>
      </c>
      <c r="S25" s="152">
        <f>ROUND(H25*117.65%-R25,0)</f>
        <v/>
      </c>
      <c r="T25" s="153">
        <f>ROUND(H25*25%,0)</f>
        <v/>
      </c>
      <c r="U25" s="156" t="n">
        <v>129250</v>
      </c>
      <c r="V25" s="153" t="inlineStr">
        <is>
          <t>14.08.2026</t>
        </is>
      </c>
      <c r="W25" s="153">
        <f>ROUND(H25*92.65%-R25,0)</f>
        <v/>
      </c>
      <c r="X25" s="153" t="n">
        <v>479001</v>
      </c>
      <c r="Y25" s="153" t="inlineStr">
        <is>
          <t>21.08.2026</t>
        </is>
      </c>
      <c r="Z25" s="153">
        <f>IF(IF(OR(AB25="",AB25=0),TODAY(),DATE(VALUE(RIGHT(AB25,4)),VALUE(MID(AB25,4,2)),VALUE(LEFT(AB25,2))))&lt;=DATE(2026,8,24),0,H25*0.0118*CEILING((IF(OR(AB25="",AB25=0),TODAY(),DATE(VALUE(RIGHT(AB25,4)),VALUE(MID(AB25,4,2)),VALUE(LEFT(AB25,2))))-DATE(2026,8,22))/7,1))</f>
        <v/>
      </c>
      <c r="AA25" s="153" t="n"/>
      <c r="AB25" s="153" t="n"/>
      <c r="AC25" s="157">
        <f>U25+X25+AA25</f>
        <v/>
      </c>
      <c r="AD25" s="157">
        <f>S25-AC25</f>
        <v/>
      </c>
      <c r="AE25" s="153">
        <f>IF(AD25="","",IF(AD25&lt;=5,"SETTLED","OUTSTANDING"))</f>
        <v/>
      </c>
      <c r="AF25" s="153" t="inlineStr">
        <is>
          <t>DR2640100042</t>
        </is>
      </c>
      <c r="AG25" s="158" t="n">
        <v>1800003317</v>
      </c>
      <c r="AH25" s="159" t="inlineStr">
        <is>
          <t>27.08.2026</t>
        </is>
      </c>
      <c r="AL25" s="137">
        <f>IF($A$2="",1,IF($A$2="(blank)",--(A25=""),IF($A$2="(nonblank)",--(A25&lt;&gt;""),--ISNUMBER(SEARCH($A$2,A25)))))</f>
      </c>
      <c r="AM25" s="137">
        <f>IF($B$2="",1,IF($B$2="(blank)",--(B25=""),IF($B$2="(nonblank)",--(B25&lt;&gt;""),--ISNUMBER(SEARCH($B$2,B25)))))</f>
      </c>
      <c r="AN25" s="137">
        <f>IF($C$2="",1,IF($C$2="(blank)",--(C25=""),IF($C$2="(nonblank)",--(C25&lt;&gt;""),--ISNUMBER(SEARCH($C$2,C25)))))</f>
      </c>
      <c r="AO25" s="137">
        <f>IF($D$2="",1,IF($D$2="(blank)",--(D25=""),IF($D$2="(nonblank)",--(D25&lt;&gt;""),--ISNUMBER(SEARCH($D$2,D25)))))</f>
      </c>
      <c r="AP25" s="137">
        <f>IF($E$2="",1,IF($E$2="(blank)",--(E25=""),IF($E$2="(nonblank)",--(E25&lt;&gt;""),--ISNUMBER(SEARCH($E$2,E25)))))</f>
      </c>
      <c r="AQ25" s="137">
        <f>IF($F$2="",1,IF($F$2="(blank)",--(F25=""),IF($F$2="(nonblank)",--(F25&lt;&gt;""),--ISNUMBER(SEARCH($F$2,F25)))))</f>
      </c>
      <c r="AR25" s="137">
        <f>IF($G$2="",1,IF($G$2="(blank)",--(G25=""),IF($G$2="(nonblank)",--(G25&lt;&gt;""),--ISNUMBER(SEARCH($G$2,G25)))))</f>
      </c>
      <c r="AS25" s="137">
        <f>IF($H$2="",1,IF($H$2="(blank)",--(H25=""),IF($H$2="(nonblank)",--(H25&lt;&gt;""),--ISNUMBER(SEARCH($H$2,H25)))))</f>
      </c>
      <c r="AT25" s="137">
        <f>IF($I$2="",1,IF($I$2="(blank)",--(I25=""),IF($I$2="(nonblank)",--(I25&lt;&gt;""),--ISNUMBER(SEARCH($I$2,I25)))))</f>
      </c>
      <c r="AU25" s="137">
        <f>IF($J$2="",1,IF($J$2="(blank)",--(J25=""),IF($J$2="(nonblank)",--(J25&lt;&gt;""),--ISNUMBER(SEARCH($J$2,J25)))))</f>
      </c>
      <c r="AV25" s="137">
        <f>IF($K$2="",1,IF($K$2="(blank)",--(K25=""),IF($K$2="(nonblank)",--(K25&lt;&gt;""),--ISNUMBER(SEARCH($K$2,K25)))))</f>
      </c>
      <c r="AW25" s="137">
        <f>IF($L$2="",1,IF($L$2="(blank)",--(L25=""),IF($L$2="(nonblank)",--(L25&lt;&gt;""),--ISNUMBER(SEARCH($L$2,L25)))))</f>
      </c>
      <c r="AX25" s="137">
        <f>IF($M$2="",1,IF($M$2="(blank)",--(M25=""),IF($M$2="(nonblank)",--(M25&lt;&gt;""),--ISNUMBER(SEARCH($M$2,M25)))))</f>
      </c>
      <c r="AY25" s="137">
        <f>IF($N$2="",1,IF($N$2="(blank)",--(N25=""),IF($N$2="(nonblank)",--(N25&lt;&gt;""),--ISNUMBER(SEARCH($N$2,N25)))))</f>
      </c>
      <c r="AZ25" s="137">
        <f>IF($O$2="",1,IF($O$2="(blank)",--(O25=""),IF($O$2="(nonblank)",--(O25&lt;&gt;""),--ISNUMBER(SEARCH($O$2,O25)))))</f>
      </c>
      <c r="BA25" s="137">
        <f>IF($P$2="",1,IF($P$2="(blank)",--(P25=""),IF($P$2="(nonblank)",--(P25&lt;&gt;""),--ISNUMBER(SEARCH($P$2,P25)))))</f>
      </c>
      <c r="BB25" s="137">
        <f>IF($Q$2="",1,IF($Q$2="(blank)",--(Q25=""),IF($Q$2="(nonblank)",--(Q25&lt;&gt;""),--ISNUMBER(SEARCH($Q$2,Q25)))))</f>
      </c>
      <c r="BC25" s="137">
        <f>IF($R$2="",1,IF($R$2="(blank)",--(R25=""),IF($R$2="(nonblank)",--(R25&lt;&gt;""),--ISNUMBER(SEARCH($R$2,R25)))))</f>
      </c>
      <c r="BD25" s="137">
        <f>IF($S$2="",1,IF($S$2="(blank)",--(S25=""),IF($S$2="(nonblank)",--(S25&lt;&gt;""),--ISNUMBER(SEARCH($S$2,S25)))))</f>
      </c>
      <c r="BE25" s="137">
        <f>IF($T$2="",1,IF($T$2="(blank)",--(T25=""),IF($T$2="(nonblank)",--(T25&lt;&gt;""),--ISNUMBER(SEARCH($T$2,T25)))))</f>
      </c>
      <c r="BF25" s="137">
        <f>IF($U$2="",1,IF($U$2="(blank)",--(U25=""),IF($U$2="(nonblank)",--(U25&lt;&gt;""),--ISNUMBER(SEARCH($U$2,U25)))))</f>
      </c>
      <c r="BG25" s="137">
        <f>IF($V$2="",1,IF($V$2="(blank)",--(V25=""),IF($V$2="(nonblank)",--(V25&lt;&gt;""),--ISNUMBER(SEARCH($V$2,V25)))))</f>
      </c>
      <c r="BH25" s="137">
        <f>IF($W$2="",1,IF($W$2="(blank)",--(W25=""),IF($W$2="(nonblank)",--(W25&lt;&gt;""),--ISNUMBER(SEARCH($W$2,W25)))))</f>
      </c>
      <c r="BI25" s="137">
        <f>IF($X$2="",1,IF($X$2="(blank)",--(X25=""),IF($X$2="(nonblank)",--(X25&lt;&gt;""),--ISNUMBER(SEARCH($X$2,X25)))))</f>
      </c>
      <c r="BJ25" s="137">
        <f>IF($Y$2="",1,IF($Y$2="(blank)",--(Y25=""),IF($Y$2="(nonblank)",--(Y25&lt;&gt;""),--ISNUMBER(SEARCH($Y$2,Y25)))))</f>
      </c>
      <c r="BK25" s="137">
        <f>IF($Z$2="",1,IF($Z$2="(blank)",--(Z25=""),IF($Z$2="(nonblank)",--(Z25&lt;&gt;""),--ISNUMBER(SEARCH($Z$2,Z25)))))</f>
      </c>
      <c r="BL25" s="137">
        <f>IF($AA$2="",1,IF($AA$2="(blank)",--(AA25=""),IF($AA$2="(nonblank)",--(AA25&lt;&gt;""),--ISNUMBER(SEARCH($AA$2,AA25)))))</f>
      </c>
      <c r="BM25" s="137">
        <f>IF($AB$2="",1,IF($AB$2="(blank)",--(AB25=""),IF($AB$2="(nonblank)",--(AB25&lt;&gt;""),--ISNUMBER(SEARCH($AB$2,AB25)))))</f>
      </c>
      <c r="BN25" s="137">
        <f>IF($AC$2="",1,IF($AC$2="(blank)",--(AC25=""),IF($AC$2="(nonblank)",--(AC25&lt;&gt;""),--ISNUMBER(SEARCH($AC$2,AC25)))))</f>
      </c>
      <c r="BO25" s="137">
        <f>IF($AD$2="",1,IF($AD$2="(blank)",--(AD25=""),IF($AD$2="(nonblank)",--(AD25&lt;&gt;""),--ISNUMBER(SEARCH($AD$2,AD25)))))</f>
      </c>
      <c r="BP25" s="137">
        <f>IF($AE$2="",1,IF($AE$2="(blank)",--(AE25=""),IF($AE$2="(nonblank)",--(AE25&lt;&gt;""),--ISNUMBER(SEARCH($AE$2,AE25)))))</f>
      </c>
      <c r="BQ25" s="137">
        <f>IF($AF$2="",1,IF($AF$2="(blank)",--(AF25=""),IF($AF$2="(nonblank)",--(AF25&lt;&gt;""),--ISNUMBER(SEARCH($AF$2,AF25)))))</f>
      </c>
      <c r="BR25" s="137">
        <f>IF($AG$2="",1,IF($AG$2="(blank)",--(AG25=""),IF($AG$2="(nonblank)",--(AG25&lt;&gt;""),--ISNUMBER(SEARCH($AG$2,AG25)))))</f>
      </c>
      <c r="BS25" s="137">
        <f>IF($AH$2="",1,IF($AH$2="(blank)",--(AH25=""),IF($AH$2="(nonblank)",--(AH25&lt;&gt;""),--ISNUMBER(SEARCH($AH$2,AH25)))))</f>
      </c>
      <c r="BT25" s="137">
        <f>IF(COUNTIF($AL25:$BS25,0)&gt;0,0,1)</f>
      </c>
    </row>
    <row r="26" ht="14.25" customHeight="1" s="13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IF(IF(OR(AB26="",AB26=0),TODAY(),DATE(VALUE(RIGHT(AB26,4)),VALUE(MID(AB26,4,2)),VALUE(LEFT(AB26,2))))&lt;=DATE(2026,8,24),0,H26*0.0118*CEILING((IF(OR(AB26="",AB26=0),TODAY(),DATE(VALUE(RIGHT(AB26,4)),VALUE(MID(AB26,4,2)),VALUE(LEFT(AB26,2))))-DATE(2026,8,22))/7,1))</f>
        <v/>
      </c>
      <c r="AA26" s="28" t="n"/>
      <c r="AB26" s="28" t="n"/>
      <c r="AC26" s="15">
        <f>U26+X26+AA26</f>
        <v/>
      </c>
      <c r="AD26" s="19">
        <f>S26-AC26</f>
        <v/>
      </c>
      <c r="AE26" s="20">
        <f>IF(AD26="","",IF(AD26&lt;=5,"SETTLED","OUTSTANDING"))</f>
        <v/>
      </c>
      <c r="AF26" s="20" t="inlineStr">
        <is>
          <t>DR2640100037</t>
        </is>
      </c>
      <c r="AG26" s="21" t="n">
        <v>1800003310</v>
      </c>
      <c r="AH26" s="22" t="inlineStr">
        <is>
          <t>27.08.2026</t>
        </is>
      </c>
      <c r="AL26" s="137">
        <f>IF($A$2="",1,IF($A$2="(blank)",--(A26=""),IF($A$2="(nonblank)",--(A26&lt;&gt;""),--ISNUMBER(SEARCH($A$2,A26)))))</f>
      </c>
      <c r="AM26" s="137">
        <f>IF($B$2="",1,IF($B$2="(blank)",--(B26=""),IF($B$2="(nonblank)",--(B26&lt;&gt;""),--ISNUMBER(SEARCH($B$2,B26)))))</f>
      </c>
      <c r="AN26" s="137">
        <f>IF($C$2="",1,IF($C$2="(blank)",--(C26=""),IF($C$2="(nonblank)",--(C26&lt;&gt;""),--ISNUMBER(SEARCH($C$2,C26)))))</f>
      </c>
      <c r="AO26" s="137">
        <f>IF($D$2="",1,IF($D$2="(blank)",--(D26=""),IF($D$2="(nonblank)",--(D26&lt;&gt;""),--ISNUMBER(SEARCH($D$2,D26)))))</f>
      </c>
      <c r="AP26" s="137">
        <f>IF($E$2="",1,IF($E$2="(blank)",--(E26=""),IF($E$2="(nonblank)",--(E26&lt;&gt;""),--ISNUMBER(SEARCH($E$2,E26)))))</f>
      </c>
      <c r="AQ26" s="137">
        <f>IF($F$2="",1,IF($F$2="(blank)",--(F26=""),IF($F$2="(nonblank)",--(F26&lt;&gt;""),--ISNUMBER(SEARCH($F$2,F26)))))</f>
      </c>
      <c r="AR26" s="137">
        <f>IF($G$2="",1,IF($G$2="(blank)",--(G26=""),IF($G$2="(nonblank)",--(G26&lt;&gt;""),--ISNUMBER(SEARCH($G$2,G26)))))</f>
      </c>
      <c r="AS26" s="137">
        <f>IF($H$2="",1,IF($H$2="(blank)",--(H26=""),IF($H$2="(nonblank)",--(H26&lt;&gt;""),--ISNUMBER(SEARCH($H$2,H26)))))</f>
      </c>
      <c r="AT26" s="137">
        <f>IF($I$2="",1,IF($I$2="(blank)",--(I26=""),IF($I$2="(nonblank)",--(I26&lt;&gt;""),--ISNUMBER(SEARCH($I$2,I26)))))</f>
      </c>
      <c r="AU26" s="137">
        <f>IF($J$2="",1,IF($J$2="(blank)",--(J26=""),IF($J$2="(nonblank)",--(J26&lt;&gt;""),--ISNUMBER(SEARCH($J$2,J26)))))</f>
      </c>
      <c r="AV26" s="137">
        <f>IF($K$2="",1,IF($K$2="(blank)",--(K26=""),IF($K$2="(nonblank)",--(K26&lt;&gt;""),--ISNUMBER(SEARCH($K$2,K26)))))</f>
      </c>
      <c r="AW26" s="137">
        <f>IF($L$2="",1,IF($L$2="(blank)",--(L26=""),IF($L$2="(nonblank)",--(L26&lt;&gt;""),--ISNUMBER(SEARCH($L$2,L26)))))</f>
      </c>
      <c r="AX26" s="137">
        <f>IF($M$2="",1,IF($M$2="(blank)",--(M26=""),IF($M$2="(nonblank)",--(M26&lt;&gt;""),--ISNUMBER(SEARCH($M$2,M26)))))</f>
      </c>
      <c r="AY26" s="137">
        <f>IF($N$2="",1,IF($N$2="(blank)",--(N26=""),IF($N$2="(nonblank)",--(N26&lt;&gt;""),--ISNUMBER(SEARCH($N$2,N26)))))</f>
      </c>
      <c r="AZ26" s="137">
        <f>IF($O$2="",1,IF($O$2="(blank)",--(O26=""),IF($O$2="(nonblank)",--(O26&lt;&gt;""),--ISNUMBER(SEARCH($O$2,O26)))))</f>
      </c>
      <c r="BA26" s="137">
        <f>IF($P$2="",1,IF($P$2="(blank)",--(P26=""),IF($P$2="(nonblank)",--(P26&lt;&gt;""),--ISNUMBER(SEARCH($P$2,P26)))))</f>
      </c>
      <c r="BB26" s="137">
        <f>IF($Q$2="",1,IF($Q$2="(blank)",--(Q26=""),IF($Q$2="(nonblank)",--(Q26&lt;&gt;""),--ISNUMBER(SEARCH($Q$2,Q26)))))</f>
      </c>
      <c r="BC26" s="137">
        <f>IF($R$2="",1,IF($R$2="(blank)",--(R26=""),IF($R$2="(nonblank)",--(R26&lt;&gt;""),--ISNUMBER(SEARCH($R$2,R26)))))</f>
      </c>
      <c r="BD26" s="137">
        <f>IF($S$2="",1,IF($S$2="(blank)",--(S26=""),IF($S$2="(nonblank)",--(S26&lt;&gt;""),--ISNUMBER(SEARCH($S$2,S26)))))</f>
      </c>
      <c r="BE26" s="137">
        <f>IF($T$2="",1,IF($T$2="(blank)",--(T26=""),IF($T$2="(nonblank)",--(T26&lt;&gt;""),--ISNUMBER(SEARCH($T$2,T26)))))</f>
      </c>
      <c r="BF26" s="137">
        <f>IF($U$2="",1,IF($U$2="(blank)",--(U26=""),IF($U$2="(nonblank)",--(U26&lt;&gt;""),--ISNUMBER(SEARCH($U$2,U26)))))</f>
      </c>
      <c r="BG26" s="137">
        <f>IF($V$2="",1,IF($V$2="(blank)",--(V26=""),IF($V$2="(nonblank)",--(V26&lt;&gt;""),--ISNUMBER(SEARCH($V$2,V26)))))</f>
      </c>
      <c r="BH26" s="137">
        <f>IF($W$2="",1,IF($W$2="(blank)",--(W26=""),IF($W$2="(nonblank)",--(W26&lt;&gt;""),--ISNUMBER(SEARCH($W$2,W26)))))</f>
      </c>
      <c r="BI26" s="137">
        <f>IF($X$2="",1,IF($X$2="(blank)",--(X26=""),IF($X$2="(nonblank)",--(X26&lt;&gt;""),--ISNUMBER(SEARCH($X$2,X26)))))</f>
      </c>
      <c r="BJ26" s="137">
        <f>IF($Y$2="",1,IF($Y$2="(blank)",--(Y26=""),IF($Y$2="(nonblank)",--(Y26&lt;&gt;""),--ISNUMBER(SEARCH($Y$2,Y26)))))</f>
      </c>
      <c r="BK26" s="137">
        <f>IF($Z$2="",1,IF($Z$2="(blank)",--(Z26=""),IF($Z$2="(nonblank)",--(Z26&lt;&gt;""),--ISNUMBER(SEARCH($Z$2,Z26)))))</f>
      </c>
      <c r="BL26" s="137">
        <f>IF($AA$2="",1,IF($AA$2="(blank)",--(AA26=""),IF($AA$2="(nonblank)",--(AA26&lt;&gt;""),--ISNUMBER(SEARCH($AA$2,AA26)))))</f>
      </c>
      <c r="BM26" s="137">
        <f>IF($AB$2="",1,IF($AB$2="(blank)",--(AB26=""),IF($AB$2="(nonblank)",--(AB26&lt;&gt;""),--ISNUMBER(SEARCH($AB$2,AB26)))))</f>
      </c>
      <c r="BN26" s="137">
        <f>IF($AC$2="",1,IF($AC$2="(blank)",--(AC26=""),IF($AC$2="(nonblank)",--(AC26&lt;&gt;""),--ISNUMBER(SEARCH($AC$2,AC26)))))</f>
      </c>
      <c r="BO26" s="137">
        <f>IF($AD$2="",1,IF($AD$2="(blank)",--(AD26=""),IF($AD$2="(nonblank)",--(AD26&lt;&gt;""),--ISNUMBER(SEARCH($AD$2,AD26)))))</f>
      </c>
      <c r="BP26" s="137">
        <f>IF($AE$2="",1,IF($AE$2="(blank)",--(AE26=""),IF($AE$2="(nonblank)",--(AE26&lt;&gt;""),--ISNUMBER(SEARCH($AE$2,AE26)))))</f>
      </c>
      <c r="BQ26" s="137">
        <f>IF($AF$2="",1,IF($AF$2="(blank)",--(AF26=""),IF($AF$2="(nonblank)",--(AF26&lt;&gt;""),--ISNUMBER(SEARCH($AF$2,AF26)))))</f>
      </c>
      <c r="BR26" s="137">
        <f>IF($AG$2="",1,IF($AG$2="(blank)",--(AG26=""),IF($AG$2="(nonblank)",--(AG26&lt;&gt;""),--ISNUMBER(SEARCH($AG$2,AG26)))))</f>
      </c>
      <c r="BS26" s="137">
        <f>IF($AH$2="",1,IF($AH$2="(blank)",--(AH26=""),IF($AH$2="(nonblank)",--(AH26&lt;&gt;""),--ISNUMBER(SEARCH($AH$2,AH26)))))</f>
      </c>
      <c r="BT26" s="137">
        <f>IF(COUNTIF($AL26:$BS26,0)&gt;0,0,1)</f>
      </c>
    </row>
    <row r="27" ht="26.25" customHeight="1" s="137">
      <c r="A27" s="148" t="n">
        <v>8.199999999999999</v>
      </c>
      <c r="B27" s="149" t="inlineStr">
        <is>
          <t>Mix Scrap (Tower angles &amp; 0.2 ACSR Condutor pieces)</t>
        </is>
      </c>
      <c r="C27" s="150" t="n">
        <v>67000</v>
      </c>
      <c r="D27" s="151" t="n">
        <v>21978</v>
      </c>
      <c r="E27" s="151" t="inlineStr">
        <is>
          <t>MT</t>
        </is>
      </c>
      <c r="F27" s="151" t="n">
        <v>2036</v>
      </c>
      <c r="G27" s="149" t="inlineStr">
        <is>
          <t>M I SCRAP TRADERS</t>
        </is>
      </c>
      <c r="H27" s="152" t="n">
        <v>549400</v>
      </c>
      <c r="I27" s="152">
        <f>ROUND(H27*18%,0)</f>
        <v/>
      </c>
      <c r="J27" s="152">
        <f>+H27+I27</f>
        <v/>
      </c>
      <c r="K27" s="152">
        <f>ROUND((H27+I27)*2%,0)</f>
        <v/>
      </c>
      <c r="L27" s="153">
        <f>H27*0.1%</f>
        <v/>
      </c>
      <c r="M27" s="153">
        <f>H27*2.25%*118%</f>
        <v/>
      </c>
      <c r="N27" s="154">
        <f>H27*2.25%*2%</f>
        <v/>
      </c>
      <c r="O27" s="153">
        <f>M27-N27</f>
        <v/>
      </c>
      <c r="P27" s="153">
        <f>ROUND(O27+L27,0)</f>
        <v/>
      </c>
      <c r="Q27" s="155" t="n">
        <v>0.02</v>
      </c>
      <c r="R27" s="153">
        <f>ROUND(H27*Q27,0)</f>
        <v/>
      </c>
      <c r="S27" s="152">
        <f>ROUND(H27*117.65%-R27,0)</f>
        <v/>
      </c>
      <c r="T27" s="153">
        <f>ROUND(H27*25%,0)</f>
        <v/>
      </c>
      <c r="U27" s="156" t="n">
        <v>137350</v>
      </c>
      <c r="V27" s="153" t="inlineStr">
        <is>
          <t>14.08.2026</t>
        </is>
      </c>
      <c r="W27" s="153">
        <f>ROUND(H27*92.65%-R27,0)</f>
        <v/>
      </c>
      <c r="X27" s="153" t="n"/>
      <c r="Y27" s="153" t="n">
        <v>0</v>
      </c>
      <c r="Z27" s="153">
        <f>IF(IF(OR(AB27="",AB27=0),TODAY(),DATE(VALUE(RIGHT(AB27,4)),VALUE(MID(AB27,4,2)),VALUE(LEFT(AB27,2))))&lt;=DATE(2026,8,24),0,H27*0.0118*CEILING((IF(OR(AB27="",AB27=0),TODAY(),DATE(VALUE(RIGHT(AB27,4)),VALUE(MID(AB27,4,2)),VALUE(LEFT(AB27,2))))-DATE(2026,8,22))/7,1))</f>
        <v/>
      </c>
      <c r="AA27" s="153" t="n"/>
      <c r="AB27" s="153" t="n"/>
      <c r="AC27" s="157">
        <f>U27+X27+AA27</f>
        <v/>
      </c>
      <c r="AD27" s="157">
        <f>S27-AC27</f>
        <v/>
      </c>
      <c r="AE27" s="153">
        <f>IF(AD27="","",IF(AD27&lt;=5,"SETTLED","OUTSTANDING"))</f>
        <v/>
      </c>
      <c r="AF27" s="153" t="n"/>
      <c r="AG27" s="158" t="n"/>
      <c r="AH27" s="159" t="n"/>
      <c r="AL27" s="137">
        <f>IF($A$2="",1,IF($A$2="(blank)",--(A27=""),IF($A$2="(nonblank)",--(A27&lt;&gt;""),--ISNUMBER(SEARCH($A$2,A27)))))</f>
      </c>
      <c r="AM27" s="137">
        <f>IF($B$2="",1,IF($B$2="(blank)",--(B27=""),IF($B$2="(nonblank)",--(B27&lt;&gt;""),--ISNUMBER(SEARCH($B$2,B27)))))</f>
      </c>
      <c r="AN27" s="137">
        <f>IF($C$2="",1,IF($C$2="(blank)",--(C27=""),IF($C$2="(nonblank)",--(C27&lt;&gt;""),--ISNUMBER(SEARCH($C$2,C27)))))</f>
      </c>
      <c r="AO27" s="137">
        <f>IF($D$2="",1,IF($D$2="(blank)",--(D27=""),IF($D$2="(nonblank)",--(D27&lt;&gt;""),--ISNUMBER(SEARCH($D$2,D27)))))</f>
      </c>
      <c r="AP27" s="137">
        <f>IF($E$2="",1,IF($E$2="(blank)",--(E27=""),IF($E$2="(nonblank)",--(E27&lt;&gt;""),--ISNUMBER(SEARCH($E$2,E27)))))</f>
      </c>
      <c r="AQ27" s="137">
        <f>IF($F$2="",1,IF($F$2="(blank)",--(F27=""),IF($F$2="(nonblank)",--(F27&lt;&gt;""),--ISNUMBER(SEARCH($F$2,F27)))))</f>
      </c>
      <c r="AR27" s="137">
        <f>IF($G$2="",1,IF($G$2="(blank)",--(G27=""),IF($G$2="(nonblank)",--(G27&lt;&gt;""),--ISNUMBER(SEARCH($G$2,G27)))))</f>
      </c>
      <c r="AS27" s="137">
        <f>IF($H$2="",1,IF($H$2="(blank)",--(H27=""),IF($H$2="(nonblank)",--(H27&lt;&gt;""),--ISNUMBER(SEARCH($H$2,H27)))))</f>
      </c>
      <c r="AT27" s="137">
        <f>IF($I$2="",1,IF($I$2="(blank)",--(I27=""),IF($I$2="(nonblank)",--(I27&lt;&gt;""),--ISNUMBER(SEARCH($I$2,I27)))))</f>
      </c>
      <c r="AU27" s="137">
        <f>IF($J$2="",1,IF($J$2="(blank)",--(J27=""),IF($J$2="(nonblank)",--(J27&lt;&gt;""),--ISNUMBER(SEARCH($J$2,J27)))))</f>
      </c>
      <c r="AV27" s="137">
        <f>IF($K$2="",1,IF($K$2="(blank)",--(K27=""),IF($K$2="(nonblank)",--(K27&lt;&gt;""),--ISNUMBER(SEARCH($K$2,K27)))))</f>
      </c>
      <c r="AW27" s="137">
        <f>IF($L$2="",1,IF($L$2="(blank)",--(L27=""),IF($L$2="(nonblank)",--(L27&lt;&gt;""),--ISNUMBER(SEARCH($L$2,L27)))))</f>
      </c>
      <c r="AX27" s="137">
        <f>IF($M$2="",1,IF($M$2="(blank)",--(M27=""),IF($M$2="(nonblank)",--(M27&lt;&gt;""),--ISNUMBER(SEARCH($M$2,M27)))))</f>
      </c>
      <c r="AY27" s="137">
        <f>IF($N$2="",1,IF($N$2="(blank)",--(N27=""),IF($N$2="(nonblank)",--(N27&lt;&gt;""),--ISNUMBER(SEARCH($N$2,N27)))))</f>
      </c>
      <c r="AZ27" s="137">
        <f>IF($O$2="",1,IF($O$2="(blank)",--(O27=""),IF($O$2="(nonblank)",--(O27&lt;&gt;""),--ISNUMBER(SEARCH($O$2,O27)))))</f>
      </c>
      <c r="BA27" s="137">
        <f>IF($P$2="",1,IF($P$2="(blank)",--(P27=""),IF($P$2="(nonblank)",--(P27&lt;&gt;""),--ISNUMBER(SEARCH($P$2,P27)))))</f>
      </c>
      <c r="BB27" s="137">
        <f>IF($Q$2="",1,IF($Q$2="(blank)",--(Q27=""),IF($Q$2="(nonblank)",--(Q27&lt;&gt;""),--ISNUMBER(SEARCH($Q$2,Q27)))))</f>
      </c>
      <c r="BC27" s="137">
        <f>IF($R$2="",1,IF($R$2="(blank)",--(R27=""),IF($R$2="(nonblank)",--(R27&lt;&gt;""),--ISNUMBER(SEARCH($R$2,R27)))))</f>
      </c>
      <c r="BD27" s="137">
        <f>IF($S$2="",1,IF($S$2="(blank)",--(S27=""),IF($S$2="(nonblank)",--(S27&lt;&gt;""),--ISNUMBER(SEARCH($S$2,S27)))))</f>
      </c>
      <c r="BE27" s="137">
        <f>IF($T$2="",1,IF($T$2="(blank)",--(T27=""),IF($T$2="(nonblank)",--(T27&lt;&gt;""),--ISNUMBER(SEARCH($T$2,T27)))))</f>
      </c>
      <c r="BF27" s="137">
        <f>IF($U$2="",1,IF($U$2="(blank)",--(U27=""),IF($U$2="(nonblank)",--(U27&lt;&gt;""),--ISNUMBER(SEARCH($U$2,U27)))))</f>
      </c>
      <c r="BG27" s="137">
        <f>IF($V$2="",1,IF($V$2="(blank)",--(V27=""),IF($V$2="(nonblank)",--(V27&lt;&gt;""),--ISNUMBER(SEARCH($V$2,V27)))))</f>
      </c>
      <c r="BH27" s="137">
        <f>IF($W$2="",1,IF($W$2="(blank)",--(W27=""),IF($W$2="(nonblank)",--(W27&lt;&gt;""),--ISNUMBER(SEARCH($W$2,W27)))))</f>
      </c>
      <c r="BI27" s="137">
        <f>IF($X$2="",1,IF($X$2="(blank)",--(X27=""),IF($X$2="(nonblank)",--(X27&lt;&gt;""),--ISNUMBER(SEARCH($X$2,X27)))))</f>
      </c>
      <c r="BJ27" s="137">
        <f>IF($Y$2="",1,IF($Y$2="(blank)",--(Y27=""),IF($Y$2="(nonblank)",--(Y27&lt;&gt;""),--ISNUMBER(SEARCH($Y$2,Y27)))))</f>
      </c>
      <c r="BK27" s="137">
        <f>IF($Z$2="",1,IF($Z$2="(blank)",--(Z27=""),IF($Z$2="(nonblank)",--(Z27&lt;&gt;""),--ISNUMBER(SEARCH($Z$2,Z27)))))</f>
      </c>
      <c r="BL27" s="137">
        <f>IF($AA$2="",1,IF($AA$2="(blank)",--(AA27=""),IF($AA$2="(nonblank)",--(AA27&lt;&gt;""),--ISNUMBER(SEARCH($AA$2,AA27)))))</f>
      </c>
      <c r="BM27" s="137">
        <f>IF($AB$2="",1,IF($AB$2="(blank)",--(AB27=""),IF($AB$2="(nonblank)",--(AB27&lt;&gt;""),--ISNUMBER(SEARCH($AB$2,AB27)))))</f>
      </c>
      <c r="BN27" s="137">
        <f>IF($AC$2="",1,IF($AC$2="(blank)",--(AC27=""),IF($AC$2="(nonblank)",--(AC27&lt;&gt;""),--ISNUMBER(SEARCH($AC$2,AC27)))))</f>
      </c>
      <c r="BO27" s="137">
        <f>IF($AD$2="",1,IF($AD$2="(blank)",--(AD27=""),IF($AD$2="(nonblank)",--(AD27&lt;&gt;""),--ISNUMBER(SEARCH($AD$2,AD27)))))</f>
      </c>
      <c r="BP27" s="137">
        <f>IF($AE$2="",1,IF($AE$2="(blank)",--(AE27=""),IF($AE$2="(nonblank)",--(AE27&lt;&gt;""),--ISNUMBER(SEARCH($AE$2,AE27)))))</f>
      </c>
      <c r="BQ27" s="137">
        <f>IF($AF$2="",1,IF($AF$2="(blank)",--(AF27=""),IF($AF$2="(nonblank)",--(AF27&lt;&gt;""),--ISNUMBER(SEARCH($AF$2,AF27)))))</f>
      </c>
      <c r="BR27" s="137">
        <f>IF($AG$2="",1,IF($AG$2="(blank)",--(AG27=""),IF($AG$2="(nonblank)",--(AG27&lt;&gt;""),--ISNUMBER(SEARCH($AG$2,AG27)))))</f>
      </c>
      <c r="BS27" s="137">
        <f>IF($AH$2="",1,IF($AH$2="(blank)",--(AH27=""),IF($AH$2="(nonblank)",--(AH27&lt;&gt;""),--ISNUMBER(SEARCH($AH$2,AH27)))))</f>
      </c>
      <c r="BT27" s="137">
        <f>IF(COUNTIF($AL27:$BS27,0)&gt;0,0,1)</f>
      </c>
    </row>
    <row r="28" ht="14.25" customHeight="1" s="13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IF(IF(OR(AB28="",AB28=0),TODAY(),DATE(VALUE(RIGHT(AB28,4)),VALUE(MID(AB28,4,2)),VALUE(LEFT(AB28,2))))&lt;=DATE(2026,8,24),0,H28*0.0118*CEILING((IF(OR(AB28="",AB28=0),TODAY(),DATE(VALUE(RIGHT(AB28,4)),VALUE(MID(AB28,4,2)),VALUE(LEFT(AB28,2))))-DATE(2026,8,22))/7,1))</f>
        <v/>
      </c>
      <c r="AA28" s="28" t="n"/>
      <c r="AB28" s="28" t="n"/>
      <c r="AC28" s="15">
        <f>U28+X28+AA28</f>
        <v/>
      </c>
      <c r="AD28" s="19">
        <f>S28-AC28</f>
        <v/>
      </c>
      <c r="AE28" s="20">
        <f>IF(AD28="","",IF(AD28&lt;=5,"SETTLED","OUTSTANDING"))</f>
        <v/>
      </c>
      <c r="AF28" s="20" t="inlineStr">
        <is>
          <t>DR2640100043</t>
        </is>
      </c>
      <c r="AG28" s="21" t="n">
        <v>1800003318</v>
      </c>
      <c r="AH28" s="22" t="inlineStr">
        <is>
          <t>27.08.2026</t>
        </is>
      </c>
      <c r="AL28" s="137">
        <f>IF($A$2="",1,IF($A$2="(blank)",--(A28=""),IF($A$2="(nonblank)",--(A28&lt;&gt;""),--ISNUMBER(SEARCH($A$2,A28)))))</f>
      </c>
      <c r="AM28" s="137">
        <f>IF($B$2="",1,IF($B$2="(blank)",--(B28=""),IF($B$2="(nonblank)",--(B28&lt;&gt;""),--ISNUMBER(SEARCH($B$2,B28)))))</f>
      </c>
      <c r="AN28" s="137">
        <f>IF($C$2="",1,IF($C$2="(blank)",--(C28=""),IF($C$2="(nonblank)",--(C28&lt;&gt;""),--ISNUMBER(SEARCH($C$2,C28)))))</f>
      </c>
      <c r="AO28" s="137">
        <f>IF($D$2="",1,IF($D$2="(blank)",--(D28=""),IF($D$2="(nonblank)",--(D28&lt;&gt;""),--ISNUMBER(SEARCH($D$2,D28)))))</f>
      </c>
      <c r="AP28" s="137">
        <f>IF($E$2="",1,IF($E$2="(blank)",--(E28=""),IF($E$2="(nonblank)",--(E28&lt;&gt;""),--ISNUMBER(SEARCH($E$2,E28)))))</f>
      </c>
      <c r="AQ28" s="137">
        <f>IF($F$2="",1,IF($F$2="(blank)",--(F28=""),IF($F$2="(nonblank)",--(F28&lt;&gt;""),--ISNUMBER(SEARCH($F$2,F28)))))</f>
      </c>
      <c r="AR28" s="137">
        <f>IF($G$2="",1,IF($G$2="(blank)",--(G28=""),IF($G$2="(nonblank)",--(G28&lt;&gt;""),--ISNUMBER(SEARCH($G$2,G28)))))</f>
      </c>
      <c r="AS28" s="137">
        <f>IF($H$2="",1,IF($H$2="(blank)",--(H28=""),IF($H$2="(nonblank)",--(H28&lt;&gt;""),--ISNUMBER(SEARCH($H$2,H28)))))</f>
      </c>
      <c r="AT28" s="137">
        <f>IF($I$2="",1,IF($I$2="(blank)",--(I28=""),IF($I$2="(nonblank)",--(I28&lt;&gt;""),--ISNUMBER(SEARCH($I$2,I28)))))</f>
      </c>
      <c r="AU28" s="137">
        <f>IF($J$2="",1,IF($J$2="(blank)",--(J28=""),IF($J$2="(nonblank)",--(J28&lt;&gt;""),--ISNUMBER(SEARCH($J$2,J28)))))</f>
      </c>
      <c r="AV28" s="137">
        <f>IF($K$2="",1,IF($K$2="(blank)",--(K28=""),IF($K$2="(nonblank)",--(K28&lt;&gt;""),--ISNUMBER(SEARCH($K$2,K28)))))</f>
      </c>
      <c r="AW28" s="137">
        <f>IF($L$2="",1,IF($L$2="(blank)",--(L28=""),IF($L$2="(nonblank)",--(L28&lt;&gt;""),--ISNUMBER(SEARCH($L$2,L28)))))</f>
      </c>
      <c r="AX28" s="137">
        <f>IF($M$2="",1,IF($M$2="(blank)",--(M28=""),IF($M$2="(nonblank)",--(M28&lt;&gt;""),--ISNUMBER(SEARCH($M$2,M28)))))</f>
      </c>
      <c r="AY28" s="137">
        <f>IF($N$2="",1,IF($N$2="(blank)",--(N28=""),IF($N$2="(nonblank)",--(N28&lt;&gt;""),--ISNUMBER(SEARCH($N$2,N28)))))</f>
      </c>
      <c r="AZ28" s="137">
        <f>IF($O$2="",1,IF($O$2="(blank)",--(O28=""),IF($O$2="(nonblank)",--(O28&lt;&gt;""),--ISNUMBER(SEARCH($O$2,O28)))))</f>
      </c>
      <c r="BA28" s="137">
        <f>IF($P$2="",1,IF($P$2="(blank)",--(P28=""),IF($P$2="(nonblank)",--(P28&lt;&gt;""),--ISNUMBER(SEARCH($P$2,P28)))))</f>
      </c>
      <c r="BB28" s="137">
        <f>IF($Q$2="",1,IF($Q$2="(blank)",--(Q28=""),IF($Q$2="(nonblank)",--(Q28&lt;&gt;""),--ISNUMBER(SEARCH($Q$2,Q28)))))</f>
      </c>
      <c r="BC28" s="137">
        <f>IF($R$2="",1,IF($R$2="(blank)",--(R28=""),IF($R$2="(nonblank)",--(R28&lt;&gt;""),--ISNUMBER(SEARCH($R$2,R28)))))</f>
      </c>
      <c r="BD28" s="137">
        <f>IF($S$2="",1,IF($S$2="(blank)",--(S28=""),IF($S$2="(nonblank)",--(S28&lt;&gt;""),--ISNUMBER(SEARCH($S$2,S28)))))</f>
      </c>
      <c r="BE28" s="137">
        <f>IF($T$2="",1,IF($T$2="(blank)",--(T28=""),IF($T$2="(nonblank)",--(T28&lt;&gt;""),--ISNUMBER(SEARCH($T$2,T28)))))</f>
      </c>
      <c r="BF28" s="137">
        <f>IF($U$2="",1,IF($U$2="(blank)",--(U28=""),IF($U$2="(nonblank)",--(U28&lt;&gt;""),--ISNUMBER(SEARCH($U$2,U28)))))</f>
      </c>
      <c r="BG28" s="137">
        <f>IF($V$2="",1,IF($V$2="(blank)",--(V28=""),IF($V$2="(nonblank)",--(V28&lt;&gt;""),--ISNUMBER(SEARCH($V$2,V28)))))</f>
      </c>
      <c r="BH28" s="137">
        <f>IF($W$2="",1,IF($W$2="(blank)",--(W28=""),IF($W$2="(nonblank)",--(W28&lt;&gt;""),--ISNUMBER(SEARCH($W$2,W28)))))</f>
      </c>
      <c r="BI28" s="137">
        <f>IF($X$2="",1,IF($X$2="(blank)",--(X28=""),IF($X$2="(nonblank)",--(X28&lt;&gt;""),--ISNUMBER(SEARCH($X$2,X28)))))</f>
      </c>
      <c r="BJ28" s="137">
        <f>IF($Y$2="",1,IF($Y$2="(blank)",--(Y28=""),IF($Y$2="(nonblank)",--(Y28&lt;&gt;""),--ISNUMBER(SEARCH($Y$2,Y28)))))</f>
      </c>
      <c r="BK28" s="137">
        <f>IF($Z$2="",1,IF($Z$2="(blank)",--(Z28=""),IF($Z$2="(nonblank)",--(Z28&lt;&gt;""),--ISNUMBER(SEARCH($Z$2,Z28)))))</f>
      </c>
      <c r="BL28" s="137">
        <f>IF($AA$2="",1,IF($AA$2="(blank)",--(AA28=""),IF($AA$2="(nonblank)",--(AA28&lt;&gt;""),--ISNUMBER(SEARCH($AA$2,AA28)))))</f>
      </c>
      <c r="BM28" s="137">
        <f>IF($AB$2="",1,IF($AB$2="(blank)",--(AB28=""),IF($AB$2="(nonblank)",--(AB28&lt;&gt;""),--ISNUMBER(SEARCH($AB$2,AB28)))))</f>
      </c>
      <c r="BN28" s="137">
        <f>IF($AC$2="",1,IF($AC$2="(blank)",--(AC28=""),IF($AC$2="(nonblank)",--(AC28&lt;&gt;""),--ISNUMBER(SEARCH($AC$2,AC28)))))</f>
      </c>
      <c r="BO28" s="137">
        <f>IF($AD$2="",1,IF($AD$2="(blank)",--(AD28=""),IF($AD$2="(nonblank)",--(AD28&lt;&gt;""),--ISNUMBER(SEARCH($AD$2,AD28)))))</f>
      </c>
      <c r="BP28" s="137">
        <f>IF($AE$2="",1,IF($AE$2="(blank)",--(AE28=""),IF($AE$2="(nonblank)",--(AE28&lt;&gt;""),--ISNUMBER(SEARCH($AE$2,AE28)))))</f>
      </c>
      <c r="BQ28" s="137">
        <f>IF($AF$2="",1,IF($AF$2="(blank)",--(AF28=""),IF($AF$2="(nonblank)",--(AF28&lt;&gt;""),--ISNUMBER(SEARCH($AF$2,AF28)))))</f>
      </c>
      <c r="BR28" s="137">
        <f>IF($AG$2="",1,IF($AG$2="(blank)",--(AG28=""),IF($AG$2="(nonblank)",--(AG28&lt;&gt;""),--ISNUMBER(SEARCH($AG$2,AG28)))))</f>
      </c>
      <c r="BS28" s="137">
        <f>IF($AH$2="",1,IF($AH$2="(blank)",--(AH28=""),IF($AH$2="(nonblank)",--(AH28&lt;&gt;""),--ISNUMBER(SEARCH($AH$2,AH28)))))</f>
      </c>
      <c r="BT28" s="137">
        <f>IF(COUNTIF($AL28:$BS28,0)&gt;0,0,1)</f>
      </c>
    </row>
    <row r="29" ht="14.25" customHeight="1" s="137">
      <c r="A29" s="148" t="n">
        <v>3</v>
      </c>
      <c r="B29" s="149" t="inlineStr">
        <is>
          <t>Scrap of 33 KV CT</t>
        </is>
      </c>
      <c r="C29" s="150" t="n">
        <v>90002</v>
      </c>
      <c r="D29" s="151" t="n">
        <v>21978</v>
      </c>
      <c r="E29" s="151" t="inlineStr">
        <is>
          <t>NO</t>
        </is>
      </c>
      <c r="F29" s="151" t="n">
        <v>2040</v>
      </c>
      <c r="G29" s="149" t="inlineStr">
        <is>
          <t>STERLING ENTERPRISES</t>
        </is>
      </c>
      <c r="H29" s="152" t="n">
        <v>270006</v>
      </c>
      <c r="I29" s="152">
        <f>ROUND(H29*18%,0)</f>
        <v/>
      </c>
      <c r="J29" s="152">
        <f>+H29+I29</f>
        <v/>
      </c>
      <c r="K29" s="152">
        <f>ROUND((H29+I29)*2%,0)</f>
        <v/>
      </c>
      <c r="L29" s="153">
        <f>H29*0.1%</f>
        <v/>
      </c>
      <c r="M29" s="153">
        <f>H29*2.25%*118%</f>
        <v/>
      </c>
      <c r="N29" s="154">
        <f>H29*2.25%*2%</f>
        <v/>
      </c>
      <c r="O29" s="153">
        <f>M29-N29</f>
        <v/>
      </c>
      <c r="P29" s="153">
        <f>ROUND(O29+L29,0)</f>
        <v/>
      </c>
      <c r="Q29" s="155" t="n">
        <v>0</v>
      </c>
      <c r="R29" s="153">
        <f>ROUND(H29*Q29,0)</f>
        <v/>
      </c>
      <c r="S29" s="152">
        <f>ROUND(H29*117.65%-R29,0)</f>
        <v/>
      </c>
      <c r="T29" s="153">
        <f>ROUND(H29*25%,0)</f>
        <v/>
      </c>
      <c r="U29" s="156" t="n">
        <v>67502</v>
      </c>
      <c r="V29" s="153" t="inlineStr">
        <is>
          <t>11.08.2026</t>
        </is>
      </c>
      <c r="W29" s="153">
        <f>ROUND(H29*92.65%-R29,0)</f>
        <v/>
      </c>
      <c r="X29" s="153" t="n"/>
      <c r="Y29" s="153" t="n">
        <v>0</v>
      </c>
      <c r="Z29" s="153">
        <f>IF(IF(OR(AB29="",AB29=0),TODAY(),DATE(VALUE(RIGHT(AB29,4)),VALUE(MID(AB29,4,2)),VALUE(LEFT(AB29,2))))&lt;=DATE(2026,8,24),0,H29*0.0118*CEILING((IF(OR(AB29="",AB29=0),TODAY(),DATE(VALUE(RIGHT(AB29,4)),VALUE(MID(AB29,4,2)),VALUE(LEFT(AB29,2))))-DATE(2026,8,22))/7,1))</f>
        <v/>
      </c>
      <c r="AA29" s="153" t="n"/>
      <c r="AB29" s="153" t="n"/>
      <c r="AC29" s="157">
        <f>U29+X29+AA29</f>
        <v/>
      </c>
      <c r="AD29" s="157">
        <f>S29-AC29</f>
        <v/>
      </c>
      <c r="AE29" s="153">
        <f>IF(AD29="","",IF(AD29&lt;=5,"SETTLED","OUTSTANDING"))</f>
        <v/>
      </c>
      <c r="AF29" s="153" t="n"/>
      <c r="AG29" s="158" t="n"/>
      <c r="AH29" s="159" t="n"/>
      <c r="AL29" s="137">
        <f>IF($A$2="",1,IF($A$2="(blank)",--(A29=""),IF($A$2="(nonblank)",--(A29&lt;&gt;""),--ISNUMBER(SEARCH($A$2,A29)))))</f>
      </c>
      <c r="AM29" s="137">
        <f>IF($B$2="",1,IF($B$2="(blank)",--(B29=""),IF($B$2="(nonblank)",--(B29&lt;&gt;""),--ISNUMBER(SEARCH($B$2,B29)))))</f>
      </c>
      <c r="AN29" s="137">
        <f>IF($C$2="",1,IF($C$2="(blank)",--(C29=""),IF($C$2="(nonblank)",--(C29&lt;&gt;""),--ISNUMBER(SEARCH($C$2,C29)))))</f>
      </c>
      <c r="AO29" s="137">
        <f>IF($D$2="",1,IF($D$2="(blank)",--(D29=""),IF($D$2="(nonblank)",--(D29&lt;&gt;""),--ISNUMBER(SEARCH($D$2,D29)))))</f>
      </c>
      <c r="AP29" s="137">
        <f>IF($E$2="",1,IF($E$2="(blank)",--(E29=""),IF($E$2="(nonblank)",--(E29&lt;&gt;""),--ISNUMBER(SEARCH($E$2,E29)))))</f>
      </c>
      <c r="AQ29" s="137">
        <f>IF($F$2="",1,IF($F$2="(blank)",--(F29=""),IF($F$2="(nonblank)",--(F29&lt;&gt;""),--ISNUMBER(SEARCH($F$2,F29)))))</f>
      </c>
      <c r="AR29" s="137">
        <f>IF($G$2="",1,IF($G$2="(blank)",--(G29=""),IF($G$2="(nonblank)",--(G29&lt;&gt;""),--ISNUMBER(SEARCH($G$2,G29)))))</f>
      </c>
      <c r="AS29" s="137">
        <f>IF($H$2="",1,IF($H$2="(blank)",--(H29=""),IF($H$2="(nonblank)",--(H29&lt;&gt;""),--ISNUMBER(SEARCH($H$2,H29)))))</f>
      </c>
      <c r="AT29" s="137">
        <f>IF($I$2="",1,IF($I$2="(blank)",--(I29=""),IF($I$2="(nonblank)",--(I29&lt;&gt;""),--ISNUMBER(SEARCH($I$2,I29)))))</f>
      </c>
      <c r="AU29" s="137">
        <f>IF($J$2="",1,IF($J$2="(blank)",--(J29=""),IF($J$2="(nonblank)",--(J29&lt;&gt;""),--ISNUMBER(SEARCH($J$2,J29)))))</f>
      </c>
      <c r="AV29" s="137">
        <f>IF($K$2="",1,IF($K$2="(blank)",--(K29=""),IF($K$2="(nonblank)",--(K29&lt;&gt;""),--ISNUMBER(SEARCH($K$2,K29)))))</f>
      </c>
      <c r="AW29" s="137">
        <f>IF($L$2="",1,IF($L$2="(blank)",--(L29=""),IF($L$2="(nonblank)",--(L29&lt;&gt;""),--ISNUMBER(SEARCH($L$2,L29)))))</f>
      </c>
      <c r="AX29" s="137">
        <f>IF($M$2="",1,IF($M$2="(blank)",--(M29=""),IF($M$2="(nonblank)",--(M29&lt;&gt;""),--ISNUMBER(SEARCH($M$2,M29)))))</f>
      </c>
      <c r="AY29" s="137">
        <f>IF($N$2="",1,IF($N$2="(blank)",--(N29=""),IF($N$2="(nonblank)",--(N29&lt;&gt;""),--ISNUMBER(SEARCH($N$2,N29)))))</f>
      </c>
      <c r="AZ29" s="137">
        <f>IF($O$2="",1,IF($O$2="(blank)",--(O29=""),IF($O$2="(nonblank)",--(O29&lt;&gt;""),--ISNUMBER(SEARCH($O$2,O29)))))</f>
      </c>
      <c r="BA29" s="137">
        <f>IF($P$2="",1,IF($P$2="(blank)",--(P29=""),IF($P$2="(nonblank)",--(P29&lt;&gt;""),--ISNUMBER(SEARCH($P$2,P29)))))</f>
      </c>
      <c r="BB29" s="137">
        <f>IF($Q$2="",1,IF($Q$2="(blank)",--(Q29=""),IF($Q$2="(nonblank)",--(Q29&lt;&gt;""),--ISNUMBER(SEARCH($Q$2,Q29)))))</f>
      </c>
      <c r="BC29" s="137">
        <f>IF($R$2="",1,IF($R$2="(blank)",--(R29=""),IF($R$2="(nonblank)",--(R29&lt;&gt;""),--ISNUMBER(SEARCH($R$2,R29)))))</f>
      </c>
      <c r="BD29" s="137">
        <f>IF($S$2="",1,IF($S$2="(blank)",--(S29=""),IF($S$2="(nonblank)",--(S29&lt;&gt;""),--ISNUMBER(SEARCH($S$2,S29)))))</f>
      </c>
      <c r="BE29" s="137">
        <f>IF($T$2="",1,IF($T$2="(blank)",--(T29=""),IF($T$2="(nonblank)",--(T29&lt;&gt;""),--ISNUMBER(SEARCH($T$2,T29)))))</f>
      </c>
      <c r="BF29" s="137">
        <f>IF($U$2="",1,IF($U$2="(blank)",--(U29=""),IF($U$2="(nonblank)",--(U29&lt;&gt;""),--ISNUMBER(SEARCH($U$2,U29)))))</f>
      </c>
      <c r="BG29" s="137">
        <f>IF($V$2="",1,IF($V$2="(blank)",--(V29=""),IF($V$2="(nonblank)",--(V29&lt;&gt;""),--ISNUMBER(SEARCH($V$2,V29)))))</f>
      </c>
      <c r="BH29" s="137">
        <f>IF($W$2="",1,IF($W$2="(blank)",--(W29=""),IF($W$2="(nonblank)",--(W29&lt;&gt;""),--ISNUMBER(SEARCH($W$2,W29)))))</f>
      </c>
      <c r="BI29" s="137">
        <f>IF($X$2="",1,IF($X$2="(blank)",--(X29=""),IF($X$2="(nonblank)",--(X29&lt;&gt;""),--ISNUMBER(SEARCH($X$2,X29)))))</f>
      </c>
      <c r="BJ29" s="137">
        <f>IF($Y$2="",1,IF($Y$2="(blank)",--(Y29=""),IF($Y$2="(nonblank)",--(Y29&lt;&gt;""),--ISNUMBER(SEARCH($Y$2,Y29)))))</f>
      </c>
      <c r="BK29" s="137">
        <f>IF($Z$2="",1,IF($Z$2="(blank)",--(Z29=""),IF($Z$2="(nonblank)",--(Z29&lt;&gt;""),--ISNUMBER(SEARCH($Z$2,Z29)))))</f>
      </c>
      <c r="BL29" s="137">
        <f>IF($AA$2="",1,IF($AA$2="(blank)",--(AA29=""),IF($AA$2="(nonblank)",--(AA29&lt;&gt;""),--ISNUMBER(SEARCH($AA$2,AA29)))))</f>
      </c>
      <c r="BM29" s="137">
        <f>IF($AB$2="",1,IF($AB$2="(blank)",--(AB29=""),IF($AB$2="(nonblank)",--(AB29&lt;&gt;""),--ISNUMBER(SEARCH($AB$2,AB29)))))</f>
      </c>
      <c r="BN29" s="137">
        <f>IF($AC$2="",1,IF($AC$2="(blank)",--(AC29=""),IF($AC$2="(nonblank)",--(AC29&lt;&gt;""),--ISNUMBER(SEARCH($AC$2,AC29)))))</f>
      </c>
      <c r="BO29" s="137">
        <f>IF($AD$2="",1,IF($AD$2="(blank)",--(AD29=""),IF($AD$2="(nonblank)",--(AD29&lt;&gt;""),--ISNUMBER(SEARCH($AD$2,AD29)))))</f>
      </c>
      <c r="BP29" s="137">
        <f>IF($AE$2="",1,IF($AE$2="(blank)",--(AE29=""),IF($AE$2="(nonblank)",--(AE29&lt;&gt;""),--ISNUMBER(SEARCH($AE$2,AE29)))))</f>
      </c>
      <c r="BQ29" s="137">
        <f>IF($AF$2="",1,IF($AF$2="(blank)",--(AF29=""),IF($AF$2="(nonblank)",--(AF29&lt;&gt;""),--ISNUMBER(SEARCH($AF$2,AF29)))))</f>
      </c>
      <c r="BR29" s="137">
        <f>IF($AG$2="",1,IF($AG$2="(blank)",--(AG29=""),IF($AG$2="(nonblank)",--(AG29&lt;&gt;""),--ISNUMBER(SEARCH($AG$2,AG29)))))</f>
      </c>
      <c r="BS29" s="137">
        <f>IF($AH$2="",1,IF($AH$2="(blank)",--(AH29=""),IF($AH$2="(nonblank)",--(AH29&lt;&gt;""),--ISNUMBER(SEARCH($AH$2,AH29)))))</f>
      </c>
      <c r="BT29" s="137">
        <f>IF(COUNTIF($AL29:$BS29,0)&gt;0,0,1)</f>
      </c>
    </row>
    <row r="30" ht="14.25" customHeight="1" s="13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IF(IF(OR(AB30="",AB30=0),TODAY(),DATE(VALUE(RIGHT(AB30,4)),VALUE(MID(AB30,4,2)),VALUE(LEFT(AB30,2))))&lt;=DATE(2026,8,24),0,H30*0.0118*CEILING((IF(OR(AB30="",AB30=0),TODAY(),DATE(VALUE(RIGHT(AB30,4)),VALUE(MID(AB30,4,2)),VALUE(LEFT(AB30,2))))-DATE(2026,8,22))/7,1))</f>
        <v/>
      </c>
      <c r="AA30" s="28" t="n"/>
      <c r="AB30" s="28" t="n"/>
      <c r="AC30" s="15">
        <f>U30+X30+AA30</f>
        <v/>
      </c>
      <c r="AD30" s="19">
        <f>S30-AC30</f>
        <v/>
      </c>
      <c r="AE30" s="20">
        <f>IF(AD30="","",IF(AD30&lt;=5,"SETTLED","OUTSTANDING"))</f>
        <v/>
      </c>
      <c r="AF30" s="20" t="inlineStr">
        <is>
          <t>DR2640100038</t>
        </is>
      </c>
      <c r="AG30" s="21" t="n">
        <v>1800003311</v>
      </c>
      <c r="AH30" s="22" t="inlineStr">
        <is>
          <t>27.08.2026</t>
        </is>
      </c>
      <c r="AL30" s="137">
        <f>IF($A$2="",1,IF($A$2="(blank)",--(A30=""),IF($A$2="(nonblank)",--(A30&lt;&gt;""),--ISNUMBER(SEARCH($A$2,A30)))))</f>
      </c>
      <c r="AM30" s="137">
        <f>IF($B$2="",1,IF($B$2="(blank)",--(B30=""),IF($B$2="(nonblank)",--(B30&lt;&gt;""),--ISNUMBER(SEARCH($B$2,B30)))))</f>
      </c>
      <c r="AN30" s="137">
        <f>IF($C$2="",1,IF($C$2="(blank)",--(C30=""),IF($C$2="(nonblank)",--(C30&lt;&gt;""),--ISNUMBER(SEARCH($C$2,C30)))))</f>
      </c>
      <c r="AO30" s="137">
        <f>IF($D$2="",1,IF($D$2="(blank)",--(D30=""),IF($D$2="(nonblank)",--(D30&lt;&gt;""),--ISNUMBER(SEARCH($D$2,D30)))))</f>
      </c>
      <c r="AP30" s="137">
        <f>IF($E$2="",1,IF($E$2="(blank)",--(E30=""),IF($E$2="(nonblank)",--(E30&lt;&gt;""),--ISNUMBER(SEARCH($E$2,E30)))))</f>
      </c>
      <c r="AQ30" s="137">
        <f>IF($F$2="",1,IF($F$2="(blank)",--(F30=""),IF($F$2="(nonblank)",--(F30&lt;&gt;""),--ISNUMBER(SEARCH($F$2,F30)))))</f>
      </c>
      <c r="AR30" s="137">
        <f>IF($G$2="",1,IF($G$2="(blank)",--(G30=""),IF($G$2="(nonblank)",--(G30&lt;&gt;""),--ISNUMBER(SEARCH($G$2,G30)))))</f>
      </c>
      <c r="AS30" s="137">
        <f>IF($H$2="",1,IF($H$2="(blank)",--(H30=""),IF($H$2="(nonblank)",--(H30&lt;&gt;""),--ISNUMBER(SEARCH($H$2,H30)))))</f>
      </c>
      <c r="AT30" s="137">
        <f>IF($I$2="",1,IF($I$2="(blank)",--(I30=""),IF($I$2="(nonblank)",--(I30&lt;&gt;""),--ISNUMBER(SEARCH($I$2,I30)))))</f>
      </c>
      <c r="AU30" s="137">
        <f>IF($J$2="",1,IF($J$2="(blank)",--(J30=""),IF($J$2="(nonblank)",--(J30&lt;&gt;""),--ISNUMBER(SEARCH($J$2,J30)))))</f>
      </c>
      <c r="AV30" s="137">
        <f>IF($K$2="",1,IF($K$2="(blank)",--(K30=""),IF($K$2="(nonblank)",--(K30&lt;&gt;""),--ISNUMBER(SEARCH($K$2,K30)))))</f>
      </c>
      <c r="AW30" s="137">
        <f>IF($L$2="",1,IF($L$2="(blank)",--(L30=""),IF($L$2="(nonblank)",--(L30&lt;&gt;""),--ISNUMBER(SEARCH($L$2,L30)))))</f>
      </c>
      <c r="AX30" s="137">
        <f>IF($M$2="",1,IF($M$2="(blank)",--(M30=""),IF($M$2="(nonblank)",--(M30&lt;&gt;""),--ISNUMBER(SEARCH($M$2,M30)))))</f>
      </c>
      <c r="AY30" s="137">
        <f>IF($N$2="",1,IF($N$2="(blank)",--(N30=""),IF($N$2="(nonblank)",--(N30&lt;&gt;""),--ISNUMBER(SEARCH($N$2,N30)))))</f>
      </c>
      <c r="AZ30" s="137">
        <f>IF($O$2="",1,IF($O$2="(blank)",--(O30=""),IF($O$2="(nonblank)",--(O30&lt;&gt;""),--ISNUMBER(SEARCH($O$2,O30)))))</f>
      </c>
      <c r="BA30" s="137">
        <f>IF($P$2="",1,IF($P$2="(blank)",--(P30=""),IF($P$2="(nonblank)",--(P30&lt;&gt;""),--ISNUMBER(SEARCH($P$2,P30)))))</f>
      </c>
      <c r="BB30" s="137">
        <f>IF($Q$2="",1,IF($Q$2="(blank)",--(Q30=""),IF($Q$2="(nonblank)",--(Q30&lt;&gt;""),--ISNUMBER(SEARCH($Q$2,Q30)))))</f>
      </c>
      <c r="BC30" s="137">
        <f>IF($R$2="",1,IF($R$2="(blank)",--(R30=""),IF($R$2="(nonblank)",--(R30&lt;&gt;""),--ISNUMBER(SEARCH($R$2,R30)))))</f>
      </c>
      <c r="BD30" s="137">
        <f>IF($S$2="",1,IF($S$2="(blank)",--(S30=""),IF($S$2="(nonblank)",--(S30&lt;&gt;""),--ISNUMBER(SEARCH($S$2,S30)))))</f>
      </c>
      <c r="BE30" s="137">
        <f>IF($T$2="",1,IF($T$2="(blank)",--(T30=""),IF($T$2="(nonblank)",--(T30&lt;&gt;""),--ISNUMBER(SEARCH($T$2,T30)))))</f>
      </c>
      <c r="BF30" s="137">
        <f>IF($U$2="",1,IF($U$2="(blank)",--(U30=""),IF($U$2="(nonblank)",--(U30&lt;&gt;""),--ISNUMBER(SEARCH($U$2,U30)))))</f>
      </c>
      <c r="BG30" s="137">
        <f>IF($V$2="",1,IF($V$2="(blank)",--(V30=""),IF($V$2="(nonblank)",--(V30&lt;&gt;""),--ISNUMBER(SEARCH($V$2,V30)))))</f>
      </c>
      <c r="BH30" s="137">
        <f>IF($W$2="",1,IF($W$2="(blank)",--(W30=""),IF($W$2="(nonblank)",--(W30&lt;&gt;""),--ISNUMBER(SEARCH($W$2,W30)))))</f>
      </c>
      <c r="BI30" s="137">
        <f>IF($X$2="",1,IF($X$2="(blank)",--(X30=""),IF($X$2="(nonblank)",--(X30&lt;&gt;""),--ISNUMBER(SEARCH($X$2,X30)))))</f>
      </c>
      <c r="BJ30" s="137">
        <f>IF($Y$2="",1,IF($Y$2="(blank)",--(Y30=""),IF($Y$2="(nonblank)",--(Y30&lt;&gt;""),--ISNUMBER(SEARCH($Y$2,Y30)))))</f>
      </c>
      <c r="BK30" s="137">
        <f>IF($Z$2="",1,IF($Z$2="(blank)",--(Z30=""),IF($Z$2="(nonblank)",--(Z30&lt;&gt;""),--ISNUMBER(SEARCH($Z$2,Z30)))))</f>
      </c>
      <c r="BL30" s="137">
        <f>IF($AA$2="",1,IF($AA$2="(blank)",--(AA30=""),IF($AA$2="(nonblank)",--(AA30&lt;&gt;""),--ISNUMBER(SEARCH($AA$2,AA30)))))</f>
      </c>
      <c r="BM30" s="137">
        <f>IF($AB$2="",1,IF($AB$2="(blank)",--(AB30=""),IF($AB$2="(nonblank)",--(AB30&lt;&gt;""),--ISNUMBER(SEARCH($AB$2,AB30)))))</f>
      </c>
      <c r="BN30" s="137">
        <f>IF($AC$2="",1,IF($AC$2="(blank)",--(AC30=""),IF($AC$2="(nonblank)",--(AC30&lt;&gt;""),--ISNUMBER(SEARCH($AC$2,AC30)))))</f>
      </c>
      <c r="BO30" s="137">
        <f>IF($AD$2="",1,IF($AD$2="(blank)",--(AD30=""),IF($AD$2="(nonblank)",--(AD30&lt;&gt;""),--ISNUMBER(SEARCH($AD$2,AD30)))))</f>
      </c>
      <c r="BP30" s="137">
        <f>IF($AE$2="",1,IF($AE$2="(blank)",--(AE30=""),IF($AE$2="(nonblank)",--(AE30&lt;&gt;""),--ISNUMBER(SEARCH($AE$2,AE30)))))</f>
      </c>
      <c r="BQ30" s="137">
        <f>IF($AF$2="",1,IF($AF$2="(blank)",--(AF30=""),IF($AF$2="(nonblank)",--(AF30&lt;&gt;""),--ISNUMBER(SEARCH($AF$2,AF30)))))</f>
      </c>
      <c r="BR30" s="137">
        <f>IF($AG$2="",1,IF($AG$2="(blank)",--(AG30=""),IF($AG$2="(nonblank)",--(AG30&lt;&gt;""),--ISNUMBER(SEARCH($AG$2,AG30)))))</f>
      </c>
      <c r="BS30" s="137">
        <f>IF($AH$2="",1,IF($AH$2="(blank)",--(AH30=""),IF($AH$2="(nonblank)",--(AH30&lt;&gt;""),--ISNUMBER(SEARCH($AH$2,AH30)))))</f>
      </c>
      <c r="BT30" s="137">
        <f>IF(COUNTIF($AL30:$BS30,0)&gt;0,0,1)</f>
      </c>
    </row>
    <row r="31" ht="14.25" customHeight="1" s="137">
      <c r="A31" s="148" t="n">
        <v>670</v>
      </c>
      <c r="B31" s="149" t="inlineStr">
        <is>
          <t>Scrap of AAAC Earth wire</t>
        </is>
      </c>
      <c r="C31" s="150" t="n">
        <v>309</v>
      </c>
      <c r="D31" s="151" t="n">
        <v>21979</v>
      </c>
      <c r="E31" s="151" t="inlineStr">
        <is>
          <t>KG</t>
        </is>
      </c>
      <c r="F31" s="151" t="n">
        <v>2046</v>
      </c>
      <c r="G31" s="149" t="inlineStr">
        <is>
          <t>SAHARA ENTERPRISES</t>
        </is>
      </c>
      <c r="H31" s="152" t="n">
        <v>207030</v>
      </c>
      <c r="I31" s="152">
        <f>ROUND(H31*18%,0)</f>
        <v/>
      </c>
      <c r="J31" s="152">
        <f>+H31+I31</f>
        <v/>
      </c>
      <c r="K31" s="152">
        <f>ROUND((H31+I31)*2%,0)</f>
        <v/>
      </c>
      <c r="L31" s="153">
        <f>H31*0.1%</f>
        <v/>
      </c>
      <c r="M31" s="153">
        <f>H31*2.25%*118%</f>
        <v/>
      </c>
      <c r="N31" s="154">
        <f>H31*2.25%*2%</f>
        <v/>
      </c>
      <c r="O31" s="153">
        <f>M31-N31</f>
        <v/>
      </c>
      <c r="P31" s="153">
        <f>ROUND(O31+L31,0)</f>
        <v/>
      </c>
      <c r="Q31" s="155" t="n">
        <v>0</v>
      </c>
      <c r="R31" s="153">
        <f>ROUND(H31*Q31,0)</f>
        <v/>
      </c>
      <c r="S31" s="152">
        <f>ROUND(H31*117.65%-R31,0)</f>
        <v/>
      </c>
      <c r="T31" s="153">
        <f>ROUND(H31*25%,0)</f>
        <v/>
      </c>
      <c r="U31" s="156" t="n">
        <v>51758</v>
      </c>
      <c r="V31" s="153" t="inlineStr">
        <is>
          <t>11.08.2026</t>
        </is>
      </c>
      <c r="W31" s="153">
        <f>ROUND(H31*92.65%-R31,0)</f>
        <v/>
      </c>
      <c r="X31" s="153" t="n">
        <v>191812</v>
      </c>
      <c r="Y31" s="153" t="inlineStr">
        <is>
          <t>21.08.2026</t>
        </is>
      </c>
      <c r="Z31" s="153">
        <f>IF(IF(OR(AB31="",AB31=0),TODAY(),DATE(VALUE(RIGHT(AB31,4)),VALUE(MID(AB31,4,2)),VALUE(LEFT(AB31,2))))&lt;=DATE(2026,8,24),0,H31*0.0118*CEILING((IF(OR(AB31="",AB31=0),TODAY(),DATE(VALUE(RIGHT(AB31,4)),VALUE(MID(AB31,4,2)),VALUE(LEFT(AB31,2))))-DATE(2026,8,22))/7,1))</f>
        <v/>
      </c>
      <c r="AA31" s="153" t="n"/>
      <c r="AB31" s="153" t="n"/>
      <c r="AC31" s="157">
        <f>U31+X31+AA31</f>
        <v/>
      </c>
      <c r="AD31" s="157">
        <f>S31-AC31</f>
        <v/>
      </c>
      <c r="AE31" s="153">
        <f>IF(AD31="","",IF(AD31&lt;=5,"SETTLED","OUTSTANDING"))</f>
        <v/>
      </c>
      <c r="AF31" s="153" t="inlineStr">
        <is>
          <t>DR2640100041</t>
        </is>
      </c>
      <c r="AG31" s="158" t="n">
        <v>1800003316</v>
      </c>
      <c r="AH31" s="159" t="inlineStr">
        <is>
          <t>27.08.2026</t>
        </is>
      </c>
      <c r="AL31" s="137">
        <f>IF($A$2="",1,IF($A$2="(blank)",--(A31=""),IF($A$2="(nonblank)",--(A31&lt;&gt;""),--ISNUMBER(SEARCH($A$2,A31)))))</f>
      </c>
      <c r="AM31" s="137">
        <f>IF($B$2="",1,IF($B$2="(blank)",--(B31=""),IF($B$2="(nonblank)",--(B31&lt;&gt;""),--ISNUMBER(SEARCH($B$2,B31)))))</f>
      </c>
      <c r="AN31" s="137">
        <f>IF($C$2="",1,IF($C$2="(blank)",--(C31=""),IF($C$2="(nonblank)",--(C31&lt;&gt;""),--ISNUMBER(SEARCH($C$2,C31)))))</f>
      </c>
      <c r="AO31" s="137">
        <f>IF($D$2="",1,IF($D$2="(blank)",--(D31=""),IF($D$2="(nonblank)",--(D31&lt;&gt;""),--ISNUMBER(SEARCH($D$2,D31)))))</f>
      </c>
      <c r="AP31" s="137">
        <f>IF($E$2="",1,IF($E$2="(blank)",--(E31=""),IF($E$2="(nonblank)",--(E31&lt;&gt;""),--ISNUMBER(SEARCH($E$2,E31)))))</f>
      </c>
      <c r="AQ31" s="137">
        <f>IF($F$2="",1,IF($F$2="(blank)",--(F31=""),IF($F$2="(nonblank)",--(F31&lt;&gt;""),--ISNUMBER(SEARCH($F$2,F31)))))</f>
      </c>
      <c r="AR31" s="137">
        <f>IF($G$2="",1,IF($G$2="(blank)",--(G31=""),IF($G$2="(nonblank)",--(G31&lt;&gt;""),--ISNUMBER(SEARCH($G$2,G31)))))</f>
      </c>
      <c r="AS31" s="137">
        <f>IF($H$2="",1,IF($H$2="(blank)",--(H31=""),IF($H$2="(nonblank)",--(H31&lt;&gt;""),--ISNUMBER(SEARCH($H$2,H31)))))</f>
      </c>
      <c r="AT31" s="137">
        <f>IF($I$2="",1,IF($I$2="(blank)",--(I31=""),IF($I$2="(nonblank)",--(I31&lt;&gt;""),--ISNUMBER(SEARCH($I$2,I31)))))</f>
      </c>
      <c r="AU31" s="137">
        <f>IF($J$2="",1,IF($J$2="(blank)",--(J31=""),IF($J$2="(nonblank)",--(J31&lt;&gt;""),--ISNUMBER(SEARCH($J$2,J31)))))</f>
      </c>
      <c r="AV31" s="137">
        <f>IF($K$2="",1,IF($K$2="(blank)",--(K31=""),IF($K$2="(nonblank)",--(K31&lt;&gt;""),--ISNUMBER(SEARCH($K$2,K31)))))</f>
      </c>
      <c r="AW31" s="137">
        <f>IF($L$2="",1,IF($L$2="(blank)",--(L31=""),IF($L$2="(nonblank)",--(L31&lt;&gt;""),--ISNUMBER(SEARCH($L$2,L31)))))</f>
      </c>
      <c r="AX31" s="137">
        <f>IF($M$2="",1,IF($M$2="(blank)",--(M31=""),IF($M$2="(nonblank)",--(M31&lt;&gt;""),--ISNUMBER(SEARCH($M$2,M31)))))</f>
      </c>
      <c r="AY31" s="137">
        <f>IF($N$2="",1,IF($N$2="(blank)",--(N31=""),IF($N$2="(nonblank)",--(N31&lt;&gt;""),--ISNUMBER(SEARCH($N$2,N31)))))</f>
      </c>
      <c r="AZ31" s="137">
        <f>IF($O$2="",1,IF($O$2="(blank)",--(O31=""),IF($O$2="(nonblank)",--(O31&lt;&gt;""),--ISNUMBER(SEARCH($O$2,O31)))))</f>
      </c>
      <c r="BA31" s="137">
        <f>IF($P$2="",1,IF($P$2="(blank)",--(P31=""),IF($P$2="(nonblank)",--(P31&lt;&gt;""),--ISNUMBER(SEARCH($P$2,P31)))))</f>
      </c>
      <c r="BB31" s="137">
        <f>IF($Q$2="",1,IF($Q$2="(blank)",--(Q31=""),IF($Q$2="(nonblank)",--(Q31&lt;&gt;""),--ISNUMBER(SEARCH($Q$2,Q31)))))</f>
      </c>
      <c r="BC31" s="137">
        <f>IF($R$2="",1,IF($R$2="(blank)",--(R31=""),IF($R$2="(nonblank)",--(R31&lt;&gt;""),--ISNUMBER(SEARCH($R$2,R31)))))</f>
      </c>
      <c r="BD31" s="137">
        <f>IF($S$2="",1,IF($S$2="(blank)",--(S31=""),IF($S$2="(nonblank)",--(S31&lt;&gt;""),--ISNUMBER(SEARCH($S$2,S31)))))</f>
      </c>
      <c r="BE31" s="137">
        <f>IF($T$2="",1,IF($T$2="(blank)",--(T31=""),IF($T$2="(nonblank)",--(T31&lt;&gt;""),--ISNUMBER(SEARCH($T$2,T31)))))</f>
      </c>
      <c r="BF31" s="137">
        <f>IF($U$2="",1,IF($U$2="(blank)",--(U31=""),IF($U$2="(nonblank)",--(U31&lt;&gt;""),--ISNUMBER(SEARCH($U$2,U31)))))</f>
      </c>
      <c r="BG31" s="137">
        <f>IF($V$2="",1,IF($V$2="(blank)",--(V31=""),IF($V$2="(nonblank)",--(V31&lt;&gt;""),--ISNUMBER(SEARCH($V$2,V31)))))</f>
      </c>
      <c r="BH31" s="137">
        <f>IF($W$2="",1,IF($W$2="(blank)",--(W31=""),IF($W$2="(nonblank)",--(W31&lt;&gt;""),--ISNUMBER(SEARCH($W$2,W31)))))</f>
      </c>
      <c r="BI31" s="137">
        <f>IF($X$2="",1,IF($X$2="(blank)",--(X31=""),IF($X$2="(nonblank)",--(X31&lt;&gt;""),--ISNUMBER(SEARCH($X$2,X31)))))</f>
      </c>
      <c r="BJ31" s="137">
        <f>IF($Y$2="",1,IF($Y$2="(blank)",--(Y31=""),IF($Y$2="(nonblank)",--(Y31&lt;&gt;""),--ISNUMBER(SEARCH($Y$2,Y31)))))</f>
      </c>
      <c r="BK31" s="137">
        <f>IF($Z$2="",1,IF($Z$2="(blank)",--(Z31=""),IF($Z$2="(nonblank)",--(Z31&lt;&gt;""),--ISNUMBER(SEARCH($Z$2,Z31)))))</f>
      </c>
      <c r="BL31" s="137">
        <f>IF($AA$2="",1,IF($AA$2="(blank)",--(AA31=""),IF($AA$2="(nonblank)",--(AA31&lt;&gt;""),--ISNUMBER(SEARCH($AA$2,AA31)))))</f>
      </c>
      <c r="BM31" s="137">
        <f>IF($AB$2="",1,IF($AB$2="(blank)",--(AB31=""),IF($AB$2="(nonblank)",--(AB31&lt;&gt;""),--ISNUMBER(SEARCH($AB$2,AB31)))))</f>
      </c>
      <c r="BN31" s="137">
        <f>IF($AC$2="",1,IF($AC$2="(blank)",--(AC31=""),IF($AC$2="(nonblank)",--(AC31&lt;&gt;""),--ISNUMBER(SEARCH($AC$2,AC31)))))</f>
      </c>
      <c r="BO31" s="137">
        <f>IF($AD$2="",1,IF($AD$2="(blank)",--(AD31=""),IF($AD$2="(nonblank)",--(AD31&lt;&gt;""),--ISNUMBER(SEARCH($AD$2,AD31)))))</f>
      </c>
      <c r="BP31" s="137">
        <f>IF($AE$2="",1,IF($AE$2="(blank)",--(AE31=""),IF($AE$2="(nonblank)",--(AE31&lt;&gt;""),--ISNUMBER(SEARCH($AE$2,AE31)))))</f>
      </c>
      <c r="BQ31" s="137">
        <f>IF($AF$2="",1,IF($AF$2="(blank)",--(AF31=""),IF($AF$2="(nonblank)",--(AF31&lt;&gt;""),--ISNUMBER(SEARCH($AF$2,AF31)))))</f>
      </c>
      <c r="BR31" s="137">
        <f>IF($AG$2="",1,IF($AG$2="(blank)",--(AG31=""),IF($AG$2="(nonblank)",--(AG31&lt;&gt;""),--ISNUMBER(SEARCH($AG$2,AG31)))))</f>
      </c>
      <c r="BS31" s="137">
        <f>IF($AH$2="",1,IF($AH$2="(blank)",--(AH31=""),IF($AH$2="(nonblank)",--(AH31&lt;&gt;""),--ISNUMBER(SEARCH($AH$2,AH31)))))</f>
      </c>
      <c r="BT31" s="137">
        <f>IF(COUNTIF($AL31:$BS31,0)&gt;0,0,1)</f>
      </c>
    </row>
    <row r="32" ht="14.25" customHeight="1" s="13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IF(IF(OR(AB32="",AB32=0),TODAY(),DATE(VALUE(RIGHT(AB32,4)),VALUE(MID(AB32,4,2)),VALUE(LEFT(AB32,2))))&lt;=DATE(2026,8,24),0,H32*0.0118*CEILING((IF(OR(AB32="",AB32=0),TODAY(),DATE(VALUE(RIGHT(AB32,4)),VALUE(MID(AB32,4,2)),VALUE(LEFT(AB32,2))))-DATE(2026,8,22))/7,1))</f>
        <v/>
      </c>
      <c r="AA32" s="28" t="n"/>
      <c r="AB32" s="28" t="n"/>
      <c r="AC32" s="15">
        <f>U32+X32+AA32</f>
        <v/>
      </c>
      <c r="AD32" s="19">
        <f>S32-AC32</f>
        <v/>
      </c>
      <c r="AE32" s="20">
        <f>IF(AD32="","",IF(AD32&lt;=5,"SETTLED","OUTSTANDING"))</f>
        <v/>
      </c>
      <c r="AF32" s="20" t="inlineStr">
        <is>
          <t>DR2640100039</t>
        </is>
      </c>
      <c r="AG32" s="21" t="n">
        <v>1800003312</v>
      </c>
      <c r="AH32" s="22" t="inlineStr">
        <is>
          <t>27.08.2026</t>
        </is>
      </c>
      <c r="AL32" s="137">
        <f>IF($A$2="",1,IF($A$2="(blank)",--(A32=""),IF($A$2="(nonblank)",--(A32&lt;&gt;""),--ISNUMBER(SEARCH($A$2,A32)))))</f>
      </c>
      <c r="AM32" s="137">
        <f>IF($B$2="",1,IF($B$2="(blank)",--(B32=""),IF($B$2="(nonblank)",--(B32&lt;&gt;""),--ISNUMBER(SEARCH($B$2,B32)))))</f>
      </c>
      <c r="AN32" s="137">
        <f>IF($C$2="",1,IF($C$2="(blank)",--(C32=""),IF($C$2="(nonblank)",--(C32&lt;&gt;""),--ISNUMBER(SEARCH($C$2,C32)))))</f>
      </c>
      <c r="AO32" s="137">
        <f>IF($D$2="",1,IF($D$2="(blank)",--(D32=""),IF($D$2="(nonblank)",--(D32&lt;&gt;""),--ISNUMBER(SEARCH($D$2,D32)))))</f>
      </c>
      <c r="AP32" s="137">
        <f>IF($E$2="",1,IF($E$2="(blank)",--(E32=""),IF($E$2="(nonblank)",--(E32&lt;&gt;""),--ISNUMBER(SEARCH($E$2,E32)))))</f>
      </c>
      <c r="AQ32" s="137">
        <f>IF($F$2="",1,IF($F$2="(blank)",--(F32=""),IF($F$2="(nonblank)",--(F32&lt;&gt;""),--ISNUMBER(SEARCH($F$2,F32)))))</f>
      </c>
      <c r="AR32" s="137">
        <f>IF($G$2="",1,IF($G$2="(blank)",--(G32=""),IF($G$2="(nonblank)",--(G32&lt;&gt;""),--ISNUMBER(SEARCH($G$2,G32)))))</f>
      </c>
      <c r="AS32" s="137">
        <f>IF($H$2="",1,IF($H$2="(blank)",--(H32=""),IF($H$2="(nonblank)",--(H32&lt;&gt;""),--ISNUMBER(SEARCH($H$2,H32)))))</f>
      </c>
      <c r="AT32" s="137">
        <f>IF($I$2="",1,IF($I$2="(blank)",--(I32=""),IF($I$2="(nonblank)",--(I32&lt;&gt;""),--ISNUMBER(SEARCH($I$2,I32)))))</f>
      </c>
      <c r="AU32" s="137">
        <f>IF($J$2="",1,IF($J$2="(blank)",--(J32=""),IF($J$2="(nonblank)",--(J32&lt;&gt;""),--ISNUMBER(SEARCH($J$2,J32)))))</f>
      </c>
      <c r="AV32" s="137">
        <f>IF($K$2="",1,IF($K$2="(blank)",--(K32=""),IF($K$2="(nonblank)",--(K32&lt;&gt;""),--ISNUMBER(SEARCH($K$2,K32)))))</f>
      </c>
      <c r="AW32" s="137">
        <f>IF($L$2="",1,IF($L$2="(blank)",--(L32=""),IF($L$2="(nonblank)",--(L32&lt;&gt;""),--ISNUMBER(SEARCH($L$2,L32)))))</f>
      </c>
      <c r="AX32" s="137">
        <f>IF($M$2="",1,IF($M$2="(blank)",--(M32=""),IF($M$2="(nonblank)",--(M32&lt;&gt;""),--ISNUMBER(SEARCH($M$2,M32)))))</f>
      </c>
      <c r="AY32" s="137">
        <f>IF($N$2="",1,IF($N$2="(blank)",--(N32=""),IF($N$2="(nonblank)",--(N32&lt;&gt;""),--ISNUMBER(SEARCH($N$2,N32)))))</f>
      </c>
      <c r="AZ32" s="137">
        <f>IF($O$2="",1,IF($O$2="(blank)",--(O32=""),IF($O$2="(nonblank)",--(O32&lt;&gt;""),--ISNUMBER(SEARCH($O$2,O32)))))</f>
      </c>
      <c r="BA32" s="137">
        <f>IF($P$2="",1,IF($P$2="(blank)",--(P32=""),IF($P$2="(nonblank)",--(P32&lt;&gt;""),--ISNUMBER(SEARCH($P$2,P32)))))</f>
      </c>
      <c r="BB32" s="137">
        <f>IF($Q$2="",1,IF($Q$2="(blank)",--(Q32=""),IF($Q$2="(nonblank)",--(Q32&lt;&gt;""),--ISNUMBER(SEARCH($Q$2,Q32)))))</f>
      </c>
      <c r="BC32" s="137">
        <f>IF($R$2="",1,IF($R$2="(blank)",--(R32=""),IF($R$2="(nonblank)",--(R32&lt;&gt;""),--ISNUMBER(SEARCH($R$2,R32)))))</f>
      </c>
      <c r="BD32" s="137">
        <f>IF($S$2="",1,IF($S$2="(blank)",--(S32=""),IF($S$2="(nonblank)",--(S32&lt;&gt;""),--ISNUMBER(SEARCH($S$2,S32)))))</f>
      </c>
      <c r="BE32" s="137">
        <f>IF($T$2="",1,IF($T$2="(blank)",--(T32=""),IF($T$2="(nonblank)",--(T32&lt;&gt;""),--ISNUMBER(SEARCH($T$2,T32)))))</f>
      </c>
      <c r="BF32" s="137">
        <f>IF($U$2="",1,IF($U$2="(blank)",--(U32=""),IF($U$2="(nonblank)",--(U32&lt;&gt;""),--ISNUMBER(SEARCH($U$2,U32)))))</f>
      </c>
      <c r="BG32" s="137">
        <f>IF($V$2="",1,IF($V$2="(blank)",--(V32=""),IF($V$2="(nonblank)",--(V32&lt;&gt;""),--ISNUMBER(SEARCH($V$2,V32)))))</f>
      </c>
      <c r="BH32" s="137">
        <f>IF($W$2="",1,IF($W$2="(blank)",--(W32=""),IF($W$2="(nonblank)",--(W32&lt;&gt;""),--ISNUMBER(SEARCH($W$2,W32)))))</f>
      </c>
      <c r="BI32" s="137">
        <f>IF($X$2="",1,IF($X$2="(blank)",--(X32=""),IF($X$2="(nonblank)",--(X32&lt;&gt;""),--ISNUMBER(SEARCH($X$2,X32)))))</f>
      </c>
      <c r="BJ32" s="137">
        <f>IF($Y$2="",1,IF($Y$2="(blank)",--(Y32=""),IF($Y$2="(nonblank)",--(Y32&lt;&gt;""),--ISNUMBER(SEARCH($Y$2,Y32)))))</f>
      </c>
      <c r="BK32" s="137">
        <f>IF($Z$2="",1,IF($Z$2="(blank)",--(Z32=""),IF($Z$2="(nonblank)",--(Z32&lt;&gt;""),--ISNUMBER(SEARCH($Z$2,Z32)))))</f>
      </c>
      <c r="BL32" s="137">
        <f>IF($AA$2="",1,IF($AA$2="(blank)",--(AA32=""),IF($AA$2="(nonblank)",--(AA32&lt;&gt;""),--ISNUMBER(SEARCH($AA$2,AA32)))))</f>
      </c>
      <c r="BM32" s="137">
        <f>IF($AB$2="",1,IF($AB$2="(blank)",--(AB32=""),IF($AB$2="(nonblank)",--(AB32&lt;&gt;""),--ISNUMBER(SEARCH($AB$2,AB32)))))</f>
      </c>
      <c r="BN32" s="137">
        <f>IF($AC$2="",1,IF($AC$2="(blank)",--(AC32=""),IF($AC$2="(nonblank)",--(AC32&lt;&gt;""),--ISNUMBER(SEARCH($AC$2,AC32)))))</f>
      </c>
      <c r="BO32" s="137">
        <f>IF($AD$2="",1,IF($AD$2="(blank)",--(AD32=""),IF($AD$2="(nonblank)",--(AD32&lt;&gt;""),--ISNUMBER(SEARCH($AD$2,AD32)))))</f>
      </c>
      <c r="BP32" s="137">
        <f>IF($AE$2="",1,IF($AE$2="(blank)",--(AE32=""),IF($AE$2="(nonblank)",--(AE32&lt;&gt;""),--ISNUMBER(SEARCH($AE$2,AE32)))))</f>
      </c>
      <c r="BQ32" s="137">
        <f>IF($AF$2="",1,IF($AF$2="(blank)",--(AF32=""),IF($AF$2="(nonblank)",--(AF32&lt;&gt;""),--ISNUMBER(SEARCH($AF$2,AF32)))))</f>
      </c>
      <c r="BR32" s="137">
        <f>IF($AG$2="",1,IF($AG$2="(blank)",--(AG32=""),IF($AG$2="(nonblank)",--(AG32&lt;&gt;""),--ISNUMBER(SEARCH($AG$2,AG32)))))</f>
      </c>
      <c r="BS32" s="137">
        <f>IF($AH$2="",1,IF($AH$2="(blank)",--(AH32=""),IF($AH$2="(nonblank)",--(AH32&lt;&gt;""),--ISNUMBER(SEARCH($AH$2,AH32)))))</f>
      </c>
      <c r="BT32" s="137">
        <f>IF(COUNTIF($AL32:$BS32,0)&gt;0,0,1)</f>
      </c>
    </row>
    <row r="33" ht="14.25" customHeight="1" s="137">
      <c r="A33" s="148" t="n">
        <v>1</v>
      </c>
      <c r="B33" s="149" t="inlineStr">
        <is>
          <t>Scrap of 33 KV GCB</t>
        </is>
      </c>
      <c r="C33" s="150" t="n">
        <v>29502</v>
      </c>
      <c r="D33" s="151" t="n">
        <v>21979</v>
      </c>
      <c r="E33" s="151" t="inlineStr">
        <is>
          <t>NO</t>
        </is>
      </c>
      <c r="F33" s="151" t="n">
        <v>2059</v>
      </c>
      <c r="G33" s="149" t="inlineStr">
        <is>
          <t>NATIONAL ENTERPRISES</t>
        </is>
      </c>
      <c r="H33" s="152" t="n">
        <v>29502</v>
      </c>
      <c r="I33" s="152">
        <f>ROUND(H33*18%,0)</f>
        <v/>
      </c>
      <c r="J33" s="152">
        <f>+H33+I33</f>
        <v/>
      </c>
      <c r="K33" s="152">
        <f>ROUND((H33+I33)*2%,0)</f>
        <v/>
      </c>
      <c r="L33" s="153">
        <f>H33*0.1%</f>
        <v/>
      </c>
      <c r="M33" s="153">
        <f>H33*2.25%*118%</f>
        <v/>
      </c>
      <c r="N33" s="154">
        <f>H33*2.25%*2%</f>
        <v/>
      </c>
      <c r="O33" s="153">
        <f>M33-N33</f>
        <v/>
      </c>
      <c r="P33" s="153">
        <f>ROUND(O33+L33,0)</f>
        <v/>
      </c>
      <c r="Q33" s="155" t="n">
        <v>0</v>
      </c>
      <c r="R33" s="153">
        <f>ROUND(H33*Q33,0)</f>
        <v/>
      </c>
      <c r="S33" s="152">
        <f>ROUND(H33*117.65%-R33,0)</f>
        <v/>
      </c>
      <c r="T33" s="153">
        <f>ROUND(H33*25%,0)</f>
        <v/>
      </c>
      <c r="U33" s="156">
        <f>+T33</f>
        <v/>
      </c>
      <c r="V33" s="153" t="inlineStr">
        <is>
          <t>13.08.2026</t>
        </is>
      </c>
      <c r="W33" s="153">
        <f>ROUND(H33*92.65%-R33,0)</f>
        <v/>
      </c>
      <c r="X33" s="153" t="n">
        <v>27332</v>
      </c>
      <c r="Y33" s="153" t="inlineStr">
        <is>
          <t>24.08.2026</t>
        </is>
      </c>
      <c r="Z33" s="153">
        <f>IF(IF(OR(AB33="",AB33=0),TODAY(),DATE(VALUE(RIGHT(AB33,4)),VALUE(MID(AB33,4,2)),VALUE(LEFT(AB33,2))))&lt;=DATE(2026,8,24),0,H33*0.0118*CEILING((IF(OR(AB33="",AB33=0),TODAY(),DATE(VALUE(RIGHT(AB33,4)),VALUE(MID(AB33,4,2)),VALUE(LEFT(AB33,2))))-DATE(2026,8,22))/7,1))</f>
        <v/>
      </c>
      <c r="AA33" s="153" t="n"/>
      <c r="AB33" s="153" t="n"/>
      <c r="AC33" s="157">
        <f>U33+X33+AA33</f>
        <v/>
      </c>
      <c r="AD33" s="157">
        <f>S33-AC33</f>
        <v/>
      </c>
      <c r="AE33" s="153">
        <f>IF(AD33="","",IF(AD33&lt;=5,"SETTLED","OUTSTANDING"))</f>
        <v/>
      </c>
      <c r="AF33" s="153" t="inlineStr">
        <is>
          <t>DR2640100046</t>
        </is>
      </c>
      <c r="AG33" s="158" t="n">
        <v>1800003313</v>
      </c>
      <c r="AH33" s="159" t="inlineStr">
        <is>
          <t>27.08.2026</t>
        </is>
      </c>
      <c r="AL33" s="137">
        <f>IF($A$2="",1,IF($A$2="(blank)",--(A33=""),IF($A$2="(nonblank)",--(A33&lt;&gt;""),--ISNUMBER(SEARCH($A$2,A33)))))</f>
      </c>
      <c r="AM33" s="137">
        <f>IF($B$2="",1,IF($B$2="(blank)",--(B33=""),IF($B$2="(nonblank)",--(B33&lt;&gt;""),--ISNUMBER(SEARCH($B$2,B33)))))</f>
      </c>
      <c r="AN33" s="137">
        <f>IF($C$2="",1,IF($C$2="(blank)",--(C33=""),IF($C$2="(nonblank)",--(C33&lt;&gt;""),--ISNUMBER(SEARCH($C$2,C33)))))</f>
      </c>
      <c r="AO33" s="137">
        <f>IF($D$2="",1,IF($D$2="(blank)",--(D33=""),IF($D$2="(nonblank)",--(D33&lt;&gt;""),--ISNUMBER(SEARCH($D$2,D33)))))</f>
      </c>
      <c r="AP33" s="137">
        <f>IF($E$2="",1,IF($E$2="(blank)",--(E33=""),IF($E$2="(nonblank)",--(E33&lt;&gt;""),--ISNUMBER(SEARCH($E$2,E33)))))</f>
      </c>
      <c r="AQ33" s="137">
        <f>IF($F$2="",1,IF($F$2="(blank)",--(F33=""),IF($F$2="(nonblank)",--(F33&lt;&gt;""),--ISNUMBER(SEARCH($F$2,F33)))))</f>
      </c>
      <c r="AR33" s="137">
        <f>IF($G$2="",1,IF($G$2="(blank)",--(G33=""),IF($G$2="(nonblank)",--(G33&lt;&gt;""),--ISNUMBER(SEARCH($G$2,G33)))))</f>
      </c>
      <c r="AS33" s="137">
        <f>IF($H$2="",1,IF($H$2="(blank)",--(H33=""),IF($H$2="(nonblank)",--(H33&lt;&gt;""),--ISNUMBER(SEARCH($H$2,H33)))))</f>
      </c>
      <c r="AT33" s="137">
        <f>IF($I$2="",1,IF($I$2="(blank)",--(I33=""),IF($I$2="(nonblank)",--(I33&lt;&gt;""),--ISNUMBER(SEARCH($I$2,I33)))))</f>
      </c>
      <c r="AU33" s="137">
        <f>IF($J$2="",1,IF($J$2="(blank)",--(J33=""),IF($J$2="(nonblank)",--(J33&lt;&gt;""),--ISNUMBER(SEARCH($J$2,J33)))))</f>
      </c>
      <c r="AV33" s="137">
        <f>IF($K$2="",1,IF($K$2="(blank)",--(K33=""),IF($K$2="(nonblank)",--(K33&lt;&gt;""),--ISNUMBER(SEARCH($K$2,K33)))))</f>
      </c>
      <c r="AW33" s="137">
        <f>IF($L$2="",1,IF($L$2="(blank)",--(L33=""),IF($L$2="(nonblank)",--(L33&lt;&gt;""),--ISNUMBER(SEARCH($L$2,L33)))))</f>
      </c>
      <c r="AX33" s="137">
        <f>IF($M$2="",1,IF($M$2="(blank)",--(M33=""),IF($M$2="(nonblank)",--(M33&lt;&gt;""),--ISNUMBER(SEARCH($M$2,M33)))))</f>
      </c>
      <c r="AY33" s="137">
        <f>IF($N$2="",1,IF($N$2="(blank)",--(N33=""),IF($N$2="(nonblank)",--(N33&lt;&gt;""),--ISNUMBER(SEARCH($N$2,N33)))))</f>
      </c>
      <c r="AZ33" s="137">
        <f>IF($O$2="",1,IF($O$2="(blank)",--(O33=""),IF($O$2="(nonblank)",--(O33&lt;&gt;""),--ISNUMBER(SEARCH($O$2,O33)))))</f>
      </c>
      <c r="BA33" s="137">
        <f>IF($P$2="",1,IF($P$2="(blank)",--(P33=""),IF($P$2="(nonblank)",--(P33&lt;&gt;""),--ISNUMBER(SEARCH($P$2,P33)))))</f>
      </c>
      <c r="BB33" s="137">
        <f>IF($Q$2="",1,IF($Q$2="(blank)",--(Q33=""),IF($Q$2="(nonblank)",--(Q33&lt;&gt;""),--ISNUMBER(SEARCH($Q$2,Q33)))))</f>
      </c>
      <c r="BC33" s="137">
        <f>IF($R$2="",1,IF($R$2="(blank)",--(R33=""),IF($R$2="(nonblank)",--(R33&lt;&gt;""),--ISNUMBER(SEARCH($R$2,R33)))))</f>
      </c>
      <c r="BD33" s="137">
        <f>IF($S$2="",1,IF($S$2="(blank)",--(S33=""),IF($S$2="(nonblank)",--(S33&lt;&gt;""),--ISNUMBER(SEARCH($S$2,S33)))))</f>
      </c>
      <c r="BE33" s="137">
        <f>IF($T$2="",1,IF($T$2="(blank)",--(T33=""),IF($T$2="(nonblank)",--(T33&lt;&gt;""),--ISNUMBER(SEARCH($T$2,T33)))))</f>
      </c>
      <c r="BF33" s="137">
        <f>IF($U$2="",1,IF($U$2="(blank)",--(U33=""),IF($U$2="(nonblank)",--(U33&lt;&gt;""),--ISNUMBER(SEARCH($U$2,U33)))))</f>
      </c>
      <c r="BG33" s="137">
        <f>IF($V$2="",1,IF($V$2="(blank)",--(V33=""),IF($V$2="(nonblank)",--(V33&lt;&gt;""),--ISNUMBER(SEARCH($V$2,V33)))))</f>
      </c>
      <c r="BH33" s="137">
        <f>IF($W$2="",1,IF($W$2="(blank)",--(W33=""),IF($W$2="(nonblank)",--(W33&lt;&gt;""),--ISNUMBER(SEARCH($W$2,W33)))))</f>
      </c>
      <c r="BI33" s="137">
        <f>IF($X$2="",1,IF($X$2="(blank)",--(X33=""),IF($X$2="(nonblank)",--(X33&lt;&gt;""),--ISNUMBER(SEARCH($X$2,X33)))))</f>
      </c>
      <c r="BJ33" s="137">
        <f>IF($Y$2="",1,IF($Y$2="(blank)",--(Y33=""),IF($Y$2="(nonblank)",--(Y33&lt;&gt;""),--ISNUMBER(SEARCH($Y$2,Y33)))))</f>
      </c>
      <c r="BK33" s="137">
        <f>IF($Z$2="",1,IF($Z$2="(blank)",--(Z33=""),IF($Z$2="(nonblank)",--(Z33&lt;&gt;""),--ISNUMBER(SEARCH($Z$2,Z33)))))</f>
      </c>
      <c r="BL33" s="137">
        <f>IF($AA$2="",1,IF($AA$2="(blank)",--(AA33=""),IF($AA$2="(nonblank)",--(AA33&lt;&gt;""),--ISNUMBER(SEARCH($AA$2,AA33)))))</f>
      </c>
      <c r="BM33" s="137">
        <f>IF($AB$2="",1,IF($AB$2="(blank)",--(AB33=""),IF($AB$2="(nonblank)",--(AB33&lt;&gt;""),--ISNUMBER(SEARCH($AB$2,AB33)))))</f>
      </c>
      <c r="BN33" s="137">
        <f>IF($AC$2="",1,IF($AC$2="(blank)",--(AC33=""),IF($AC$2="(nonblank)",--(AC33&lt;&gt;""),--ISNUMBER(SEARCH($AC$2,AC33)))))</f>
      </c>
      <c r="BO33" s="137">
        <f>IF($AD$2="",1,IF($AD$2="(blank)",--(AD33=""),IF($AD$2="(nonblank)",--(AD33&lt;&gt;""),--ISNUMBER(SEARCH($AD$2,AD33)))))</f>
      </c>
      <c r="BP33" s="137">
        <f>IF($AE$2="",1,IF($AE$2="(blank)",--(AE33=""),IF($AE$2="(nonblank)",--(AE33&lt;&gt;""),--ISNUMBER(SEARCH($AE$2,AE33)))))</f>
      </c>
      <c r="BQ33" s="137">
        <f>IF($AF$2="",1,IF($AF$2="(blank)",--(AF33=""),IF($AF$2="(nonblank)",--(AF33&lt;&gt;""),--ISNUMBER(SEARCH($AF$2,AF33)))))</f>
      </c>
      <c r="BR33" s="137">
        <f>IF($AG$2="",1,IF($AG$2="(blank)",--(AG33=""),IF($AG$2="(nonblank)",--(AG33&lt;&gt;""),--ISNUMBER(SEARCH($AG$2,AG33)))))</f>
      </c>
      <c r="BS33" s="137">
        <f>IF($AH$2="",1,IF($AH$2="(blank)",--(AH33=""),IF($AH$2="(nonblank)",--(AH33&lt;&gt;""),--ISNUMBER(SEARCH($AH$2,AH33)))))</f>
      </c>
      <c r="BT33" s="137">
        <f>IF(COUNTIF($AL33:$BS33,0)&gt;0,0,1)</f>
      </c>
    </row>
    <row r="34" ht="14.25" customHeight="1" s="13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IF(IF(OR(AB34="",AB34=0),TODAY(),DATE(VALUE(RIGHT(AB34,4)),VALUE(MID(AB34,4,2)),VALUE(LEFT(AB34,2))))&lt;=DATE(2026,8,24),0,H34*0.0118*CEILING((IF(OR(AB34="",AB34=0),TODAY(),DATE(VALUE(RIGHT(AB34,4)),VALUE(MID(AB34,4,2)),VALUE(LEFT(AB34,2))))-DATE(2026,8,22))/7,1))</f>
        <v/>
      </c>
      <c r="AA34" s="28" t="n"/>
      <c r="AB34" s="28" t="n"/>
      <c r="AC34" s="15">
        <f>U34+X34+AA34</f>
        <v/>
      </c>
      <c r="AD34" s="19">
        <f>S34-AC34</f>
        <v/>
      </c>
      <c r="AE34" s="20">
        <f>IF(AD34="","",IF(AD34&lt;=5,"SETTLED","OUTSTANDING"))</f>
        <v/>
      </c>
      <c r="AF34" s="20" t="inlineStr">
        <is>
          <t>DR2640100022</t>
        </is>
      </c>
      <c r="AG34" s="21" t="n">
        <v>1800003161</v>
      </c>
      <c r="AH34" s="22" t="inlineStr">
        <is>
          <t>14.08.2026</t>
        </is>
      </c>
      <c r="AL34" s="137">
        <f>IF($A$2="",1,IF($A$2="(blank)",--(A34=""),IF($A$2="(nonblank)",--(A34&lt;&gt;""),--ISNUMBER(SEARCH($A$2,A34)))))</f>
      </c>
      <c r="AM34" s="137">
        <f>IF($B$2="",1,IF($B$2="(blank)",--(B34=""),IF($B$2="(nonblank)",--(B34&lt;&gt;""),--ISNUMBER(SEARCH($B$2,B34)))))</f>
      </c>
      <c r="AN34" s="137">
        <f>IF($C$2="",1,IF($C$2="(blank)",--(C34=""),IF($C$2="(nonblank)",--(C34&lt;&gt;""),--ISNUMBER(SEARCH($C$2,C34)))))</f>
      </c>
      <c r="AO34" s="137">
        <f>IF($D$2="",1,IF($D$2="(blank)",--(D34=""),IF($D$2="(nonblank)",--(D34&lt;&gt;""),--ISNUMBER(SEARCH($D$2,D34)))))</f>
      </c>
      <c r="AP34" s="137">
        <f>IF($E$2="",1,IF($E$2="(blank)",--(E34=""),IF($E$2="(nonblank)",--(E34&lt;&gt;""),--ISNUMBER(SEARCH($E$2,E34)))))</f>
      </c>
      <c r="AQ34" s="137">
        <f>IF($F$2="",1,IF($F$2="(blank)",--(F34=""),IF($F$2="(nonblank)",--(F34&lt;&gt;""),--ISNUMBER(SEARCH($F$2,F34)))))</f>
      </c>
      <c r="AR34" s="137">
        <f>IF($G$2="",1,IF($G$2="(blank)",--(G34=""),IF($G$2="(nonblank)",--(G34&lt;&gt;""),--ISNUMBER(SEARCH($G$2,G34)))))</f>
      </c>
      <c r="AS34" s="137">
        <f>IF($H$2="",1,IF($H$2="(blank)",--(H34=""),IF($H$2="(nonblank)",--(H34&lt;&gt;""),--ISNUMBER(SEARCH($H$2,H34)))))</f>
      </c>
      <c r="AT34" s="137">
        <f>IF($I$2="",1,IF($I$2="(blank)",--(I34=""),IF($I$2="(nonblank)",--(I34&lt;&gt;""),--ISNUMBER(SEARCH($I$2,I34)))))</f>
      </c>
      <c r="AU34" s="137">
        <f>IF($J$2="",1,IF($J$2="(blank)",--(J34=""),IF($J$2="(nonblank)",--(J34&lt;&gt;""),--ISNUMBER(SEARCH($J$2,J34)))))</f>
      </c>
      <c r="AV34" s="137">
        <f>IF($K$2="",1,IF($K$2="(blank)",--(K34=""),IF($K$2="(nonblank)",--(K34&lt;&gt;""),--ISNUMBER(SEARCH($K$2,K34)))))</f>
      </c>
      <c r="AW34" s="137">
        <f>IF($L$2="",1,IF($L$2="(blank)",--(L34=""),IF($L$2="(nonblank)",--(L34&lt;&gt;""),--ISNUMBER(SEARCH($L$2,L34)))))</f>
      </c>
      <c r="AX34" s="137">
        <f>IF($M$2="",1,IF($M$2="(blank)",--(M34=""),IF($M$2="(nonblank)",--(M34&lt;&gt;""),--ISNUMBER(SEARCH($M$2,M34)))))</f>
      </c>
      <c r="AY34" s="137">
        <f>IF($N$2="",1,IF($N$2="(blank)",--(N34=""),IF($N$2="(nonblank)",--(N34&lt;&gt;""),--ISNUMBER(SEARCH($N$2,N34)))))</f>
      </c>
      <c r="AZ34" s="137">
        <f>IF($O$2="",1,IF($O$2="(blank)",--(O34=""),IF($O$2="(nonblank)",--(O34&lt;&gt;""),--ISNUMBER(SEARCH($O$2,O34)))))</f>
      </c>
      <c r="BA34" s="137">
        <f>IF($P$2="",1,IF($P$2="(blank)",--(P34=""),IF($P$2="(nonblank)",--(P34&lt;&gt;""),--ISNUMBER(SEARCH($P$2,P34)))))</f>
      </c>
      <c r="BB34" s="137">
        <f>IF($Q$2="",1,IF($Q$2="(blank)",--(Q34=""),IF($Q$2="(nonblank)",--(Q34&lt;&gt;""),--ISNUMBER(SEARCH($Q$2,Q34)))))</f>
      </c>
      <c r="BC34" s="137">
        <f>IF($R$2="",1,IF($R$2="(blank)",--(R34=""),IF($R$2="(nonblank)",--(R34&lt;&gt;""),--ISNUMBER(SEARCH($R$2,R34)))))</f>
      </c>
      <c r="BD34" s="137">
        <f>IF($S$2="",1,IF($S$2="(blank)",--(S34=""),IF($S$2="(nonblank)",--(S34&lt;&gt;""),--ISNUMBER(SEARCH($S$2,S34)))))</f>
      </c>
      <c r="BE34" s="137">
        <f>IF($T$2="",1,IF($T$2="(blank)",--(T34=""),IF($T$2="(nonblank)",--(T34&lt;&gt;""),--ISNUMBER(SEARCH($T$2,T34)))))</f>
      </c>
      <c r="BF34" s="137">
        <f>IF($U$2="",1,IF($U$2="(blank)",--(U34=""),IF($U$2="(nonblank)",--(U34&lt;&gt;""),--ISNUMBER(SEARCH($U$2,U34)))))</f>
      </c>
      <c r="BG34" s="137">
        <f>IF($V$2="",1,IF($V$2="(blank)",--(V34=""),IF($V$2="(nonblank)",--(V34&lt;&gt;""),--ISNUMBER(SEARCH($V$2,V34)))))</f>
      </c>
      <c r="BH34" s="137">
        <f>IF($W$2="",1,IF($W$2="(blank)",--(W34=""),IF($W$2="(nonblank)",--(W34&lt;&gt;""),--ISNUMBER(SEARCH($W$2,W34)))))</f>
      </c>
      <c r="BI34" s="137">
        <f>IF($X$2="",1,IF($X$2="(blank)",--(X34=""),IF($X$2="(nonblank)",--(X34&lt;&gt;""),--ISNUMBER(SEARCH($X$2,X34)))))</f>
      </c>
      <c r="BJ34" s="137">
        <f>IF($Y$2="",1,IF($Y$2="(blank)",--(Y34=""),IF($Y$2="(nonblank)",--(Y34&lt;&gt;""),--ISNUMBER(SEARCH($Y$2,Y34)))))</f>
      </c>
      <c r="BK34" s="137">
        <f>IF($Z$2="",1,IF($Z$2="(blank)",--(Z34=""),IF($Z$2="(nonblank)",--(Z34&lt;&gt;""),--ISNUMBER(SEARCH($Z$2,Z34)))))</f>
      </c>
      <c r="BL34" s="137">
        <f>IF($AA$2="",1,IF($AA$2="(blank)",--(AA34=""),IF($AA$2="(nonblank)",--(AA34&lt;&gt;""),--ISNUMBER(SEARCH($AA$2,AA34)))))</f>
      </c>
      <c r="BM34" s="137">
        <f>IF($AB$2="",1,IF($AB$2="(blank)",--(AB34=""),IF($AB$2="(nonblank)",--(AB34&lt;&gt;""),--ISNUMBER(SEARCH($AB$2,AB34)))))</f>
      </c>
      <c r="BN34" s="137">
        <f>IF($AC$2="",1,IF($AC$2="(blank)",--(AC34=""),IF($AC$2="(nonblank)",--(AC34&lt;&gt;""),--ISNUMBER(SEARCH($AC$2,AC34)))))</f>
      </c>
      <c r="BO34" s="137">
        <f>IF($AD$2="",1,IF($AD$2="(blank)",--(AD34=""),IF($AD$2="(nonblank)",--(AD34&lt;&gt;""),--ISNUMBER(SEARCH($AD$2,AD34)))))</f>
      </c>
      <c r="BP34" s="137">
        <f>IF($AE$2="",1,IF($AE$2="(blank)",--(AE34=""),IF($AE$2="(nonblank)",--(AE34&lt;&gt;""),--ISNUMBER(SEARCH($AE$2,AE34)))))</f>
      </c>
      <c r="BQ34" s="137">
        <f>IF($AF$2="",1,IF($AF$2="(blank)",--(AF34=""),IF($AF$2="(nonblank)",--(AF34&lt;&gt;""),--ISNUMBER(SEARCH($AF$2,AF34)))))</f>
      </c>
      <c r="BR34" s="137">
        <f>IF($AG$2="",1,IF($AG$2="(blank)",--(AG34=""),IF($AG$2="(nonblank)",--(AG34&lt;&gt;""),--ISNUMBER(SEARCH($AG$2,AG34)))))</f>
      </c>
      <c r="BS34" s="137">
        <f>IF($AH$2="",1,IF($AH$2="(blank)",--(AH34=""),IF($AH$2="(nonblank)",--(AH34&lt;&gt;""),--ISNUMBER(SEARCH($AH$2,AH34)))))</f>
      </c>
      <c r="BT34" s="137">
        <f>IF(COUNTIF($AL34:$BS34,0)&gt;0,0,1)</f>
      </c>
    </row>
    <row r="35" ht="14.25" customHeight="1" s="137">
      <c r="A35" s="148" t="n">
        <v>150</v>
      </c>
      <c r="B35" s="149" t="inlineStr">
        <is>
          <t>Scrap of empty oil drums</t>
        </is>
      </c>
      <c r="C35" s="150" t="n">
        <v>571</v>
      </c>
      <c r="D35" s="151" t="n">
        <v>21980</v>
      </c>
      <c r="E35" s="151" t="inlineStr">
        <is>
          <t>NO</t>
        </is>
      </c>
      <c r="F35" s="151" t="n">
        <v>2067</v>
      </c>
      <c r="G35" s="149" t="inlineStr">
        <is>
          <t>WATAN SCRAP TRADERS</t>
        </is>
      </c>
      <c r="H35" s="152" t="n">
        <v>85650</v>
      </c>
      <c r="I35" s="152">
        <f>ROUND(H35*18%,0)</f>
        <v/>
      </c>
      <c r="J35" s="152">
        <f>+H35+I35</f>
        <v/>
      </c>
      <c r="K35" s="152">
        <f>ROUND((H35+I35)*2%,0)</f>
        <v/>
      </c>
      <c r="L35" s="153">
        <f>H35*0.1%</f>
        <v/>
      </c>
      <c r="M35" s="153">
        <f>H35*2.25%*118%</f>
        <v/>
      </c>
      <c r="N35" s="154">
        <f>H35*2.25%*2%</f>
        <v/>
      </c>
      <c r="O35" s="153">
        <f>M35-N35</f>
        <v/>
      </c>
      <c r="P35" s="153">
        <f>ROUND(O35+L35,0)</f>
        <v/>
      </c>
      <c r="Q35" s="155" t="n">
        <v>0</v>
      </c>
      <c r="R35" s="153">
        <f>ROUND(H35*Q35,0)</f>
        <v/>
      </c>
      <c r="S35" s="152">
        <f>ROUND(H35*117.65%-R35,0)</f>
        <v/>
      </c>
      <c r="T35" s="153">
        <f>ROUND(H35*25%,0)</f>
        <v/>
      </c>
      <c r="U35" s="156" t="n">
        <v>21413</v>
      </c>
      <c r="V35" s="153" t="inlineStr">
        <is>
          <t>14.08.2026</t>
        </is>
      </c>
      <c r="W35" s="153">
        <f>ROUND(H35*92.65%-R35,0)</f>
        <v/>
      </c>
      <c r="X35" s="153" t="n">
        <v>79354</v>
      </c>
      <c r="Y35" s="153" t="inlineStr">
        <is>
          <t>20.08.2026</t>
        </is>
      </c>
      <c r="Z35" s="153">
        <f>IF(IF(OR(AB35="",AB35=0),TODAY(),DATE(VALUE(RIGHT(AB35,4)),VALUE(MID(AB35,4,2)),VALUE(LEFT(AB35,2))))&lt;=DATE(2026,8,24),0,H35*0.0118*CEILING((IF(OR(AB35="",AB35=0),TODAY(),DATE(VALUE(RIGHT(AB35,4)),VALUE(MID(AB35,4,2)),VALUE(LEFT(AB35,2))))-DATE(2026,8,22))/7,1))</f>
        <v/>
      </c>
      <c r="AA35" s="153" t="n"/>
      <c r="AB35" s="153" t="n"/>
      <c r="AC35" s="157">
        <f>U35+X35+AA35</f>
        <v/>
      </c>
      <c r="AD35" s="157">
        <f>S35-AC35</f>
        <v/>
      </c>
      <c r="AE35" s="153">
        <f>IF(AD35="","",IF(AD35&lt;=5,"SETTLED","OUTSTANDING"))</f>
        <v/>
      </c>
      <c r="AF35" s="153" t="inlineStr">
        <is>
          <t>DR2640100027</t>
        </is>
      </c>
      <c r="AG35" s="158" t="n">
        <v>1800003248</v>
      </c>
      <c r="AH35" s="159" t="inlineStr">
        <is>
          <t>20.08.2026</t>
        </is>
      </c>
      <c r="AL35" s="137">
        <f>IF($A$2="",1,IF($A$2="(blank)",--(A35=""),IF($A$2="(nonblank)",--(A35&lt;&gt;""),--ISNUMBER(SEARCH($A$2,A35)))))</f>
      </c>
      <c r="AM35" s="137">
        <f>IF($B$2="",1,IF($B$2="(blank)",--(B35=""),IF($B$2="(nonblank)",--(B35&lt;&gt;""),--ISNUMBER(SEARCH($B$2,B35)))))</f>
      </c>
      <c r="AN35" s="137">
        <f>IF($C$2="",1,IF($C$2="(blank)",--(C35=""),IF($C$2="(nonblank)",--(C35&lt;&gt;""),--ISNUMBER(SEARCH($C$2,C35)))))</f>
      </c>
      <c r="AO35" s="137">
        <f>IF($D$2="",1,IF($D$2="(blank)",--(D35=""),IF($D$2="(nonblank)",--(D35&lt;&gt;""),--ISNUMBER(SEARCH($D$2,D35)))))</f>
      </c>
      <c r="AP35" s="137">
        <f>IF($E$2="",1,IF($E$2="(blank)",--(E35=""),IF($E$2="(nonblank)",--(E35&lt;&gt;""),--ISNUMBER(SEARCH($E$2,E35)))))</f>
      </c>
      <c r="AQ35" s="137">
        <f>IF($F$2="",1,IF($F$2="(blank)",--(F35=""),IF($F$2="(nonblank)",--(F35&lt;&gt;""),--ISNUMBER(SEARCH($F$2,F35)))))</f>
      </c>
      <c r="AR35" s="137">
        <f>IF($G$2="",1,IF($G$2="(blank)",--(G35=""),IF($G$2="(nonblank)",--(G35&lt;&gt;""),--ISNUMBER(SEARCH($G$2,G35)))))</f>
      </c>
      <c r="AS35" s="137">
        <f>IF($H$2="",1,IF($H$2="(blank)",--(H35=""),IF($H$2="(nonblank)",--(H35&lt;&gt;""),--ISNUMBER(SEARCH($H$2,H35)))))</f>
      </c>
      <c r="AT35" s="137">
        <f>IF($I$2="",1,IF($I$2="(blank)",--(I35=""),IF($I$2="(nonblank)",--(I35&lt;&gt;""),--ISNUMBER(SEARCH($I$2,I35)))))</f>
      </c>
      <c r="AU35" s="137">
        <f>IF($J$2="",1,IF($J$2="(blank)",--(J35=""),IF($J$2="(nonblank)",--(J35&lt;&gt;""),--ISNUMBER(SEARCH($J$2,J35)))))</f>
      </c>
      <c r="AV35" s="137">
        <f>IF($K$2="",1,IF($K$2="(blank)",--(K35=""),IF($K$2="(nonblank)",--(K35&lt;&gt;""),--ISNUMBER(SEARCH($K$2,K35)))))</f>
      </c>
      <c r="AW35" s="137">
        <f>IF($L$2="",1,IF($L$2="(blank)",--(L35=""),IF($L$2="(nonblank)",--(L35&lt;&gt;""),--ISNUMBER(SEARCH($L$2,L35)))))</f>
      </c>
      <c r="AX35" s="137">
        <f>IF($M$2="",1,IF($M$2="(blank)",--(M35=""),IF($M$2="(nonblank)",--(M35&lt;&gt;""),--ISNUMBER(SEARCH($M$2,M35)))))</f>
      </c>
      <c r="AY35" s="137">
        <f>IF($N$2="",1,IF($N$2="(blank)",--(N35=""),IF($N$2="(nonblank)",--(N35&lt;&gt;""),--ISNUMBER(SEARCH($N$2,N35)))))</f>
      </c>
      <c r="AZ35" s="137">
        <f>IF($O$2="",1,IF($O$2="(blank)",--(O35=""),IF($O$2="(nonblank)",--(O35&lt;&gt;""),--ISNUMBER(SEARCH($O$2,O35)))))</f>
      </c>
      <c r="BA35" s="137">
        <f>IF($P$2="",1,IF($P$2="(blank)",--(P35=""),IF($P$2="(nonblank)",--(P35&lt;&gt;""),--ISNUMBER(SEARCH($P$2,P35)))))</f>
      </c>
      <c r="BB35" s="137">
        <f>IF($Q$2="",1,IF($Q$2="(blank)",--(Q35=""),IF($Q$2="(nonblank)",--(Q35&lt;&gt;""),--ISNUMBER(SEARCH($Q$2,Q35)))))</f>
      </c>
      <c r="BC35" s="137">
        <f>IF($R$2="",1,IF($R$2="(blank)",--(R35=""),IF($R$2="(nonblank)",--(R35&lt;&gt;""),--ISNUMBER(SEARCH($R$2,R35)))))</f>
      </c>
      <c r="BD35" s="137">
        <f>IF($S$2="",1,IF($S$2="(blank)",--(S35=""),IF($S$2="(nonblank)",--(S35&lt;&gt;""),--ISNUMBER(SEARCH($S$2,S35)))))</f>
      </c>
      <c r="BE35" s="137">
        <f>IF($T$2="",1,IF($T$2="(blank)",--(T35=""),IF($T$2="(nonblank)",--(T35&lt;&gt;""),--ISNUMBER(SEARCH($T$2,T35)))))</f>
      </c>
      <c r="BF35" s="137">
        <f>IF($U$2="",1,IF($U$2="(blank)",--(U35=""),IF($U$2="(nonblank)",--(U35&lt;&gt;""),--ISNUMBER(SEARCH($U$2,U35)))))</f>
      </c>
      <c r="BG35" s="137">
        <f>IF($V$2="",1,IF($V$2="(blank)",--(V35=""),IF($V$2="(nonblank)",--(V35&lt;&gt;""),--ISNUMBER(SEARCH($V$2,V35)))))</f>
      </c>
      <c r="BH35" s="137">
        <f>IF($W$2="",1,IF($W$2="(blank)",--(W35=""),IF($W$2="(nonblank)",--(W35&lt;&gt;""),--ISNUMBER(SEARCH($W$2,W35)))))</f>
      </c>
      <c r="BI35" s="137">
        <f>IF($X$2="",1,IF($X$2="(blank)",--(X35=""),IF($X$2="(nonblank)",--(X35&lt;&gt;""),--ISNUMBER(SEARCH($X$2,X35)))))</f>
      </c>
      <c r="BJ35" s="137">
        <f>IF($Y$2="",1,IF($Y$2="(blank)",--(Y35=""),IF($Y$2="(nonblank)",--(Y35&lt;&gt;""),--ISNUMBER(SEARCH($Y$2,Y35)))))</f>
      </c>
      <c r="BK35" s="137">
        <f>IF($Z$2="",1,IF($Z$2="(blank)",--(Z35=""),IF($Z$2="(nonblank)",--(Z35&lt;&gt;""),--ISNUMBER(SEARCH($Z$2,Z35)))))</f>
      </c>
      <c r="BL35" s="137">
        <f>IF($AA$2="",1,IF($AA$2="(blank)",--(AA35=""),IF($AA$2="(nonblank)",--(AA35&lt;&gt;""),--ISNUMBER(SEARCH($AA$2,AA35)))))</f>
      </c>
      <c r="BM35" s="137">
        <f>IF($AB$2="",1,IF($AB$2="(blank)",--(AB35=""),IF($AB$2="(nonblank)",--(AB35&lt;&gt;""),--ISNUMBER(SEARCH($AB$2,AB35)))))</f>
      </c>
      <c r="BN35" s="137">
        <f>IF($AC$2="",1,IF($AC$2="(blank)",--(AC35=""),IF($AC$2="(nonblank)",--(AC35&lt;&gt;""),--ISNUMBER(SEARCH($AC$2,AC35)))))</f>
      </c>
      <c r="BO35" s="137">
        <f>IF($AD$2="",1,IF($AD$2="(blank)",--(AD35=""),IF($AD$2="(nonblank)",--(AD35&lt;&gt;""),--ISNUMBER(SEARCH($AD$2,AD35)))))</f>
      </c>
      <c r="BP35" s="137">
        <f>IF($AE$2="",1,IF($AE$2="(blank)",--(AE35=""),IF($AE$2="(nonblank)",--(AE35&lt;&gt;""),--ISNUMBER(SEARCH($AE$2,AE35)))))</f>
      </c>
      <c r="BQ35" s="137">
        <f>IF($AF$2="",1,IF($AF$2="(blank)",--(AF35=""),IF($AF$2="(nonblank)",--(AF35&lt;&gt;""),--ISNUMBER(SEARCH($AF$2,AF35)))))</f>
      </c>
      <c r="BR35" s="137">
        <f>IF($AG$2="",1,IF($AG$2="(blank)",--(AG35=""),IF($AG$2="(nonblank)",--(AG35&lt;&gt;""),--ISNUMBER(SEARCH($AG$2,AG35)))))</f>
      </c>
      <c r="BS35" s="137">
        <f>IF($AH$2="",1,IF($AH$2="(blank)",--(AH35=""),IF($AH$2="(nonblank)",--(AH35&lt;&gt;""),--ISNUMBER(SEARCH($AH$2,AH35)))))</f>
      </c>
      <c r="BT35" s="137">
        <f>IF(COUNTIF($AL35:$BS35,0)&gt;0,0,1)</f>
      </c>
    </row>
    <row r="36" ht="14.25" customHeight="1" s="13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IF(IF(OR(AB36="",AB36=0),TODAY(),DATE(VALUE(RIGHT(AB36,4)),VALUE(MID(AB36,4,2)),VALUE(LEFT(AB36,2))))&lt;=DATE(2026,8,24),0,H36*0.0118*CEILING((IF(OR(AB36="",AB36=0),TODAY(),DATE(VALUE(RIGHT(AB36,4)),VALUE(MID(AB36,4,2)),VALUE(LEFT(AB36,2))))-DATE(2026,8,22))/7,1))</f>
        <v/>
      </c>
      <c r="AA36" s="28" t="n"/>
      <c r="AB36" s="28" t="n"/>
      <c r="AC36" s="15">
        <f>U36+X36+AA36</f>
        <v/>
      </c>
      <c r="AD36" s="19">
        <f>S36-AC36</f>
        <v/>
      </c>
      <c r="AE36" s="20">
        <f>IF(AD36="","",IF(AD36&lt;=5,"SETTLED","OUTSTANDING"))</f>
        <v/>
      </c>
      <c r="AF36" s="20" t="n"/>
      <c r="AG36" s="21" t="n"/>
      <c r="AH36" s="22" t="n"/>
      <c r="AL36" s="137">
        <f>IF($A$2="",1,IF($A$2="(blank)",--(A36=""),IF($A$2="(nonblank)",--(A36&lt;&gt;""),--ISNUMBER(SEARCH($A$2,A36)))))</f>
      </c>
      <c r="AM36" s="137">
        <f>IF($B$2="",1,IF($B$2="(blank)",--(B36=""),IF($B$2="(nonblank)",--(B36&lt;&gt;""),--ISNUMBER(SEARCH($B$2,B36)))))</f>
      </c>
      <c r="AN36" s="137">
        <f>IF($C$2="",1,IF($C$2="(blank)",--(C36=""),IF($C$2="(nonblank)",--(C36&lt;&gt;""),--ISNUMBER(SEARCH($C$2,C36)))))</f>
      </c>
      <c r="AO36" s="137">
        <f>IF($D$2="",1,IF($D$2="(blank)",--(D36=""),IF($D$2="(nonblank)",--(D36&lt;&gt;""),--ISNUMBER(SEARCH($D$2,D36)))))</f>
      </c>
      <c r="AP36" s="137">
        <f>IF($E$2="",1,IF($E$2="(blank)",--(E36=""),IF($E$2="(nonblank)",--(E36&lt;&gt;""),--ISNUMBER(SEARCH($E$2,E36)))))</f>
      </c>
      <c r="AQ36" s="137">
        <f>IF($F$2="",1,IF($F$2="(blank)",--(F36=""),IF($F$2="(nonblank)",--(F36&lt;&gt;""),--ISNUMBER(SEARCH($F$2,F36)))))</f>
      </c>
      <c r="AR36" s="137">
        <f>IF($G$2="",1,IF($G$2="(blank)",--(G36=""),IF($G$2="(nonblank)",--(G36&lt;&gt;""),--ISNUMBER(SEARCH($G$2,G36)))))</f>
      </c>
      <c r="AS36" s="137">
        <f>IF($H$2="",1,IF($H$2="(blank)",--(H36=""),IF($H$2="(nonblank)",--(H36&lt;&gt;""),--ISNUMBER(SEARCH($H$2,H36)))))</f>
      </c>
      <c r="AT36" s="137">
        <f>IF($I$2="",1,IF($I$2="(blank)",--(I36=""),IF($I$2="(nonblank)",--(I36&lt;&gt;""),--ISNUMBER(SEARCH($I$2,I36)))))</f>
      </c>
      <c r="AU36" s="137">
        <f>IF($J$2="",1,IF($J$2="(blank)",--(J36=""),IF($J$2="(nonblank)",--(J36&lt;&gt;""),--ISNUMBER(SEARCH($J$2,J36)))))</f>
      </c>
      <c r="AV36" s="137">
        <f>IF($K$2="",1,IF($K$2="(blank)",--(K36=""),IF($K$2="(nonblank)",--(K36&lt;&gt;""),--ISNUMBER(SEARCH($K$2,K36)))))</f>
      </c>
      <c r="AW36" s="137">
        <f>IF($L$2="",1,IF($L$2="(blank)",--(L36=""),IF($L$2="(nonblank)",--(L36&lt;&gt;""),--ISNUMBER(SEARCH($L$2,L36)))))</f>
      </c>
      <c r="AX36" s="137">
        <f>IF($M$2="",1,IF($M$2="(blank)",--(M36=""),IF($M$2="(nonblank)",--(M36&lt;&gt;""),--ISNUMBER(SEARCH($M$2,M36)))))</f>
      </c>
      <c r="AY36" s="137">
        <f>IF($N$2="",1,IF($N$2="(blank)",--(N36=""),IF($N$2="(nonblank)",--(N36&lt;&gt;""),--ISNUMBER(SEARCH($N$2,N36)))))</f>
      </c>
      <c r="AZ36" s="137">
        <f>IF($O$2="",1,IF($O$2="(blank)",--(O36=""),IF($O$2="(nonblank)",--(O36&lt;&gt;""),--ISNUMBER(SEARCH($O$2,O36)))))</f>
      </c>
      <c r="BA36" s="137">
        <f>IF($P$2="",1,IF($P$2="(blank)",--(P36=""),IF($P$2="(nonblank)",--(P36&lt;&gt;""),--ISNUMBER(SEARCH($P$2,P36)))))</f>
      </c>
      <c r="BB36" s="137">
        <f>IF($Q$2="",1,IF($Q$2="(blank)",--(Q36=""),IF($Q$2="(nonblank)",--(Q36&lt;&gt;""),--ISNUMBER(SEARCH($Q$2,Q36)))))</f>
      </c>
      <c r="BC36" s="137">
        <f>IF($R$2="",1,IF($R$2="(blank)",--(R36=""),IF($R$2="(nonblank)",--(R36&lt;&gt;""),--ISNUMBER(SEARCH($R$2,R36)))))</f>
      </c>
      <c r="BD36" s="137">
        <f>IF($S$2="",1,IF($S$2="(blank)",--(S36=""),IF($S$2="(nonblank)",--(S36&lt;&gt;""),--ISNUMBER(SEARCH($S$2,S36)))))</f>
      </c>
      <c r="BE36" s="137">
        <f>IF($T$2="",1,IF($T$2="(blank)",--(T36=""),IF($T$2="(nonblank)",--(T36&lt;&gt;""),--ISNUMBER(SEARCH($T$2,T36)))))</f>
      </c>
      <c r="BF36" s="137">
        <f>IF($U$2="",1,IF($U$2="(blank)",--(U36=""),IF($U$2="(nonblank)",--(U36&lt;&gt;""),--ISNUMBER(SEARCH($U$2,U36)))))</f>
      </c>
      <c r="BG36" s="137">
        <f>IF($V$2="",1,IF($V$2="(blank)",--(V36=""),IF($V$2="(nonblank)",--(V36&lt;&gt;""),--ISNUMBER(SEARCH($V$2,V36)))))</f>
      </c>
      <c r="BH36" s="137">
        <f>IF($W$2="",1,IF($W$2="(blank)",--(W36=""),IF($W$2="(nonblank)",--(W36&lt;&gt;""),--ISNUMBER(SEARCH($W$2,W36)))))</f>
      </c>
      <c r="BI36" s="137">
        <f>IF($X$2="",1,IF($X$2="(blank)",--(X36=""),IF($X$2="(nonblank)",--(X36&lt;&gt;""),--ISNUMBER(SEARCH($X$2,X36)))))</f>
      </c>
      <c r="BJ36" s="137">
        <f>IF($Y$2="",1,IF($Y$2="(blank)",--(Y36=""),IF($Y$2="(nonblank)",--(Y36&lt;&gt;""),--ISNUMBER(SEARCH($Y$2,Y36)))))</f>
      </c>
      <c r="BK36" s="137">
        <f>IF($Z$2="",1,IF($Z$2="(blank)",--(Z36=""),IF($Z$2="(nonblank)",--(Z36&lt;&gt;""),--ISNUMBER(SEARCH($Z$2,Z36)))))</f>
      </c>
      <c r="BL36" s="137">
        <f>IF($AA$2="",1,IF($AA$2="(blank)",--(AA36=""),IF($AA$2="(nonblank)",--(AA36&lt;&gt;""),--ISNUMBER(SEARCH($AA$2,AA36)))))</f>
      </c>
      <c r="BM36" s="137">
        <f>IF($AB$2="",1,IF($AB$2="(blank)",--(AB36=""),IF($AB$2="(nonblank)",--(AB36&lt;&gt;""),--ISNUMBER(SEARCH($AB$2,AB36)))))</f>
      </c>
      <c r="BN36" s="137">
        <f>IF($AC$2="",1,IF($AC$2="(blank)",--(AC36=""),IF($AC$2="(nonblank)",--(AC36&lt;&gt;""),--ISNUMBER(SEARCH($AC$2,AC36)))))</f>
      </c>
      <c r="BO36" s="137">
        <f>IF($AD$2="",1,IF($AD$2="(blank)",--(AD36=""),IF($AD$2="(nonblank)",--(AD36&lt;&gt;""),--ISNUMBER(SEARCH($AD$2,AD36)))))</f>
      </c>
      <c r="BP36" s="137">
        <f>IF($AE$2="",1,IF($AE$2="(blank)",--(AE36=""),IF($AE$2="(nonblank)",--(AE36&lt;&gt;""),--ISNUMBER(SEARCH($AE$2,AE36)))))</f>
      </c>
      <c r="BQ36" s="137">
        <f>IF($AF$2="",1,IF($AF$2="(blank)",--(AF36=""),IF($AF$2="(nonblank)",--(AF36&lt;&gt;""),--ISNUMBER(SEARCH($AF$2,AF36)))))</f>
      </c>
      <c r="BR36" s="137">
        <f>IF($AG$2="",1,IF($AG$2="(blank)",--(AG36=""),IF($AG$2="(nonblank)",--(AG36&lt;&gt;""),--ISNUMBER(SEARCH($AG$2,AG36)))))</f>
      </c>
      <c r="BS36" s="137">
        <f>IF($AH$2="",1,IF($AH$2="(blank)",--(AH36=""),IF($AH$2="(nonblank)",--(AH36&lt;&gt;""),--ISNUMBER(SEARCH($AH$2,AH36)))))</f>
      </c>
      <c r="BT36" s="137">
        <f>IF(COUNTIF($AL36:$BS36,0)&gt;0,0,1)</f>
      </c>
    </row>
    <row r="37" ht="14.25" customHeight="1" s="137">
      <c r="A37" s="148" t="n">
        <v>3</v>
      </c>
      <c r="B37" s="149" t="inlineStr">
        <is>
          <t>Scrap of 66 KV Isolater</t>
        </is>
      </c>
      <c r="C37" s="150" t="n">
        <v>25001</v>
      </c>
      <c r="D37" s="151" t="n">
        <v>21980</v>
      </c>
      <c r="E37" s="151" t="inlineStr">
        <is>
          <t>NO</t>
        </is>
      </c>
      <c r="F37" s="151" t="n">
        <v>2071</v>
      </c>
      <c r="G37" s="149" t="inlineStr">
        <is>
          <t>NATIONAL ENTERPRISES</t>
        </is>
      </c>
      <c r="H37" s="152" t="n">
        <v>75003</v>
      </c>
      <c r="I37" s="152">
        <f>ROUND(H37*18%,0)</f>
        <v/>
      </c>
      <c r="J37" s="152">
        <f>+H37+I37</f>
        <v/>
      </c>
      <c r="K37" s="152">
        <f>ROUND((H37+I37)*2%,0)</f>
        <v/>
      </c>
      <c r="L37" s="153">
        <f>H37*0.1%</f>
        <v/>
      </c>
      <c r="M37" s="153">
        <f>H37*2.25%*118%</f>
        <v/>
      </c>
      <c r="N37" s="154">
        <f>H37*2.25%*2%</f>
        <v/>
      </c>
      <c r="O37" s="153">
        <f>M37-N37</f>
        <v/>
      </c>
      <c r="P37" s="153">
        <f>ROUND(O37+L37,0)</f>
        <v/>
      </c>
      <c r="Q37" s="155" t="n">
        <v>0</v>
      </c>
      <c r="R37" s="153">
        <f>ROUND(H37*Q37,0)</f>
        <v/>
      </c>
      <c r="S37" s="152">
        <f>ROUND(H37*117.65%-R37,0)</f>
        <v/>
      </c>
      <c r="T37" s="153">
        <f>ROUND(H37*25%,0)</f>
        <v/>
      </c>
      <c r="U37" s="156">
        <f>+T37</f>
        <v/>
      </c>
      <c r="V37" s="153" t="inlineStr">
        <is>
          <t>13.08.2026</t>
        </is>
      </c>
      <c r="W37" s="153">
        <f>ROUND(H37*92.65%-R37,0)</f>
        <v/>
      </c>
      <c r="X37" s="153" t="n">
        <v>69491</v>
      </c>
      <c r="Y37" s="153" t="inlineStr">
        <is>
          <t>24.08.2026</t>
        </is>
      </c>
      <c r="Z37" s="153">
        <f>IF(IF(OR(AB37="",AB37=0),TODAY(),DATE(VALUE(RIGHT(AB37,4)),VALUE(MID(AB37,4,2)),VALUE(LEFT(AB37,2))))&lt;=DATE(2026,8,24),0,H37*0.0118*CEILING((IF(OR(AB37="",AB37=0),TODAY(),DATE(VALUE(RIGHT(AB37,4)),VALUE(MID(AB37,4,2)),VALUE(LEFT(AB37,2))))-DATE(2026,8,22))/7,1))</f>
        <v/>
      </c>
      <c r="AA37" s="153" t="n"/>
      <c r="AB37" s="153" t="n"/>
      <c r="AC37" s="157">
        <f>U37+X37+AA37</f>
        <v/>
      </c>
      <c r="AD37" s="157">
        <f>S37-AC37</f>
        <v/>
      </c>
      <c r="AE37" s="153">
        <f>IF(AD37="","",IF(AD37&lt;=5,"SETTLED","OUTSTANDING"))</f>
        <v/>
      </c>
      <c r="AF37" s="153" t="inlineStr">
        <is>
          <t>DR2640100040</t>
        </is>
      </c>
      <c r="AG37" s="158" t="n">
        <v>1800003314</v>
      </c>
      <c r="AH37" s="159" t="inlineStr">
        <is>
          <t>27.08.2026</t>
        </is>
      </c>
      <c r="AL37" s="137">
        <f>IF($A$2="",1,IF($A$2="(blank)",--(A37=""),IF($A$2="(nonblank)",--(A37&lt;&gt;""),--ISNUMBER(SEARCH($A$2,A37)))))</f>
      </c>
      <c r="AM37" s="137">
        <f>IF($B$2="",1,IF($B$2="(blank)",--(B37=""),IF($B$2="(nonblank)",--(B37&lt;&gt;""),--ISNUMBER(SEARCH($B$2,B37)))))</f>
      </c>
      <c r="AN37" s="137">
        <f>IF($C$2="",1,IF($C$2="(blank)",--(C37=""),IF($C$2="(nonblank)",--(C37&lt;&gt;""),--ISNUMBER(SEARCH($C$2,C37)))))</f>
      </c>
      <c r="AO37" s="137">
        <f>IF($D$2="",1,IF($D$2="(blank)",--(D37=""),IF($D$2="(nonblank)",--(D37&lt;&gt;""),--ISNUMBER(SEARCH($D$2,D37)))))</f>
      </c>
      <c r="AP37" s="137">
        <f>IF($E$2="",1,IF($E$2="(blank)",--(E37=""),IF($E$2="(nonblank)",--(E37&lt;&gt;""),--ISNUMBER(SEARCH($E$2,E37)))))</f>
      </c>
      <c r="AQ37" s="137">
        <f>IF($F$2="",1,IF($F$2="(blank)",--(F37=""),IF($F$2="(nonblank)",--(F37&lt;&gt;""),--ISNUMBER(SEARCH($F$2,F37)))))</f>
      </c>
      <c r="AR37" s="137">
        <f>IF($G$2="",1,IF($G$2="(blank)",--(G37=""),IF($G$2="(nonblank)",--(G37&lt;&gt;""),--ISNUMBER(SEARCH($G$2,G37)))))</f>
      </c>
      <c r="AS37" s="137">
        <f>IF($H$2="",1,IF($H$2="(blank)",--(H37=""),IF($H$2="(nonblank)",--(H37&lt;&gt;""),--ISNUMBER(SEARCH($H$2,H37)))))</f>
      </c>
      <c r="AT37" s="137">
        <f>IF($I$2="",1,IF($I$2="(blank)",--(I37=""),IF($I$2="(nonblank)",--(I37&lt;&gt;""),--ISNUMBER(SEARCH($I$2,I37)))))</f>
      </c>
      <c r="AU37" s="137">
        <f>IF($J$2="",1,IF($J$2="(blank)",--(J37=""),IF($J$2="(nonblank)",--(J37&lt;&gt;""),--ISNUMBER(SEARCH($J$2,J37)))))</f>
      </c>
      <c r="AV37" s="137">
        <f>IF($K$2="",1,IF($K$2="(blank)",--(K37=""),IF($K$2="(nonblank)",--(K37&lt;&gt;""),--ISNUMBER(SEARCH($K$2,K37)))))</f>
      </c>
      <c r="AW37" s="137">
        <f>IF($L$2="",1,IF($L$2="(blank)",--(L37=""),IF($L$2="(nonblank)",--(L37&lt;&gt;""),--ISNUMBER(SEARCH($L$2,L37)))))</f>
      </c>
      <c r="AX37" s="137">
        <f>IF($M$2="",1,IF($M$2="(blank)",--(M37=""),IF($M$2="(nonblank)",--(M37&lt;&gt;""),--ISNUMBER(SEARCH($M$2,M37)))))</f>
      </c>
      <c r="AY37" s="137">
        <f>IF($N$2="",1,IF($N$2="(blank)",--(N37=""),IF($N$2="(nonblank)",--(N37&lt;&gt;""),--ISNUMBER(SEARCH($N$2,N37)))))</f>
      </c>
      <c r="AZ37" s="137">
        <f>IF($O$2="",1,IF($O$2="(blank)",--(O37=""),IF($O$2="(nonblank)",--(O37&lt;&gt;""),--ISNUMBER(SEARCH($O$2,O37)))))</f>
      </c>
      <c r="BA37" s="137">
        <f>IF($P$2="",1,IF($P$2="(blank)",--(P37=""),IF($P$2="(nonblank)",--(P37&lt;&gt;""),--ISNUMBER(SEARCH($P$2,P37)))))</f>
      </c>
      <c r="BB37" s="137">
        <f>IF($Q$2="",1,IF($Q$2="(blank)",--(Q37=""),IF($Q$2="(nonblank)",--(Q37&lt;&gt;""),--ISNUMBER(SEARCH($Q$2,Q37)))))</f>
      </c>
      <c r="BC37" s="137">
        <f>IF($R$2="",1,IF($R$2="(blank)",--(R37=""),IF($R$2="(nonblank)",--(R37&lt;&gt;""),--ISNUMBER(SEARCH($R$2,R37)))))</f>
      </c>
      <c r="BD37" s="137">
        <f>IF($S$2="",1,IF($S$2="(blank)",--(S37=""),IF($S$2="(nonblank)",--(S37&lt;&gt;""),--ISNUMBER(SEARCH($S$2,S37)))))</f>
      </c>
      <c r="BE37" s="137">
        <f>IF($T$2="",1,IF($T$2="(blank)",--(T37=""),IF($T$2="(nonblank)",--(T37&lt;&gt;""),--ISNUMBER(SEARCH($T$2,T37)))))</f>
      </c>
      <c r="BF37" s="137">
        <f>IF($U$2="",1,IF($U$2="(blank)",--(U37=""),IF($U$2="(nonblank)",--(U37&lt;&gt;""),--ISNUMBER(SEARCH($U$2,U37)))))</f>
      </c>
      <c r="BG37" s="137">
        <f>IF($V$2="",1,IF($V$2="(blank)",--(V37=""),IF($V$2="(nonblank)",--(V37&lt;&gt;""),--ISNUMBER(SEARCH($V$2,V37)))))</f>
      </c>
      <c r="BH37" s="137">
        <f>IF($W$2="",1,IF($W$2="(blank)",--(W37=""),IF($W$2="(nonblank)",--(W37&lt;&gt;""),--ISNUMBER(SEARCH($W$2,W37)))))</f>
      </c>
      <c r="BI37" s="137">
        <f>IF($X$2="",1,IF($X$2="(blank)",--(X37=""),IF($X$2="(nonblank)",--(X37&lt;&gt;""),--ISNUMBER(SEARCH($X$2,X37)))))</f>
      </c>
      <c r="BJ37" s="137">
        <f>IF($Y$2="",1,IF($Y$2="(blank)",--(Y37=""),IF($Y$2="(nonblank)",--(Y37&lt;&gt;""),--ISNUMBER(SEARCH($Y$2,Y37)))))</f>
      </c>
      <c r="BK37" s="137">
        <f>IF($Z$2="",1,IF($Z$2="(blank)",--(Z37=""),IF($Z$2="(nonblank)",--(Z37&lt;&gt;""),--ISNUMBER(SEARCH($Z$2,Z37)))))</f>
      </c>
      <c r="BL37" s="137">
        <f>IF($AA$2="",1,IF($AA$2="(blank)",--(AA37=""),IF($AA$2="(nonblank)",--(AA37&lt;&gt;""),--ISNUMBER(SEARCH($AA$2,AA37)))))</f>
      </c>
      <c r="BM37" s="137">
        <f>IF($AB$2="",1,IF($AB$2="(blank)",--(AB37=""),IF($AB$2="(nonblank)",--(AB37&lt;&gt;""),--ISNUMBER(SEARCH($AB$2,AB37)))))</f>
      </c>
      <c r="BN37" s="137">
        <f>IF($AC$2="",1,IF($AC$2="(blank)",--(AC37=""),IF($AC$2="(nonblank)",--(AC37&lt;&gt;""),--ISNUMBER(SEARCH($AC$2,AC37)))))</f>
      </c>
      <c r="BO37" s="137">
        <f>IF($AD$2="",1,IF($AD$2="(blank)",--(AD37=""),IF($AD$2="(nonblank)",--(AD37&lt;&gt;""),--ISNUMBER(SEARCH($AD$2,AD37)))))</f>
      </c>
      <c r="BP37" s="137">
        <f>IF($AE$2="",1,IF($AE$2="(blank)",--(AE37=""),IF($AE$2="(nonblank)",--(AE37&lt;&gt;""),--ISNUMBER(SEARCH($AE$2,AE37)))))</f>
      </c>
      <c r="BQ37" s="137">
        <f>IF($AF$2="",1,IF($AF$2="(blank)",--(AF37=""),IF($AF$2="(nonblank)",--(AF37&lt;&gt;""),--ISNUMBER(SEARCH($AF$2,AF37)))))</f>
      </c>
      <c r="BR37" s="137">
        <f>IF($AG$2="",1,IF($AG$2="(blank)",--(AG37=""),IF($AG$2="(nonblank)",--(AG37&lt;&gt;""),--ISNUMBER(SEARCH($AG$2,AG37)))))</f>
      </c>
      <c r="BS37" s="137">
        <f>IF($AH$2="",1,IF($AH$2="(blank)",--(AH37=""),IF($AH$2="(nonblank)",--(AH37&lt;&gt;""),--ISNUMBER(SEARCH($AH$2,AH37)))))</f>
      </c>
      <c r="BT37" s="137">
        <f>IF(COUNTIF($AL37:$BS37,0)&gt;0,0,1)</f>
      </c>
    </row>
    <row r="38" ht="14.25" customHeight="1" s="13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IF(IF(OR(AB38="",AB38=0),TODAY(),DATE(VALUE(RIGHT(AB38,4)),VALUE(MID(AB38,4,2)),VALUE(LEFT(AB38,2))))&lt;=DATE(2026,8,24),0,H38*0.0118*CEILING((IF(OR(AB38="",AB38=0),TODAY(),DATE(VALUE(RIGHT(AB38,4)),VALUE(MID(AB38,4,2)),VALUE(LEFT(AB38,2))))-DATE(2026,8,22))/7,1))</f>
        <v/>
      </c>
      <c r="AA38" s="28" t="n"/>
      <c r="AB38" s="28" t="n"/>
      <c r="AC38" s="15">
        <f>U38+X38+AA38</f>
        <v/>
      </c>
      <c r="AD38" s="19">
        <f>S38-AC38</f>
        <v/>
      </c>
      <c r="AE38" s="20">
        <f>IF(AD38="","",IF(AD38&lt;=5,"SETTLED","OUTSTANDING"))</f>
        <v/>
      </c>
      <c r="AF38" s="20" t="inlineStr">
        <is>
          <t>DR2640100025</t>
        </is>
      </c>
      <c r="AG38" s="21" t="n">
        <v>1800003226</v>
      </c>
      <c r="AH38" s="22" t="inlineStr">
        <is>
          <t>19.08.2026</t>
        </is>
      </c>
      <c r="AL38" s="137">
        <f>IF($A$2="",1,IF($A$2="(blank)",--(A38=""),IF($A$2="(nonblank)",--(A38&lt;&gt;""),--ISNUMBER(SEARCH($A$2,A38)))))</f>
      </c>
      <c r="AM38" s="137">
        <f>IF($B$2="",1,IF($B$2="(blank)",--(B38=""),IF($B$2="(nonblank)",--(B38&lt;&gt;""),--ISNUMBER(SEARCH($B$2,B38)))))</f>
      </c>
      <c r="AN38" s="137">
        <f>IF($C$2="",1,IF($C$2="(blank)",--(C38=""),IF($C$2="(nonblank)",--(C38&lt;&gt;""),--ISNUMBER(SEARCH($C$2,C38)))))</f>
      </c>
      <c r="AO38" s="137">
        <f>IF($D$2="",1,IF($D$2="(blank)",--(D38=""),IF($D$2="(nonblank)",--(D38&lt;&gt;""),--ISNUMBER(SEARCH($D$2,D38)))))</f>
      </c>
      <c r="AP38" s="137">
        <f>IF($E$2="",1,IF($E$2="(blank)",--(E38=""),IF($E$2="(nonblank)",--(E38&lt;&gt;""),--ISNUMBER(SEARCH($E$2,E38)))))</f>
      </c>
      <c r="AQ38" s="137">
        <f>IF($F$2="",1,IF($F$2="(blank)",--(F38=""),IF($F$2="(nonblank)",--(F38&lt;&gt;""),--ISNUMBER(SEARCH($F$2,F38)))))</f>
      </c>
      <c r="AR38" s="137">
        <f>IF($G$2="",1,IF($G$2="(blank)",--(G38=""),IF($G$2="(nonblank)",--(G38&lt;&gt;""),--ISNUMBER(SEARCH($G$2,G38)))))</f>
      </c>
      <c r="AS38" s="137">
        <f>IF($H$2="",1,IF($H$2="(blank)",--(H38=""),IF($H$2="(nonblank)",--(H38&lt;&gt;""),--ISNUMBER(SEARCH($H$2,H38)))))</f>
      </c>
      <c r="AT38" s="137">
        <f>IF($I$2="",1,IF($I$2="(blank)",--(I38=""),IF($I$2="(nonblank)",--(I38&lt;&gt;""),--ISNUMBER(SEARCH($I$2,I38)))))</f>
      </c>
      <c r="AU38" s="137">
        <f>IF($J$2="",1,IF($J$2="(blank)",--(J38=""),IF($J$2="(nonblank)",--(J38&lt;&gt;""),--ISNUMBER(SEARCH($J$2,J38)))))</f>
      </c>
      <c r="AV38" s="137">
        <f>IF($K$2="",1,IF($K$2="(blank)",--(K38=""),IF($K$2="(nonblank)",--(K38&lt;&gt;""),--ISNUMBER(SEARCH($K$2,K38)))))</f>
      </c>
      <c r="AW38" s="137">
        <f>IF($L$2="",1,IF($L$2="(blank)",--(L38=""),IF($L$2="(nonblank)",--(L38&lt;&gt;""),--ISNUMBER(SEARCH($L$2,L38)))))</f>
      </c>
      <c r="AX38" s="137">
        <f>IF($M$2="",1,IF($M$2="(blank)",--(M38=""),IF($M$2="(nonblank)",--(M38&lt;&gt;""),--ISNUMBER(SEARCH($M$2,M38)))))</f>
      </c>
      <c r="AY38" s="137">
        <f>IF($N$2="",1,IF($N$2="(blank)",--(N38=""),IF($N$2="(nonblank)",--(N38&lt;&gt;""),--ISNUMBER(SEARCH($N$2,N38)))))</f>
      </c>
      <c r="AZ38" s="137">
        <f>IF($O$2="",1,IF($O$2="(blank)",--(O38=""),IF($O$2="(nonblank)",--(O38&lt;&gt;""),--ISNUMBER(SEARCH($O$2,O38)))))</f>
      </c>
      <c r="BA38" s="137">
        <f>IF($P$2="",1,IF($P$2="(blank)",--(P38=""),IF($P$2="(nonblank)",--(P38&lt;&gt;""),--ISNUMBER(SEARCH($P$2,P38)))))</f>
      </c>
      <c r="BB38" s="137">
        <f>IF($Q$2="",1,IF($Q$2="(blank)",--(Q38=""),IF($Q$2="(nonblank)",--(Q38&lt;&gt;""),--ISNUMBER(SEARCH($Q$2,Q38)))))</f>
      </c>
      <c r="BC38" s="137">
        <f>IF($R$2="",1,IF($R$2="(blank)",--(R38=""),IF($R$2="(nonblank)",--(R38&lt;&gt;""),--ISNUMBER(SEARCH($R$2,R38)))))</f>
      </c>
      <c r="BD38" s="137">
        <f>IF($S$2="",1,IF($S$2="(blank)",--(S38=""),IF($S$2="(nonblank)",--(S38&lt;&gt;""),--ISNUMBER(SEARCH($S$2,S38)))))</f>
      </c>
      <c r="BE38" s="137">
        <f>IF($T$2="",1,IF($T$2="(blank)",--(T38=""),IF($T$2="(nonblank)",--(T38&lt;&gt;""),--ISNUMBER(SEARCH($T$2,T38)))))</f>
      </c>
      <c r="BF38" s="137">
        <f>IF($U$2="",1,IF($U$2="(blank)",--(U38=""),IF($U$2="(nonblank)",--(U38&lt;&gt;""),--ISNUMBER(SEARCH($U$2,U38)))))</f>
      </c>
      <c r="BG38" s="137">
        <f>IF($V$2="",1,IF($V$2="(blank)",--(V38=""),IF($V$2="(nonblank)",--(V38&lt;&gt;""),--ISNUMBER(SEARCH($V$2,V38)))))</f>
      </c>
      <c r="BH38" s="137">
        <f>IF($W$2="",1,IF($W$2="(blank)",--(W38=""),IF($W$2="(nonblank)",--(W38&lt;&gt;""),--ISNUMBER(SEARCH($W$2,W38)))))</f>
      </c>
      <c r="BI38" s="137">
        <f>IF($X$2="",1,IF($X$2="(blank)",--(X38=""),IF($X$2="(nonblank)",--(X38&lt;&gt;""),--ISNUMBER(SEARCH($X$2,X38)))))</f>
      </c>
      <c r="BJ38" s="137">
        <f>IF($Y$2="",1,IF($Y$2="(blank)",--(Y38=""),IF($Y$2="(nonblank)",--(Y38&lt;&gt;""),--ISNUMBER(SEARCH($Y$2,Y38)))))</f>
      </c>
      <c r="BK38" s="137">
        <f>IF($Z$2="",1,IF($Z$2="(blank)",--(Z38=""),IF($Z$2="(nonblank)",--(Z38&lt;&gt;""),--ISNUMBER(SEARCH($Z$2,Z38)))))</f>
      </c>
      <c r="BL38" s="137">
        <f>IF($AA$2="",1,IF($AA$2="(blank)",--(AA38=""),IF($AA$2="(nonblank)",--(AA38&lt;&gt;""),--ISNUMBER(SEARCH($AA$2,AA38)))))</f>
      </c>
      <c r="BM38" s="137">
        <f>IF($AB$2="",1,IF($AB$2="(blank)",--(AB38=""),IF($AB$2="(nonblank)",--(AB38&lt;&gt;""),--ISNUMBER(SEARCH($AB$2,AB38)))))</f>
      </c>
      <c r="BN38" s="137">
        <f>IF($AC$2="",1,IF($AC$2="(blank)",--(AC38=""),IF($AC$2="(nonblank)",--(AC38&lt;&gt;""),--ISNUMBER(SEARCH($AC$2,AC38)))))</f>
      </c>
      <c r="BO38" s="137">
        <f>IF($AD$2="",1,IF($AD$2="(blank)",--(AD38=""),IF($AD$2="(nonblank)",--(AD38&lt;&gt;""),--ISNUMBER(SEARCH($AD$2,AD38)))))</f>
      </c>
      <c r="BP38" s="137">
        <f>IF($AE$2="",1,IF($AE$2="(blank)",--(AE38=""),IF($AE$2="(nonblank)",--(AE38&lt;&gt;""),--ISNUMBER(SEARCH($AE$2,AE38)))))</f>
      </c>
      <c r="BQ38" s="137">
        <f>IF($AF$2="",1,IF($AF$2="(blank)",--(AF38=""),IF($AF$2="(nonblank)",--(AF38&lt;&gt;""),--ISNUMBER(SEARCH($AF$2,AF38)))))</f>
      </c>
      <c r="BR38" s="137">
        <f>IF($AG$2="",1,IF($AG$2="(blank)",--(AG38=""),IF($AG$2="(nonblank)",--(AG38&lt;&gt;""),--ISNUMBER(SEARCH($AG$2,AG38)))))</f>
      </c>
      <c r="BS38" s="137">
        <f>IF($AH$2="",1,IF($AH$2="(blank)",--(AH38=""),IF($AH$2="(nonblank)",--(AH38&lt;&gt;""),--ISNUMBER(SEARCH($AH$2,AH38)))))</f>
      </c>
      <c r="BT38" s="137">
        <f>IF(COUNTIF($AL38:$BS38,0)&gt;0,0,1)</f>
      </c>
    </row>
    <row r="39" ht="14.25" customHeight="1" s="137">
      <c r="A39" s="148" t="n">
        <v>2</v>
      </c>
      <c r="B39" s="149" t="inlineStr">
        <is>
          <t>Scrap of 66 kv TBC C &amp; R Panel</t>
        </is>
      </c>
      <c r="C39" s="150" t="n">
        <v>15006</v>
      </c>
      <c r="D39" s="151" t="n">
        <v>21980</v>
      </c>
      <c r="E39" s="151" t="inlineStr">
        <is>
          <t>NO</t>
        </is>
      </c>
      <c r="F39" s="151" t="n">
        <v>2089</v>
      </c>
      <c r="G39" s="149" t="inlineStr">
        <is>
          <t>S M ENTERPRISES</t>
        </is>
      </c>
      <c r="H39" s="152" t="n">
        <v>30012</v>
      </c>
      <c r="I39" s="152">
        <f>ROUND(H39*18%,0)</f>
        <v/>
      </c>
      <c r="J39" s="152">
        <f>+H39+I39</f>
        <v/>
      </c>
      <c r="K39" s="152">
        <f>ROUND((H39+I39)*2%,0)</f>
        <v/>
      </c>
      <c r="L39" s="153">
        <f>H39*0.1%</f>
        <v/>
      </c>
      <c r="M39" s="153">
        <f>H39*2.25%*118%</f>
        <v/>
      </c>
      <c r="N39" s="154">
        <f>H39*2.25%*2%</f>
        <v/>
      </c>
      <c r="O39" s="153">
        <f>M39-N39</f>
        <v/>
      </c>
      <c r="P39" s="153">
        <f>ROUND(O39+L39,0)</f>
        <v/>
      </c>
      <c r="Q39" s="155" t="n">
        <v>0</v>
      </c>
      <c r="R39" s="153">
        <f>ROUND(H39*Q39,0)</f>
        <v/>
      </c>
      <c r="S39" s="152">
        <f>ROUND(H39*117.65%-R39,0)</f>
        <v/>
      </c>
      <c r="T39" s="153">
        <f>ROUND(H39*25%,0)</f>
        <v/>
      </c>
      <c r="U39" s="156" t="n">
        <v>7503</v>
      </c>
      <c r="V39" s="153" t="inlineStr">
        <is>
          <t>14.08.2026</t>
        </is>
      </c>
      <c r="W39" s="153">
        <f>ROUND(H39*92.65%-R39,0)</f>
        <v/>
      </c>
      <c r="X39" s="153" t="n">
        <v>27806</v>
      </c>
      <c r="Y39" s="153" t="inlineStr">
        <is>
          <t>01.09.2026</t>
        </is>
      </c>
      <c r="Z39" s="153">
        <f>IF(IF(OR(AB39="",AB39=0),TODAY(),DATE(VALUE(RIGHT(AB39,4)),VALUE(MID(AB39,4,2)),VALUE(LEFT(AB39,2))))&lt;=DATE(2026,8,24),0,H39*0.0118*CEILING((IF(OR(AB39="",AB39=0),TODAY(),DATE(VALUE(RIGHT(AB39,4)),VALUE(MID(AB39,4,2)),VALUE(LEFT(AB39,2))))-DATE(2026,8,22))/7,1))</f>
        <v/>
      </c>
      <c r="AA39" s="153" t="n">
        <v>708</v>
      </c>
      <c r="AB39" s="153" t="inlineStr">
        <is>
          <t>01.09.2026</t>
        </is>
      </c>
      <c r="AC39" s="157">
        <f>U39+X39+AA39</f>
        <v/>
      </c>
      <c r="AD39" s="157">
        <f>S39-AC39</f>
        <v/>
      </c>
      <c r="AE39" s="153">
        <f>IF(AD39="","",IF(AD39&lt;=5,"SETTLED","OUTSTANDING"))</f>
        <v/>
      </c>
      <c r="AF39" s="153" t="n"/>
      <c r="AG39" s="158" t="n"/>
      <c r="AH39" s="159" t="n"/>
      <c r="AL39" s="137">
        <f>IF($A$2="",1,IF($A$2="(blank)",--(A39=""),IF($A$2="(nonblank)",--(A39&lt;&gt;""),--ISNUMBER(SEARCH($A$2,A39)))))</f>
      </c>
      <c r="AM39" s="137">
        <f>IF($B$2="",1,IF($B$2="(blank)",--(B39=""),IF($B$2="(nonblank)",--(B39&lt;&gt;""),--ISNUMBER(SEARCH($B$2,B39)))))</f>
      </c>
      <c r="AN39" s="137">
        <f>IF($C$2="",1,IF($C$2="(blank)",--(C39=""),IF($C$2="(nonblank)",--(C39&lt;&gt;""),--ISNUMBER(SEARCH($C$2,C39)))))</f>
      </c>
      <c r="AO39" s="137">
        <f>IF($D$2="",1,IF($D$2="(blank)",--(D39=""),IF($D$2="(nonblank)",--(D39&lt;&gt;""),--ISNUMBER(SEARCH($D$2,D39)))))</f>
      </c>
      <c r="AP39" s="137">
        <f>IF($E$2="",1,IF($E$2="(blank)",--(E39=""),IF($E$2="(nonblank)",--(E39&lt;&gt;""),--ISNUMBER(SEARCH($E$2,E39)))))</f>
      </c>
      <c r="AQ39" s="137">
        <f>IF($F$2="",1,IF($F$2="(blank)",--(F39=""),IF($F$2="(nonblank)",--(F39&lt;&gt;""),--ISNUMBER(SEARCH($F$2,F39)))))</f>
      </c>
      <c r="AR39" s="137">
        <f>IF($G$2="",1,IF($G$2="(blank)",--(G39=""),IF($G$2="(nonblank)",--(G39&lt;&gt;""),--ISNUMBER(SEARCH($G$2,G39)))))</f>
      </c>
      <c r="AS39" s="137">
        <f>IF($H$2="",1,IF($H$2="(blank)",--(H39=""),IF($H$2="(nonblank)",--(H39&lt;&gt;""),--ISNUMBER(SEARCH($H$2,H39)))))</f>
      </c>
      <c r="AT39" s="137">
        <f>IF($I$2="",1,IF($I$2="(blank)",--(I39=""),IF($I$2="(nonblank)",--(I39&lt;&gt;""),--ISNUMBER(SEARCH($I$2,I39)))))</f>
      </c>
      <c r="AU39" s="137">
        <f>IF($J$2="",1,IF($J$2="(blank)",--(J39=""),IF($J$2="(nonblank)",--(J39&lt;&gt;""),--ISNUMBER(SEARCH($J$2,J39)))))</f>
      </c>
      <c r="AV39" s="137">
        <f>IF($K$2="",1,IF($K$2="(blank)",--(K39=""),IF($K$2="(nonblank)",--(K39&lt;&gt;""),--ISNUMBER(SEARCH($K$2,K39)))))</f>
      </c>
      <c r="AW39" s="137">
        <f>IF($L$2="",1,IF($L$2="(blank)",--(L39=""),IF($L$2="(nonblank)",--(L39&lt;&gt;""),--ISNUMBER(SEARCH($L$2,L39)))))</f>
      </c>
      <c r="AX39" s="137">
        <f>IF($M$2="",1,IF($M$2="(blank)",--(M39=""),IF($M$2="(nonblank)",--(M39&lt;&gt;""),--ISNUMBER(SEARCH($M$2,M39)))))</f>
      </c>
      <c r="AY39" s="137">
        <f>IF($N$2="",1,IF($N$2="(blank)",--(N39=""),IF($N$2="(nonblank)",--(N39&lt;&gt;""),--ISNUMBER(SEARCH($N$2,N39)))))</f>
      </c>
      <c r="AZ39" s="137">
        <f>IF($O$2="",1,IF($O$2="(blank)",--(O39=""),IF($O$2="(nonblank)",--(O39&lt;&gt;""),--ISNUMBER(SEARCH($O$2,O39)))))</f>
      </c>
      <c r="BA39" s="137">
        <f>IF($P$2="",1,IF($P$2="(blank)",--(P39=""),IF($P$2="(nonblank)",--(P39&lt;&gt;""),--ISNUMBER(SEARCH($P$2,P39)))))</f>
      </c>
      <c r="BB39" s="137">
        <f>IF($Q$2="",1,IF($Q$2="(blank)",--(Q39=""),IF($Q$2="(nonblank)",--(Q39&lt;&gt;""),--ISNUMBER(SEARCH($Q$2,Q39)))))</f>
      </c>
      <c r="BC39" s="137">
        <f>IF($R$2="",1,IF($R$2="(blank)",--(R39=""),IF($R$2="(nonblank)",--(R39&lt;&gt;""),--ISNUMBER(SEARCH($R$2,R39)))))</f>
      </c>
      <c r="BD39" s="137">
        <f>IF($S$2="",1,IF($S$2="(blank)",--(S39=""),IF($S$2="(nonblank)",--(S39&lt;&gt;""),--ISNUMBER(SEARCH($S$2,S39)))))</f>
      </c>
      <c r="BE39" s="137">
        <f>IF($T$2="",1,IF($T$2="(blank)",--(T39=""),IF($T$2="(nonblank)",--(T39&lt;&gt;""),--ISNUMBER(SEARCH($T$2,T39)))))</f>
      </c>
      <c r="BF39" s="137">
        <f>IF($U$2="",1,IF($U$2="(blank)",--(U39=""),IF($U$2="(nonblank)",--(U39&lt;&gt;""),--ISNUMBER(SEARCH($U$2,U39)))))</f>
      </c>
      <c r="BG39" s="137">
        <f>IF($V$2="",1,IF($V$2="(blank)",--(V39=""),IF($V$2="(nonblank)",--(V39&lt;&gt;""),--ISNUMBER(SEARCH($V$2,V39)))))</f>
      </c>
      <c r="BH39" s="137">
        <f>IF($W$2="",1,IF($W$2="(blank)",--(W39=""),IF($W$2="(nonblank)",--(W39&lt;&gt;""),--ISNUMBER(SEARCH($W$2,W39)))))</f>
      </c>
      <c r="BI39" s="137">
        <f>IF($X$2="",1,IF($X$2="(blank)",--(X39=""),IF($X$2="(nonblank)",--(X39&lt;&gt;""),--ISNUMBER(SEARCH($X$2,X39)))))</f>
      </c>
      <c r="BJ39" s="137">
        <f>IF($Y$2="",1,IF($Y$2="(blank)",--(Y39=""),IF($Y$2="(nonblank)",--(Y39&lt;&gt;""),--ISNUMBER(SEARCH($Y$2,Y39)))))</f>
      </c>
      <c r="BK39" s="137">
        <f>IF($Z$2="",1,IF($Z$2="(blank)",--(Z39=""),IF($Z$2="(nonblank)",--(Z39&lt;&gt;""),--ISNUMBER(SEARCH($Z$2,Z39)))))</f>
      </c>
      <c r="BL39" s="137">
        <f>IF($AA$2="",1,IF($AA$2="(blank)",--(AA39=""),IF($AA$2="(nonblank)",--(AA39&lt;&gt;""),--ISNUMBER(SEARCH($AA$2,AA39)))))</f>
      </c>
      <c r="BM39" s="137">
        <f>IF($AB$2="",1,IF($AB$2="(blank)",--(AB39=""),IF($AB$2="(nonblank)",--(AB39&lt;&gt;""),--ISNUMBER(SEARCH($AB$2,AB39)))))</f>
      </c>
      <c r="BN39" s="137">
        <f>IF($AC$2="",1,IF($AC$2="(blank)",--(AC39=""),IF($AC$2="(nonblank)",--(AC39&lt;&gt;""),--ISNUMBER(SEARCH($AC$2,AC39)))))</f>
      </c>
      <c r="BO39" s="137">
        <f>IF($AD$2="",1,IF($AD$2="(blank)",--(AD39=""),IF($AD$2="(nonblank)",--(AD39&lt;&gt;""),--ISNUMBER(SEARCH($AD$2,AD39)))))</f>
      </c>
      <c r="BP39" s="137">
        <f>IF($AE$2="",1,IF($AE$2="(blank)",--(AE39=""),IF($AE$2="(nonblank)",--(AE39&lt;&gt;""),--ISNUMBER(SEARCH($AE$2,AE39)))))</f>
      </c>
      <c r="BQ39" s="137">
        <f>IF($AF$2="",1,IF($AF$2="(blank)",--(AF39=""),IF($AF$2="(nonblank)",--(AF39&lt;&gt;""),--ISNUMBER(SEARCH($AF$2,AF39)))))</f>
      </c>
      <c r="BR39" s="137">
        <f>IF($AG$2="",1,IF($AG$2="(blank)",--(AG39=""),IF($AG$2="(nonblank)",--(AG39&lt;&gt;""),--ISNUMBER(SEARCH($AG$2,AG39)))))</f>
      </c>
      <c r="BS39" s="137">
        <f>IF($AH$2="",1,IF($AH$2="(blank)",--(AH39=""),IF($AH$2="(nonblank)",--(AH39&lt;&gt;""),--ISNUMBER(SEARCH($AH$2,AH39)))))</f>
      </c>
      <c r="BT39" s="137">
        <f>IF(COUNTIF($AL39:$BS39,0)&gt;0,0,1)</f>
      </c>
    </row>
    <row r="40" ht="15" customHeight="1" s="13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IF(IF(OR(AB40="",AB40=0),TODAY(),DATE(VALUE(RIGHT(AB40,4)),VALUE(MID(AB40,4,2)),VALUE(LEFT(AB40,2))))&lt;=DATE(2026,8,24),0,H40*0.0118*CEILING((IF(OR(AB40="",AB40=0),TODAY(),DATE(VALUE(RIGHT(AB40,4)),VALUE(MID(AB40,4,2)),VALUE(LEFT(AB40,2))))-DATE(2026,8,22))/7,1))</f>
        <v/>
      </c>
      <c r="AA40" s="37" t="n">
        <v>2832</v>
      </c>
      <c r="AB40" s="37" t="inlineStr">
        <is>
          <t>01.09.2026</t>
        </is>
      </c>
      <c r="AC40" s="15">
        <f>U40+X40+AA40</f>
        <v/>
      </c>
      <c r="AD40" s="19">
        <f>S40-AC40</f>
        <v/>
      </c>
      <c r="AE40" s="20">
        <f>IF(AD40="","",IF(AD40&lt;=5,"SETTLED","OUTSTANDING"))</f>
        <v/>
      </c>
      <c r="AF40" s="20" t="n"/>
      <c r="AG40" s="21" t="n"/>
      <c r="AH40" s="22" t="n"/>
      <c r="AL40" s="137">
        <f>IF($A$2="",1,IF($A$2="(blank)",--(A40=""),IF($A$2="(nonblank)",--(A40&lt;&gt;""),--ISNUMBER(SEARCH($A$2,A40)))))</f>
      </c>
      <c r="AM40" s="137">
        <f>IF($B$2="",1,IF($B$2="(blank)",--(B40=""),IF($B$2="(nonblank)",--(B40&lt;&gt;""),--ISNUMBER(SEARCH($B$2,B40)))))</f>
      </c>
      <c r="AN40" s="137">
        <f>IF($C$2="",1,IF($C$2="(blank)",--(C40=""),IF($C$2="(nonblank)",--(C40&lt;&gt;""),--ISNUMBER(SEARCH($C$2,C40)))))</f>
      </c>
      <c r="AO40" s="137">
        <f>IF($D$2="",1,IF($D$2="(blank)",--(D40=""),IF($D$2="(nonblank)",--(D40&lt;&gt;""),--ISNUMBER(SEARCH($D$2,D40)))))</f>
      </c>
      <c r="AP40" s="137">
        <f>IF($E$2="",1,IF($E$2="(blank)",--(E40=""),IF($E$2="(nonblank)",--(E40&lt;&gt;""),--ISNUMBER(SEARCH($E$2,E40)))))</f>
      </c>
      <c r="AQ40" s="137">
        <f>IF($F$2="",1,IF($F$2="(blank)",--(F40=""),IF($F$2="(nonblank)",--(F40&lt;&gt;""),--ISNUMBER(SEARCH($F$2,F40)))))</f>
      </c>
      <c r="AR40" s="137">
        <f>IF($G$2="",1,IF($G$2="(blank)",--(G40=""),IF($G$2="(nonblank)",--(G40&lt;&gt;""),--ISNUMBER(SEARCH($G$2,G40)))))</f>
      </c>
      <c r="AS40" s="137">
        <f>IF($H$2="",1,IF($H$2="(blank)",--(H40=""),IF($H$2="(nonblank)",--(H40&lt;&gt;""),--ISNUMBER(SEARCH($H$2,H40)))))</f>
      </c>
      <c r="AT40" s="137">
        <f>IF($I$2="",1,IF($I$2="(blank)",--(I40=""),IF($I$2="(nonblank)",--(I40&lt;&gt;""),--ISNUMBER(SEARCH($I$2,I40)))))</f>
      </c>
      <c r="AU40" s="137">
        <f>IF($J$2="",1,IF($J$2="(blank)",--(J40=""),IF($J$2="(nonblank)",--(J40&lt;&gt;""),--ISNUMBER(SEARCH($J$2,J40)))))</f>
      </c>
      <c r="AV40" s="137">
        <f>IF($K$2="",1,IF($K$2="(blank)",--(K40=""),IF($K$2="(nonblank)",--(K40&lt;&gt;""),--ISNUMBER(SEARCH($K$2,K40)))))</f>
      </c>
      <c r="AW40" s="137">
        <f>IF($L$2="",1,IF($L$2="(blank)",--(L40=""),IF($L$2="(nonblank)",--(L40&lt;&gt;""),--ISNUMBER(SEARCH($L$2,L40)))))</f>
      </c>
      <c r="AX40" s="137">
        <f>IF($M$2="",1,IF($M$2="(blank)",--(M40=""),IF($M$2="(nonblank)",--(M40&lt;&gt;""),--ISNUMBER(SEARCH($M$2,M40)))))</f>
      </c>
      <c r="AY40" s="137">
        <f>IF($N$2="",1,IF($N$2="(blank)",--(N40=""),IF($N$2="(nonblank)",--(N40&lt;&gt;""),--ISNUMBER(SEARCH($N$2,N40)))))</f>
      </c>
      <c r="AZ40" s="137">
        <f>IF($O$2="",1,IF($O$2="(blank)",--(O40=""),IF($O$2="(nonblank)",--(O40&lt;&gt;""),--ISNUMBER(SEARCH($O$2,O40)))))</f>
      </c>
      <c r="BA40" s="137">
        <f>IF($P$2="",1,IF($P$2="(blank)",--(P40=""),IF($P$2="(nonblank)",--(P40&lt;&gt;""),--ISNUMBER(SEARCH($P$2,P40)))))</f>
      </c>
      <c r="BB40" s="137">
        <f>IF($Q$2="",1,IF($Q$2="(blank)",--(Q40=""),IF($Q$2="(nonblank)",--(Q40&lt;&gt;""),--ISNUMBER(SEARCH($Q$2,Q40)))))</f>
      </c>
      <c r="BC40" s="137">
        <f>IF($R$2="",1,IF($R$2="(blank)",--(R40=""),IF($R$2="(nonblank)",--(R40&lt;&gt;""),--ISNUMBER(SEARCH($R$2,R40)))))</f>
      </c>
      <c r="BD40" s="137">
        <f>IF($S$2="",1,IF($S$2="(blank)",--(S40=""),IF($S$2="(nonblank)",--(S40&lt;&gt;""),--ISNUMBER(SEARCH($S$2,S40)))))</f>
      </c>
      <c r="BE40" s="137">
        <f>IF($T$2="",1,IF($T$2="(blank)",--(T40=""),IF($T$2="(nonblank)",--(T40&lt;&gt;""),--ISNUMBER(SEARCH($T$2,T40)))))</f>
      </c>
      <c r="BF40" s="137">
        <f>IF($U$2="",1,IF($U$2="(blank)",--(U40=""),IF($U$2="(nonblank)",--(U40&lt;&gt;""),--ISNUMBER(SEARCH($U$2,U40)))))</f>
      </c>
      <c r="BG40" s="137">
        <f>IF($V$2="",1,IF($V$2="(blank)",--(V40=""),IF($V$2="(nonblank)",--(V40&lt;&gt;""),--ISNUMBER(SEARCH($V$2,V40)))))</f>
      </c>
      <c r="BH40" s="137">
        <f>IF($W$2="",1,IF($W$2="(blank)",--(W40=""),IF($W$2="(nonblank)",--(W40&lt;&gt;""),--ISNUMBER(SEARCH($W$2,W40)))))</f>
      </c>
      <c r="BI40" s="137">
        <f>IF($X$2="",1,IF($X$2="(blank)",--(X40=""),IF($X$2="(nonblank)",--(X40&lt;&gt;""),--ISNUMBER(SEARCH($X$2,X40)))))</f>
      </c>
      <c r="BJ40" s="137">
        <f>IF($Y$2="",1,IF($Y$2="(blank)",--(Y40=""),IF($Y$2="(nonblank)",--(Y40&lt;&gt;""),--ISNUMBER(SEARCH($Y$2,Y40)))))</f>
      </c>
      <c r="BK40" s="137">
        <f>IF($Z$2="",1,IF($Z$2="(blank)",--(Z40=""),IF($Z$2="(nonblank)",--(Z40&lt;&gt;""),--ISNUMBER(SEARCH($Z$2,Z40)))))</f>
      </c>
      <c r="BL40" s="137">
        <f>IF($AA$2="",1,IF($AA$2="(blank)",--(AA40=""),IF($AA$2="(nonblank)",--(AA40&lt;&gt;""),--ISNUMBER(SEARCH($AA$2,AA40)))))</f>
      </c>
      <c r="BM40" s="137">
        <f>IF($AB$2="",1,IF($AB$2="(blank)",--(AB40=""),IF($AB$2="(nonblank)",--(AB40&lt;&gt;""),--ISNUMBER(SEARCH($AB$2,AB40)))))</f>
      </c>
      <c r="BN40" s="137">
        <f>IF($AC$2="",1,IF($AC$2="(blank)",--(AC40=""),IF($AC$2="(nonblank)",--(AC40&lt;&gt;""),--ISNUMBER(SEARCH($AC$2,AC40)))))</f>
      </c>
      <c r="BO40" s="137">
        <f>IF($AD$2="",1,IF($AD$2="(blank)",--(AD40=""),IF($AD$2="(nonblank)",--(AD40&lt;&gt;""),--ISNUMBER(SEARCH($AD$2,AD40)))))</f>
      </c>
      <c r="BP40" s="137">
        <f>IF($AE$2="",1,IF($AE$2="(blank)",--(AE40=""),IF($AE$2="(nonblank)",--(AE40&lt;&gt;""),--ISNUMBER(SEARCH($AE$2,AE40)))))</f>
      </c>
      <c r="BQ40" s="137">
        <f>IF($AF$2="",1,IF($AF$2="(blank)",--(AF40=""),IF($AF$2="(nonblank)",--(AF40&lt;&gt;""),--ISNUMBER(SEARCH($AF$2,AF40)))))</f>
      </c>
      <c r="BR40" s="137">
        <f>IF($AG$2="",1,IF($AG$2="(blank)",--(AG40=""),IF($AG$2="(nonblank)",--(AG40&lt;&gt;""),--ISNUMBER(SEARCH($AG$2,AG40)))))</f>
      </c>
      <c r="BS40" s="137">
        <f>IF($AH$2="",1,IF($AH$2="(blank)",--(AH40=""),IF($AH$2="(nonblank)",--(AH40&lt;&gt;""),--ISNUMBER(SEARCH($AH$2,AH40)))))</f>
      </c>
      <c r="BT40" s="137">
        <f>IF(COUNTIF($AL40:$BS40,0)&gt;0,0,1)</f>
      </c>
    </row>
    <row r="41" ht="14.25" customHeight="1" s="137">
      <c r="A41" s="160" t="n"/>
      <c r="B41" s="161" t="n"/>
      <c r="C41" s="161" t="n"/>
      <c r="D41" s="161" t="n"/>
      <c r="E41" s="161" t="n"/>
      <c r="F41" s="161" t="n"/>
      <c r="G41" s="161" t="n"/>
      <c r="H41" s="162">
        <f>SUM(H4:H40)</f>
        <v/>
      </c>
      <c r="I41" s="162">
        <f>SUM(I4:I40)</f>
        <v/>
      </c>
      <c r="J41" s="162">
        <f>SUM(J4:J40)</f>
        <v/>
      </c>
      <c r="K41" s="162">
        <f>SUM(K4:K40)</f>
        <v/>
      </c>
      <c r="L41" s="162">
        <f>SUM(L4:L40)</f>
        <v/>
      </c>
      <c r="M41" s="162">
        <f>SUM(M4:M40)</f>
        <v/>
      </c>
      <c r="N41" s="162">
        <f>SUM(N4:N40)</f>
        <v/>
      </c>
      <c r="O41" s="162">
        <f>SUM(O4:O40)</f>
        <v/>
      </c>
      <c r="P41" s="162">
        <f>SUM(P4:P40)</f>
        <v/>
      </c>
      <c r="Q41" s="163" t="n"/>
      <c r="R41" s="163">
        <f>SUM(R4:R40)</f>
        <v/>
      </c>
      <c r="S41" s="162">
        <f>SUM(S4:S40)</f>
        <v/>
      </c>
      <c r="T41" s="162">
        <f>SUM(T4:T40)</f>
        <v/>
      </c>
      <c r="U41" s="162">
        <f>SUM(U4:U40)</f>
        <v/>
      </c>
      <c r="V41" s="163" t="n"/>
      <c r="W41" s="162">
        <f>SUM(W4:W40)</f>
        <v/>
      </c>
      <c r="X41" s="162">
        <f>SUM(X4:X40)</f>
        <v/>
      </c>
      <c r="Y41" s="163" t="n"/>
      <c r="Z41" s="163">
        <f>SUM(Z4:Z40)</f>
        <v/>
      </c>
      <c r="AA41" s="163">
        <f>SUM(AA4:AA40)</f>
        <v/>
      </c>
      <c r="AB41" s="163" t="n"/>
      <c r="AC41" s="163">
        <f>SUM(AC4:AC40)</f>
        <v/>
      </c>
      <c r="AD41" s="162">
        <f>SUM(AD4:AD40)</f>
        <v/>
      </c>
      <c r="AE41" s="162">
        <f>IF(AD41="","",IF(AD41&lt;=5,"SETTLED","OUTSTANDING"))</f>
        <v/>
      </c>
      <c r="AF41" s="161" t="n"/>
      <c r="AG41" s="161" t="n"/>
      <c r="AH41" s="164" t="n"/>
    </row>
    <row r="42" ht="15" customHeight="1" s="13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47" t="n"/>
      <c r="AH42" s="54" t="n"/>
    </row>
    <row r="43" ht="14.25" customHeight="1" s="137">
      <c r="I43" s="55" t="n"/>
      <c r="J43" s="55" t="n"/>
      <c r="U43" s="56" t="inlineStr">
        <is>
          <t>Bal SD O/s</t>
        </is>
      </c>
      <c r="X43" s="57" t="inlineStr">
        <is>
          <t>Bal FP O/s</t>
        </is>
      </c>
    </row>
    <row r="44" ht="14.25" customHeight="1" s="137">
      <c r="U44" s="58" t="n"/>
    </row>
    <row r="46" ht="14.25" customHeight="1" s="137">
      <c r="K46" s="55" t="n"/>
    </row>
  </sheetData>
  <autoFilter ref="A3:AH43">
    <sortState ref="A4:AG43">
      <sortCondition ref="A4:A43"/>
    </sortState>
  </autoFilter>
  <conditionalFormatting sqref="A4:AH40">
    <cfRule type="expression" priority="1" dxfId="50">
      <formula>AND(COUNTIF($A$2:$AH$2,"&lt;&gt;")&gt;0,$BT4=0)</formula>
    </cfRule>
  </conditionalFormatting>
  <conditionalFormatting sqref="A4:A40">
    <cfRule type="expression" priority="2" dxfId="3">
      <formula>AND($A$2&lt;&gt;"",$AL4=1)</formula>
    </cfRule>
  </conditionalFormatting>
  <conditionalFormatting sqref="B4:B40">
    <cfRule type="expression" priority="3" dxfId="3">
      <formula>AND($B$2&lt;&gt;"",$AM4=1)</formula>
    </cfRule>
  </conditionalFormatting>
  <conditionalFormatting sqref="C4:C40">
    <cfRule type="expression" priority="4" dxfId="3">
      <formula>AND($C$2&lt;&gt;"",$AN4=1)</formula>
    </cfRule>
  </conditionalFormatting>
  <conditionalFormatting sqref="D4:D40">
    <cfRule type="expression" priority="5" dxfId="3">
      <formula>AND($D$2&lt;&gt;"",$AO4=1)</formula>
    </cfRule>
  </conditionalFormatting>
  <conditionalFormatting sqref="E4:E40">
    <cfRule type="expression" priority="6" dxfId="3">
      <formula>AND($E$2&lt;&gt;"",$AP4=1)</formula>
    </cfRule>
  </conditionalFormatting>
  <conditionalFormatting sqref="F4:F40">
    <cfRule type="expression" priority="7" dxfId="3">
      <formula>AND($F$2&lt;&gt;"",$AQ4=1)</formula>
    </cfRule>
  </conditionalFormatting>
  <conditionalFormatting sqref="G4:G40">
    <cfRule type="expression" priority="8" dxfId="3">
      <formula>AND($G$2&lt;&gt;"",$AR4=1)</formula>
    </cfRule>
  </conditionalFormatting>
  <conditionalFormatting sqref="H4:H40">
    <cfRule type="expression" priority="9" dxfId="3">
      <formula>AND($H$2&lt;&gt;"",$AS4=1)</formula>
    </cfRule>
  </conditionalFormatting>
  <conditionalFormatting sqref="I4:I40">
    <cfRule type="expression" priority="10" dxfId="3">
      <formula>AND($I$2&lt;&gt;"",$AT4=1)</formula>
    </cfRule>
  </conditionalFormatting>
  <conditionalFormatting sqref="J4:J40">
    <cfRule type="expression" priority="11" dxfId="3">
      <formula>AND($J$2&lt;&gt;"",$AU4=1)</formula>
    </cfRule>
  </conditionalFormatting>
  <conditionalFormatting sqref="K4:K40">
    <cfRule type="expression" priority="12" dxfId="3">
      <formula>AND($K$2&lt;&gt;"",$AV4=1)</formula>
    </cfRule>
  </conditionalFormatting>
  <conditionalFormatting sqref="L4:L40">
    <cfRule type="expression" priority="13" dxfId="3">
      <formula>AND($L$2&lt;&gt;"",$AW4=1)</formula>
    </cfRule>
  </conditionalFormatting>
  <conditionalFormatting sqref="M4:M40">
    <cfRule type="expression" priority="14" dxfId="3">
      <formula>AND($M$2&lt;&gt;"",$AX4=1)</formula>
    </cfRule>
  </conditionalFormatting>
  <conditionalFormatting sqref="N4:N40">
    <cfRule type="expression" priority="15" dxfId="3">
      <formula>AND($N$2&lt;&gt;"",$AY4=1)</formula>
    </cfRule>
  </conditionalFormatting>
  <conditionalFormatting sqref="O4:O40">
    <cfRule type="expression" priority="16" dxfId="3">
      <formula>AND($O$2&lt;&gt;"",$AZ4=1)</formula>
    </cfRule>
  </conditionalFormatting>
  <conditionalFormatting sqref="P4:P40">
    <cfRule type="expression" priority="17" dxfId="3">
      <formula>AND($P$2&lt;&gt;"",$BA4=1)</formula>
    </cfRule>
  </conditionalFormatting>
  <conditionalFormatting sqref="Q4:Q40">
    <cfRule type="expression" priority="18" dxfId="3">
      <formula>AND($Q$2&lt;&gt;"",$BB4=1)</formula>
    </cfRule>
  </conditionalFormatting>
  <conditionalFormatting sqref="R4:R40">
    <cfRule type="expression" priority="19" dxfId="3">
      <formula>AND($R$2&lt;&gt;"",$BC4=1)</formula>
    </cfRule>
  </conditionalFormatting>
  <conditionalFormatting sqref="S4:S40">
    <cfRule type="expression" priority="20" dxfId="3">
      <formula>AND($S$2&lt;&gt;"",$BD4=1)</formula>
    </cfRule>
  </conditionalFormatting>
  <conditionalFormatting sqref="T4:T40">
    <cfRule type="expression" priority="21" dxfId="3">
      <formula>AND($T$2&lt;&gt;"",$BE4=1)</formula>
    </cfRule>
  </conditionalFormatting>
  <conditionalFormatting sqref="U4:U40">
    <cfRule type="expression" priority="22" dxfId="3">
      <formula>AND($U$2&lt;&gt;"",$BF4=1)</formula>
    </cfRule>
  </conditionalFormatting>
  <conditionalFormatting sqref="V4:V40">
    <cfRule type="expression" priority="23" dxfId="3">
      <formula>AND($V$2&lt;&gt;"",$BG4=1)</formula>
    </cfRule>
  </conditionalFormatting>
  <conditionalFormatting sqref="W4:W40">
    <cfRule type="expression" priority="24" dxfId="3">
      <formula>AND($W$2&lt;&gt;"",$BH4=1)</formula>
    </cfRule>
  </conditionalFormatting>
  <conditionalFormatting sqref="X4:X40">
    <cfRule type="expression" priority="25" dxfId="3">
      <formula>AND($X$2&lt;&gt;"",$BI4=1)</formula>
    </cfRule>
  </conditionalFormatting>
  <conditionalFormatting sqref="Y4:Y40">
    <cfRule type="expression" priority="26" dxfId="3">
      <formula>AND($Y$2&lt;&gt;"",$BJ4=1)</formula>
    </cfRule>
  </conditionalFormatting>
  <conditionalFormatting sqref="Z4:Z40">
    <cfRule type="expression" priority="27" dxfId="3">
      <formula>AND($Z$2&lt;&gt;"",$BK4=1)</formula>
    </cfRule>
  </conditionalFormatting>
  <conditionalFormatting sqref="AA4:AA40">
    <cfRule type="expression" priority="28" dxfId="3">
      <formula>AND($AA$2&lt;&gt;"",$BL4=1)</formula>
    </cfRule>
  </conditionalFormatting>
  <conditionalFormatting sqref="AB4:AB40">
    <cfRule type="expression" priority="29" dxfId="3">
      <formula>AND($AB$2&lt;&gt;"",$BM4=1)</formula>
    </cfRule>
  </conditionalFormatting>
  <conditionalFormatting sqref="AC4:AC40">
    <cfRule type="expression" priority="30" dxfId="3">
      <formula>AND($AC$2&lt;&gt;"",$BN4=1)</formula>
    </cfRule>
  </conditionalFormatting>
  <conditionalFormatting sqref="AD4:AD40">
    <cfRule type="expression" priority="31" dxfId="3">
      <formula>AND($AD$2&lt;&gt;"",$BO4=1)</formula>
    </cfRule>
  </conditionalFormatting>
  <conditionalFormatting sqref="AE4:AE40">
    <cfRule type="expression" priority="32" dxfId="3">
      <formula>AND($AE$2&lt;&gt;"",$BP4=1)</formula>
    </cfRule>
  </conditionalFormatting>
  <conditionalFormatting sqref="AF4:AF40">
    <cfRule type="expression" priority="33" dxfId="3">
      <formula>AND($AF$2&lt;&gt;"",$BQ4=1)</formula>
    </cfRule>
  </conditionalFormatting>
  <conditionalFormatting sqref="AG4:AG40">
    <cfRule type="expression" priority="34" dxfId="3">
      <formula>AND($AG$2&lt;&gt;"",$BR4=1)</formula>
    </cfRule>
  </conditionalFormatting>
  <conditionalFormatting sqref="AH4:AH40">
    <cfRule type="expression" priority="35" dxfId="3">
      <formula>AND($AH$2&lt;&gt;"",$BS4=1)</formula>
    </cfRule>
  </conditionalFormatting>
  <conditionalFormatting sqref="AE4:AE41">
    <cfRule type="cellIs" priority="36" operator="equal" dxfId="51">
      <formula>"SETTLED"</formula>
    </cfRule>
    <cfRule type="cellIs" priority="37" operator="equal" dxfId="52">
      <formula>"OUTSTANDING"</formula>
    </cfRule>
  </conditionalFormatting>
  <conditionalFormatting sqref="AD4:AD41">
    <cfRule type="cellIs" priority="38" operator="greaterThan" dxfId="52">
      <formula>5</formula>
    </cfRule>
  </conditionalFormatting>
  <dataValidations count="34">
    <dataValidation sqref="A2" showDropDown="0" showInputMessage="0" showErrorMessage="0" allowBlank="0" type="list">
      <formula1>SUGF_A</formula1>
      <formula2>0</formula2>
    </dataValidation>
    <dataValidation sqref="B2" showDropDown="0" showInputMessage="0" showErrorMessage="0" allowBlank="0" type="list">
      <formula1>SUGF_B</formula1>
      <formula2>0</formula2>
    </dataValidation>
    <dataValidation sqref="C2" showDropDown="0" showInputMessage="0" showErrorMessage="0" allowBlank="0" type="list">
      <formula1>SUGF_C</formula1>
      <formula2>0</formula2>
    </dataValidation>
    <dataValidation sqref="D2" showDropDown="0" showInputMessage="0" showErrorMessage="0" allowBlank="0" type="list">
      <formula1>SUGF_D</formula1>
      <formula2>0</formula2>
    </dataValidation>
    <dataValidation sqref="E2" showDropDown="0" showInputMessage="0" showErrorMessage="0" allowBlank="0" type="list">
      <formula1>SUGF_E</formula1>
      <formula2>0</formula2>
    </dataValidation>
    <dataValidation sqref="F2" showDropDown="0" showInputMessage="0" showErrorMessage="0" allowBlank="0" type="list">
      <formula1>SUGF_F</formula1>
      <formula2>0</formula2>
    </dataValidation>
    <dataValidation sqref="G2" showDropDown="0" showInputMessage="0" showErrorMessage="0" allowBlank="0" type="list">
      <formula1>SUGF_G</formula1>
      <formula2>0</formula2>
    </dataValidation>
    <dataValidation sqref="H2" showDropDown="0" showInputMessage="0" showErrorMessage="0" allowBlank="0" type="list">
      <formula1>SUGF_H</formula1>
      <formula2>0</formula2>
    </dataValidation>
    <dataValidation sqref="I2" showDropDown="0" showInputMessage="0" showErrorMessage="0" allowBlank="0" type="list">
      <formula1>SUGF_I</formula1>
      <formula2>0</formula2>
    </dataValidation>
    <dataValidation sqref="J2" showDropDown="0" showInputMessage="0" showErrorMessage="0" allowBlank="0" type="list">
      <formula1>SUGF_J</formula1>
      <formula2>0</formula2>
    </dataValidation>
    <dataValidation sqref="K2" showDropDown="0" showInputMessage="0" showErrorMessage="0" allowBlank="0" type="list">
      <formula1>SUGF_K</formula1>
      <formula2>0</formula2>
    </dataValidation>
    <dataValidation sqref="L2" showDropDown="0" showInputMessage="0" showErrorMessage="0" allowBlank="0" type="list">
      <formula1>SUGF_L</formula1>
      <formula2>0</formula2>
    </dataValidation>
    <dataValidation sqref="M2" showDropDown="0" showInputMessage="0" showErrorMessage="0" allowBlank="0" type="list">
      <formula1>SUGF_M</formula1>
      <formula2>0</formula2>
    </dataValidation>
    <dataValidation sqref="N2" showDropDown="0" showInputMessage="0" showErrorMessage="0" allowBlank="0" type="list">
      <formula1>SUGF_N</formula1>
      <formula2>0</formula2>
    </dataValidation>
    <dataValidation sqref="O2" showDropDown="0" showInputMessage="0" showErrorMessage="0" allowBlank="0" type="list">
      <formula1>SUGF_O</formula1>
      <formula2>0</formula2>
    </dataValidation>
    <dataValidation sqref="P2" showDropDown="0" showInputMessage="0" showErrorMessage="0" allowBlank="0" type="list">
      <formula1>SUGF_P</formula1>
      <formula2>0</formula2>
    </dataValidation>
    <dataValidation sqref="Q2" showDropDown="0" showInputMessage="0" showErrorMessage="0" allowBlank="0" type="list">
      <formula1>SUGF_Q</formula1>
      <formula2>0</formula2>
    </dataValidation>
    <dataValidation sqref="R2" showDropDown="0" showInputMessage="0" showErrorMessage="0" allowBlank="0" type="list">
      <formula1>SUGF_R</formula1>
      <formula2>0</formula2>
    </dataValidation>
    <dataValidation sqref="S2" showDropDown="0" showInputMessage="0" showErrorMessage="0" allowBlank="0" type="list">
      <formula1>SUGF_S</formula1>
      <formula2>0</formula2>
    </dataValidation>
    <dataValidation sqref="T2" showDropDown="0" showInputMessage="0" showErrorMessage="0" allowBlank="0" type="list">
      <formula1>SUGF_T</formula1>
      <formula2>0</formula2>
    </dataValidation>
    <dataValidation sqref="U2" showDropDown="0" showInputMessage="0" showErrorMessage="0" allowBlank="0" type="list">
      <formula1>SUGF_U</formula1>
      <formula2>0</formula2>
    </dataValidation>
    <dataValidation sqref="V2" showDropDown="0" showInputMessage="0" showErrorMessage="0" allowBlank="0" type="list">
      <formula1>SUGF_V</formula1>
      <formula2>0</formula2>
    </dataValidation>
    <dataValidation sqref="W2" showDropDown="0" showInputMessage="0" showErrorMessage="0" allowBlank="0" type="list">
      <formula1>SUGF_W</formula1>
      <formula2>0</formula2>
    </dataValidation>
    <dataValidation sqref="X2" showDropDown="0" showInputMessage="0" showErrorMessage="0" allowBlank="0" type="list">
      <formula1>SUGF_X</formula1>
      <formula2>0</formula2>
    </dataValidation>
    <dataValidation sqref="Y2" showDropDown="0" showInputMessage="0" showErrorMessage="0" allowBlank="0" type="list">
      <formula1>SUGF_Y</formula1>
      <formula2>0</formula2>
    </dataValidation>
    <dataValidation sqref="Z2" showDropDown="0" showInputMessage="0" showErrorMessage="0" allowBlank="0" type="list">
      <formula1>SUGF_Z</formula1>
      <formula2>0</formula2>
    </dataValidation>
    <dataValidation sqref="AA2" showDropDown="0" showInputMessage="0" showErrorMessage="0" allowBlank="0" type="list">
      <formula1>SUGF_AA</formula1>
      <formula2>0</formula2>
    </dataValidation>
    <dataValidation sqref="AB2" showDropDown="0" showInputMessage="0" showErrorMessage="0" allowBlank="0" type="list">
      <formula1>SUGF_AB</formula1>
      <formula2>0</formula2>
    </dataValidation>
    <dataValidation sqref="AC2" showDropDown="0" showInputMessage="0" showErrorMessage="0" allowBlank="0" type="list">
      <formula1>SUGF_AC</formula1>
      <formula2>0</formula2>
    </dataValidation>
    <dataValidation sqref="AD2" showDropDown="0" showInputMessage="0" showErrorMessage="0" allowBlank="0" type="list">
      <formula1>SUGF_AD</formula1>
      <formula2>0</formula2>
    </dataValidation>
    <dataValidation sqref="AE2" showDropDown="0" showInputMessage="0" showErrorMessage="0" allowBlank="0" type="list">
      <formula1>SUGF_AE</formula1>
      <formula2>0</formula2>
    </dataValidation>
    <dataValidation sqref="AF2" showDropDown="0" showInputMessage="0" showErrorMessage="0" allowBlank="0" type="list">
      <formula1>SUGF_AF</formula1>
      <formula2>0</formula2>
    </dataValidation>
    <dataValidation sqref="AG2" showDropDown="0" showInputMessage="0" showErrorMessage="0" allowBlank="0" type="list">
      <formula1>SUGF_AG</formula1>
      <formula2>0</formula2>
    </dataValidation>
    <dataValidation sqref="AH2" showDropDown="0" showInputMessage="0" showErrorMessage="0" allowBlank="0" type="list">
      <formula1>SUGF_AH</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codeName="Sheet2">
    <tabColor rgb="FF00B0F0"/>
    <outlinePr summaryBelow="1" summaryRight="1"/>
    <pageSetUpPr fitToPage="1"/>
  </sheetPr>
  <dimension ref="A1:CU54"/>
  <sheetViews>
    <sheetView showGridLines="0" tabSelected="1" zoomScaleNormal="100" workbookViewId="0">
      <pane xSplit="2" ySplit="5" topLeftCell="C6" activePane="bottomRight" state="frozen"/>
      <selection pane="topRight" activeCell="C1" sqref="C1"/>
      <selection pane="bottomLeft" activeCell="A6" sqref="A6"/>
      <selection pane="bottomRight" activeCell="D18" sqref="D18"/>
    </sheetView>
  </sheetViews>
  <sheetFormatPr baseColWidth="8" defaultColWidth="8.7109375" defaultRowHeight="15"/>
  <cols>
    <col hidden="1" width="14.85546875" customWidth="1" style="137" min="1" max="1"/>
    <col width="10" customWidth="1" style="137" min="2" max="2"/>
    <col width="30" customWidth="1" style="137" min="3" max="3"/>
    <col outlineLevel="1" width="42" customWidth="1" style="137" min="4" max="4"/>
    <col outlineLevel="1" width="11.7109375" customWidth="1" style="137" min="5" max="5"/>
    <col outlineLevel="1" width="12" customWidth="1" style="137" min="6" max="6"/>
    <col outlineLevel="1" width="11" customWidth="1" style="137" min="7" max="7"/>
    <col outlineLevel="1" width="8.85546875" customWidth="1" style="137" min="8" max="8"/>
    <col width="10.28515625" customWidth="1" style="137" min="9" max="9"/>
    <col outlineLevel="1" width="8.85546875" customWidth="1" style="137" min="10" max="10"/>
    <col outlineLevel="1" width="13.42578125" customWidth="1" style="137" min="11" max="16"/>
    <col width="13.42578125" customWidth="1" style="137" min="17" max="17"/>
    <col outlineLevel="1" width="13.42578125" customWidth="1" style="137" min="18" max="18"/>
    <col width="13.42578125" customWidth="1" style="137" min="19" max="20"/>
    <col outlineLevel="1" width="13.42578125" customWidth="1" style="137" min="21" max="21"/>
    <col width="13.42578125" customWidth="1" style="137" min="22" max="34"/>
    <col width="13" customWidth="1" style="137" min="32" max="32"/>
    <col width="13" customWidth="1" style="137" min="33" max="33"/>
    <col width="13" customWidth="1" style="137" min="34" max="34"/>
    <col width="13" customWidth="1" style="137" min="35" max="35"/>
    <col width="38" customWidth="1" style="137" min="36" max="36"/>
    <col hidden="1" width="12" customWidth="1" style="137" min="37" max="99"/>
  </cols>
  <sheetData>
    <row r="1" ht="30" customHeight="1" s="137">
      <c r="A1" s="142" t="inlineStr">
        <is>
          <t>MSTC LIMITED  •  LIVE SEARCH   (results grouped by the value you typed, each group totalled, TOTAL MATCHED beneath them, the misses greyed in a REMAINING block, a GRAND TOTAL of both at the foot)</t>
        </is>
      </c>
    </row>
    <row r="2" ht="43.5" customHeight="1" s="137">
      <c r="A2" s="143"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 CASCADING DROPDOWNS — every yellow column dropdown (A4:AI4) narrows to values still possible given your other search cells and the search box; pick a buyer and Lot No. only shows that buyer’s lots, and so on. Clear a cell to widen its list again. Buyer Groups has the same cascading behaviour on its SEARCH row.</t>
        </is>
      </c>
    </row>
    <row r="3" ht="30" customHeight="1" s="137">
      <c r="A3" s="59" t="inlineStr">
        <is>
          <t>🔍  SEARCH  ▸</t>
        </is>
      </c>
      <c r="B3" s="144" t="n"/>
      <c r="C3" s="60" t="inlineStr">
        <is>
          <t>BUYER 2  ▸</t>
        </is>
      </c>
      <c r="D3" s="61"/>
      <c r="E3" s="60" t="inlineStr">
        <is>
          <t>SEARCH IN  ▸</t>
        </is>
      </c>
      <c r="F3" s="61" t="inlineStr">
        <is>
          <t>Lot No. + Buyer + Name</t>
        </is>
      </c>
      <c r="G3" s="60" t="inlineStr">
        <is>
          <t>MATCHES  ▸</t>
        </is>
      </c>
      <c r="H3" s="62">
        <f>SUM($AM$5:$AM$41)&amp;" of 37"</f>
        <v/>
      </c>
      <c r="I3" s="145">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c r="CW3">
        <f>$C$4&amp;IF($D$3&lt;&gt;"",",","")&amp;$D$3</f>
      </c>
    </row>
    <row r="4" ht="30" customHeight="1" s="13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3.5" customHeight="1" s="137">
      <c r="A5" s="64" t="inlineStr">
        <is>
          <t>#</t>
        </is>
      </c>
      <c r="B5" s="64" t="inlineStr">
        <is>
          <t>Lot No.</t>
        </is>
      </c>
      <c r="C5" s="64" t="inlineStr">
        <is>
          <t>Buyer</t>
        </is>
      </c>
      <c r="D5" s="64" t="inlineStr">
        <is>
          <t>Lot Name</t>
        </is>
      </c>
      <c r="E5" s="64" t="inlineStr">
        <is>
          <t>Bid Sheet</t>
        </is>
      </c>
      <c r="F5" s="64" t="inlineStr">
        <is>
          <t>Quantity</t>
        </is>
      </c>
      <c r="G5" s="64" t="inlineStr">
        <is>
          <t>Unit</t>
        </is>
      </c>
      <c r="H5" s="64" t="inlineStr">
        <is>
          <t>Rate</t>
        </is>
      </c>
      <c r="I5" s="64" t="inlineStr">
        <is>
          <t>Mat. Value</t>
        </is>
      </c>
      <c r="J5" s="64" t="inlineStr">
        <is>
          <t>GST</t>
        </is>
      </c>
      <c r="K5" s="64" t="inlineStr">
        <is>
          <t>Mat. Value + GST</t>
        </is>
      </c>
      <c r="L5" s="64" t="inlineStr">
        <is>
          <t>TCS</t>
        </is>
      </c>
      <c r="M5" s="64" t="inlineStr">
        <is>
          <t>TDS u/s 194(O)</t>
        </is>
      </c>
      <c r="N5" s="64" t="inlineStr">
        <is>
          <t>Service Charge to MSTC</t>
        </is>
      </c>
      <c r="O5" s="64" t="inlineStr">
        <is>
          <t>TDS u/s 194(H)</t>
        </is>
      </c>
      <c r="P5" s="64" t="inlineStr">
        <is>
          <t>Net Service Charge (post TDS 194H)</t>
        </is>
      </c>
      <c r="Q5" s="64" t="inlineStr">
        <is>
          <t>Service charge to MSTC</t>
        </is>
      </c>
      <c r="R5" s="64" t="inlineStr">
        <is>
          <t>GST TDS Rate</t>
        </is>
      </c>
      <c r="S5" s="64" t="inlineStr">
        <is>
          <t>GST TDS</t>
        </is>
      </c>
      <c r="T5" s="64" t="inlineStr">
        <is>
          <t>Total Receivables in Cash</t>
        </is>
      </c>
      <c r="U5" s="64" t="inlineStr">
        <is>
          <t>Security Deposit (Expected)</t>
        </is>
      </c>
      <c r="V5" s="64" t="inlineStr">
        <is>
          <t>Security Deposit (Received)</t>
        </is>
      </c>
      <c r="W5" s="64" t="inlineStr">
        <is>
          <t>Date of Receipt (col V)</t>
        </is>
      </c>
      <c r="X5" s="64" t="inlineStr">
        <is>
          <t>Final Payment (Expected)</t>
        </is>
      </c>
      <c r="Y5" s="64" t="inlineStr">
        <is>
          <t>Final Payment (Received)</t>
        </is>
      </c>
      <c r="Z5" s="64" t="inlineStr">
        <is>
          <t>Date of Receipt (col Y)</t>
        </is>
      </c>
      <c r="AA5" s="64" t="inlineStr">
        <is>
          <t>LPP Expected</t>
        </is>
      </c>
      <c r="AB5" s="64" t="inlineStr">
        <is>
          <t>LPP Received</t>
        </is>
      </c>
      <c r="AC5" s="64" t="inlineStr">
        <is>
          <t>Date of Recepit of LPP</t>
        </is>
      </c>
      <c r="AD5" s="64" t="inlineStr">
        <is>
          <t>Total Received</t>
        </is>
      </c>
      <c r="AE5" s="64" t="inlineStr">
        <is>
          <t>Outstanding</t>
        </is>
      </c>
      <c r="AF5" s="64" t="inlineStr">
        <is>
          <t>Payment Status</t>
        </is>
      </c>
      <c r="AG5" s="64" t="inlineStr">
        <is>
          <t>Invoice No.</t>
        </is>
      </c>
      <c r="AH5" s="64" t="inlineStr">
        <is>
          <t>SAP Document</t>
        </is>
      </c>
      <c r="AI5" s="64" t="inlineStr">
        <is>
          <t>Doc./Invoice Date</t>
        </is>
      </c>
      <c r="AJ5" s="65">
        <f>IF($B$3="",IF(ROW()=5,"— type above —",""),IF(ROW()-4&gt;AL$41,"",INDEX('Final Calculation Sheet'!$F$4:$F$40,MATCH(ROW()-4,$AL$5:$AL$41,0))&amp;" — "&amp;INDEX('Final Calculation Sheet'!$G$4:$G$40,MATCH(ROW()-4,$AL$5:$AL$41,0))))</f>
        <v/>
      </c>
      <c r="AK5" s="66">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s="66">
        <f>IF($B$3="",0,--(SUMPRODUCT(--($AR$6:$AY$6&lt;&gt;""),--ISNUMBER(SEARCH($AR$6:$AY$6,$AK5)))&gt;0))</f>
        <v/>
      </c>
      <c r="AM5" s="66">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N5" s="66" t="n"/>
      <c r="AO5" s="66" t="inlineStr">
        <is>
          <t>Lot No.</t>
        </is>
      </c>
      <c r="AP5" s="66" t="n"/>
      <c r="AQ5" s="66" t="n"/>
      <c r="AR5" s="66">
        <f>IF($AR$4="",99999,MIN(IFERROR(FIND(",",$AR$4),99999),IFERROR(FIND("+",$AR$4),99999)))</f>
        <v/>
      </c>
      <c r="AS5" s="66">
        <f>IF($AS$4="",99999,MIN(IFERROR(FIND(",",$AS$4),99999),IFERROR(FIND("+",$AS$4),99999)))</f>
        <v/>
      </c>
      <c r="AT5" s="66">
        <f>IF($AT$4="",99999,MIN(IFERROR(FIND(",",$AT$4),99999),IFERROR(FIND("+",$AT$4),99999)))</f>
        <v/>
      </c>
      <c r="AU5" s="66">
        <f>IF($AU$4="",99999,MIN(IFERROR(FIND(",",$AU$4),99999),IFERROR(FIND("+",$AU$4),99999)))</f>
        <v/>
      </c>
      <c r="AV5" s="66">
        <f>IF($AV$4="",99999,MIN(IFERROR(FIND(",",$AV$4),99999),IFERROR(FIND("+",$AV$4),99999)))</f>
        <v/>
      </c>
      <c r="AW5" s="66">
        <f>IF($AW$4="",99999,MIN(IFERROR(FIND(",",$AW$4),99999),IFERROR(FIND("+",$AW$4),99999)))</f>
        <v/>
      </c>
      <c r="AX5" s="66">
        <f>IF($AX$4="",99999,MIN(IFERROR(FIND(",",$AX$4),99999),IFERROR(FIND("+",$AX$4),99999)))</f>
        <v/>
      </c>
      <c r="AY5" s="66">
        <f>IF($AY$4="",99999,MIN(IFERROR(FIND(",",$AY$4),99999),IFERROR(FIND("+",$AY$4),99999)))</f>
        <v/>
      </c>
      <c r="AZ5" s="66">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s="66">
        <f>SUMPRODUCT(($AZ$5:$AZ$41=$AZ5)*($BC$5:$BC$41&lt;$BC5))+1</f>
        <v/>
      </c>
      <c r="BB5" s="66">
        <f>IF(INDEX($BF$4:$BF$13,$AZ5)=0,0,INDEX($BE$4:$BE$13,$AZ5)+$BA5-1)</f>
        <v/>
      </c>
      <c r="BC5" s="66" t="n">
        <v>4</v>
      </c>
      <c r="BD5" s="66">
        <f>COUNTIF($AZ$5:$AZ$41,2)</f>
        <v/>
      </c>
      <c r="BE5" s="66">
        <f>IF($BD4=0,$BE4,$BF4+1)</f>
        <v/>
      </c>
      <c r="BF5" s="66">
        <f>IF($BD5=0,0,$BE5+$BD5)</f>
        <v/>
      </c>
      <c r="BG5" s="66">
        <f>IF($BD13=0,$BE13,$BF13+1)</f>
        <v/>
      </c>
      <c r="BH5" s="66">
        <f>IFERROR(MATCH(5,$BF$4:$BF$13,0),0)</f>
        <v/>
      </c>
      <c r="BI5" s="66">
        <f>IF(5=$BG$5,1,0)</f>
        <v/>
      </c>
      <c r="BJ5" s="66">
        <f>IF(OR($BH5&gt;0,$BI5=1,$BL5=1),0,IFERROR(INDEX($BC$5:$BC$41,MATCH(5,$BB$5:$BB$41,0)),0))</f>
        <v/>
      </c>
      <c r="BK5" s="66">
        <f>IF($BJ5&gt;0,IF(INDEX($AZ$5:$AZ$41,MATCH(5,$BB$5:$BB$41,0))=10,1,0),IF($BH5=10,1,0))</f>
        <v/>
      </c>
      <c r="BL5" s="66">
        <f>IF(5=$BG$4,1,0)</f>
        <v/>
      </c>
      <c r="BM5" s="6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s="66">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s="66">
        <f>IF($CW$3="",1,--(OR(SUMPRODUCT(--(TRIM(MID(SUBSTITUTE(SUBSTITUTE($CW$3,"/",","),",",REPT(" ",99)),(ROW($1:$8)-1)*99+1,99))&lt;&gt;""),--ISNUMBER(SEARCH(TRIM(MID(SUBSTITUTE(SUBSTITUTE($CW$3,"/",","),",",REPT(" ",99)),(ROW($1:$8)-1)*99+1,99)),IFERROR(('Final Calculation Sheet'!$G$4)&amp;"",""))))&gt;0,AND(ISNUMBER(SEARCH("blank",$CW$3)),NOT(ISNUMBER(SEARCH("nonblank",$CW$3))),IFERROR(('Final Calculation Sheet'!$G$4)&amp;"","")=""),AND(OR(ISNUMBER(SEARCH("nonblank",$CW$3)),ISNUMBER(SEARCH("&lt;&gt;",$CW$3))),IFERROR(('Final Calculation Sheet'!$G$4)&amp;"","")&lt;&gt;""),AND(TRIM($CW$3)="",IFERROR(('Final Calculation Sheet'!$G$4)&amp;"","")=""))))</f>
        <v/>
      </c>
      <c r="BP5" s="66">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s="66">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s="66">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s="66">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s="66">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s="66">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s="66">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s="66">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s="66">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s="66">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s="66">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s="66">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s="66">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s="66">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s="66">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s="66">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s="66">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s="66">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s="66">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s="66">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s="66">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s="66">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s="66">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s="66">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s="66">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s="66">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s="66">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s="66">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s="66">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S5" s="66">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T5" s="66">
        <f>IF($AI$4="",1,--(OR(SUMPRODUCT(--(TRIM(MID(SUBSTITUTE(SUBSTITUTE($AI$4,"/",","),",",REPT(" ",99)),(ROW($1:$8)-1)*99+1,99))&lt;&gt;""),--ISNUMBER(SEARCH(TRIM(MID(SUBSTITUTE(SUBSTITUTE($AI$4,"/",","),",",REPT(" ",99)),(ROW($1:$8)-1)*99+1,99)),IFERROR(('Final Calculation Sheet'!$AH$4)&amp;"",""))))&gt;0,AND(ISNUMBER(SEARCH("blank",$AI$4)),NOT(ISNUMBER(SEARCH("nonblank",$AI$4))),IFERROR(('Final Calculation Sheet'!$AH$4)&amp;"","")=""),AND(OR(ISNUMBER(SEARCH("nonblank",$AI$4)),ISNUMBER(SEARCH("&lt;&gt;",$AI$4))),IFERROR(('Final Calculation Sheet'!$AH$4)&amp;"","")&lt;&gt;""),AND(TRIM($AI$4)="",IFERROR(('Final Calculation Sheet'!$AH$4)&amp;"","")=""))))</f>
        <v/>
      </c>
      <c r="CU5" s="66">
        <f>IF($AF$4="",1,--(OR(SUMPRODUCT(--(TRIM(MID(SUBSTITUTE(SUBSTITUTE($AF$4,"/",","),",",REPT(" ",99)),(ROW($1:$8)-1)*99+1,99))&lt;&gt;""),--ISNUMBER(SEARCH(TRIM(MID(SUBSTITUTE(SUBSTITUTE($AF$4,"/",","),",",REPT(" ",99)),(ROW($1:$8)-1)*99+1,99)),IFERROR((IF('Final Calculation Sheet'!$AD$4&lt;=5,"SETTLED","OUTSTANDING"))&amp;"",""))))&gt;0,AND(ISNUMBER(SEARCH("blank",$AF$4)),NOT(ISNUMBER(SEARCH("nonblank",$AF$4))),IFERROR((IF('Final Calculation Sheet'!$AD$4&lt;=5,"SETTLED","OUTSTANDING"))&amp;"","")=""),AND(OR(ISNUMBER(SEARCH("nonblank",$AF$4)),ISNUMBER(SEARCH("&lt;&gt;",$AF$4))),IFERROR((IF('Final Calculation Sheet'!$AD$4&lt;=5,"SETTLED","OUTSTANDING"))&amp;"","")&lt;&gt;""),AND(TRIM($AF$4)="",IFERROR((IF('Final Calculation Sheet'!$AD$4&lt;=5,"SETTLED","OUTSTANDING"))&amp;"","")=""))))</f>
        <v/>
      </c>
    </row>
    <row r="6" ht="15" customHeight="1" s="137">
      <c r="A6" s="67">
        <f>IF($BJ5&gt;0,INDEX($BA$5:$BA$41,MATCH(5,$BB$5:$BB$41,0)),IF(OR($BI5=1,$BL5=1,$BH5&gt;0),"∑",""))</f>
        <v/>
      </c>
      <c r="B6" s="76">
        <f>IF($BJ5&gt;0,IF(INDEX('Final Calculation Sheet'!$F$4:$F$40,$BJ5-3)="","",INDEX('Final Calculation Sheet'!$F$4:$F$40,$BJ5-3)),"")</f>
        <v/>
      </c>
      <c r="C6" s="76">
        <f>IF($BJ5&gt;0,IF(INDEX('Final Calculation Sheet'!$G$4:$G$40,$BJ5-3)="","",INDEX('Final Calculation Sheet'!$G$4:$G$40,$BJ5-3)),IF(OR($BI5=1,$BL5=1,$BH5&gt;0),IF($BI5=1,37,IF($BL5=1,37-INDEX($BD$4:$BD$13,10),INDEX($BD$4:$BD$13,$BH5)))&amp;" lot(s)",""))</f>
        <v/>
      </c>
      <c r="D6" s="80">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80">
        <f>IF($BJ5&gt;0,IF(INDEX('Final Calculation Sheet'!$D$4:$D$40,$BJ5-3)="","",INDEX('Final Calculation Sheet'!$D$4:$D$40,$BJ5-3)),IF(OR($BI5=1,$BL5=1,$BH5&gt;0),"–",""))</f>
        <v/>
      </c>
      <c r="F6" s="80">
        <f>IF($BJ5&gt;0,IF(INDEX('Final Calculation Sheet'!$A$4:$A$40,$BJ5-3)="","",INDEX('Final Calculation Sheet'!$A$4:$A$40,$BJ5-3)),IF(OR($BI5=1,$BL5=1,$BH5&gt;0),IF($BI5=1,SUM('Final Calculation Sheet'!$A$4:$A$40),IF($BL5=1,SUM('Final Calculation Sheet'!$A$4:$A$40)-SUMIFS('Final Calculation Sheet'!$A$4:$A$40,$AZ$5:$AZ$41,10),SUMIFS('Final Calculation Sheet'!$A$4:$A$40,$AZ$5:$AZ$41,$BH5))),""))</f>
        <v/>
      </c>
      <c r="G6" s="80">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G6" s="70">
        <f>IF($BJ5&gt;0,IF(INDEX('Final Calculation Sheet'!$AF$4:$AF$40,$BJ5-3)="","",INDEX('Final Calculation Sheet'!$AF$4:$AF$40,$BJ5-3)),IF(OR($BI5=1,$BL5=1,$BH5&gt;0),"–",""))</f>
        <v/>
      </c>
      <c r="AH6" s="74">
        <f>IF($BJ5&gt;0,IF(INDEX('Final Calculation Sheet'!$AG$4:$AG$40,$BJ5-3)="","",INDEX('Final Calculation Sheet'!$AG$4:$AG$40,$BJ5-3)),IF(OR($BI5=1,$BL5=1,$BH5&gt;0),"–",""))</f>
        <v/>
      </c>
      <c r="AI6" s="70">
        <f>IF($BJ5&gt;0,IF(INDEX('Final Calculation Sheet'!$AH$4:$AH$40,$BJ5-3)="","",INDEX('Final Calculation Sheet'!$AH$4:$AH$40,$BJ5-3)),IF(OR($BI5=1,$BL5=1,$BH5&gt;0),"–",""))</f>
        <v/>
      </c>
      <c r="AJ6" s="76">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IF($CW$3="",1,--(OR(SUMPRODUCT(--(TRIM(MID(SUBSTITUTE(SUBSTITUTE($CW$3,"/",","),",",REPT(" ",99)),(ROW($1:$8)-1)*99+1,99))&lt;&gt;""),--ISNUMBER(SEARCH(TRIM(MID(SUBSTITUTE(SUBSTITUTE($CW$3,"/",","),",",REPT(" ",99)),(ROW($1:$8)-1)*99+1,99)),IFERROR(('Final Calculation Sheet'!$G$5)&amp;"",""))))&gt;0,AND(ISNUMBER(SEARCH("blank",$CW$3)),NOT(ISNUMBER(SEARCH("nonblank",$CW$3))),IFERROR(('Final Calculation Sheet'!$G$5)&amp;"","")=""),AND(OR(ISNUMBER(SEARCH("nonblank",$CW$3)),ISNUMBER(SEARCH("&lt;&gt;",$CW$3))),IFERROR(('Final Calculation Sheet'!$G$5)&amp;"","")&lt;&gt;""),AND(TRIM($CW$3)="",IFERROR(('Final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S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T6">
        <f>IF($AI$4="",1,--(OR(SUMPRODUCT(--(TRIM(MID(SUBSTITUTE(SUBSTITUTE($AI$4,"/",","),",",REPT(" ",99)),(ROW($1:$8)-1)*99+1,99))&lt;&gt;""),--ISNUMBER(SEARCH(TRIM(MID(SUBSTITUTE(SUBSTITUTE($AI$4,"/",","),",",REPT(" ",99)),(ROW($1:$8)-1)*99+1,99)),IFERROR(('Final Calculation Sheet'!$AH$5)&amp;"",""))))&gt;0,AND(ISNUMBER(SEARCH("blank",$AI$4)),NOT(ISNUMBER(SEARCH("nonblank",$AI$4))),IFERROR(('Final Calculation Sheet'!$AH$5)&amp;"","")=""),AND(OR(ISNUMBER(SEARCH("nonblank",$AI$4)),ISNUMBER(SEARCH("&lt;&gt;",$AI$4))),IFERROR(('Final Calculation Sheet'!$AH$5)&amp;"","")&lt;&gt;""),AND(TRIM($AI$4)="",IFERROR(('Final Calculation Sheet'!$AH$5)&amp;"","")=""))))</f>
        <v/>
      </c>
      <c r="CU6">
        <f>IF($AF$4="",1,--(OR(SUMPRODUCT(--(TRIM(MID(SUBSTITUTE(SUBSTITUTE($AF$4,"/",","),",",REPT(" ",99)),(ROW($1:$8)-1)*99+1,99))&lt;&gt;""),--ISNUMBER(SEARCH(TRIM(MID(SUBSTITUTE(SUBSTITUTE($AF$4,"/",","),",",REPT(" ",99)),(ROW($1:$8)-1)*99+1,99)),IFERROR((IF('Final Calculation Sheet'!$AD$5&lt;=5,"SETTLED","OUTSTANDING"))&amp;"",""))))&gt;0,AND(ISNUMBER(SEARCH("blank",$AF$4)),NOT(ISNUMBER(SEARCH("nonblank",$AF$4))),IFERROR((IF('Final Calculation Sheet'!$AD$5&lt;=5,"SETTLED","OUTSTANDING"))&amp;"","")=""),AND(OR(ISNUMBER(SEARCH("nonblank",$AF$4)),ISNUMBER(SEARCH("&lt;&gt;",$AF$4))),IFERROR((IF('Final Calculation Sheet'!$AD$5&lt;=5,"SETTLED","OUTSTANDING"))&amp;"","")&lt;&gt;""),AND(TRIM($AF$4)="",IFERROR((IF('Final Calculation Sheet'!$AD$5&lt;=5,"SETTLED","OUTSTANDING"))&amp;"","")=""))))</f>
        <v/>
      </c>
    </row>
    <row r="7" ht="15" customHeight="1" s="137">
      <c r="A7" s="67">
        <f>IF($BJ6&gt;0,INDEX($BA$5:$BA$41,MATCH(6,$BB$5:$BB$41,0)),IF(OR($BI6=1,$BL6=1,$BH6&gt;0),"∑",""))</f>
        <v/>
      </c>
      <c r="B7" s="76">
        <f>IF($BJ6&gt;0,IF(INDEX('Final Calculation Sheet'!$F$4:$F$40,$BJ6-3)="","",INDEX('Final Calculation Sheet'!$F$4:$F$40,$BJ6-3)),"")</f>
        <v/>
      </c>
      <c r="C7" s="76">
        <f>IF($BJ6&gt;0,IF(INDEX('Final Calculation Sheet'!$G$4:$G$40,$BJ6-3)="","",INDEX('Final Calculation Sheet'!$G$4:$G$40,$BJ6-3)),IF(OR($BI6=1,$BL6=1,$BH6&gt;0),IF($BI6=1,37,IF($BL6=1,37-INDEX($BD$4:$BD$13,10),INDEX($BD$4:$BD$13,$BH6)))&amp;" lot(s)",""))</f>
        <v/>
      </c>
      <c r="D7" s="80">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80">
        <f>IF($BJ6&gt;0,IF(INDEX('Final Calculation Sheet'!$D$4:$D$40,$BJ6-3)="","",INDEX('Final Calculation Sheet'!$D$4:$D$40,$BJ6-3)),IF(OR($BI6=1,$BL6=1,$BH6&gt;0),"–",""))</f>
        <v/>
      </c>
      <c r="F7" s="80">
        <f>IF($BJ6&gt;0,IF(INDEX('Final Calculation Sheet'!$A$4:$A$40,$BJ6-3)="","",INDEX('Final Calculation Sheet'!$A$4:$A$40,$BJ6-3)),IF(OR($BI6=1,$BL6=1,$BH6&gt;0),IF($BI6=1,SUM('Final Calculation Sheet'!$A$4:$A$40),IF($BL6=1,SUM('Final Calculation Sheet'!$A$4:$A$40)-SUMIFS('Final Calculation Sheet'!$A$4:$A$40,$AZ$5:$AZ$41,10),SUMIFS('Final Calculation Sheet'!$A$4:$A$40,$AZ$5:$AZ$41,$BH6))),""))</f>
        <v/>
      </c>
      <c r="G7" s="80">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G7" s="70">
        <f>IF($BJ6&gt;0,IF(INDEX('Final Calculation Sheet'!$AF$4:$AF$40,$BJ6-3)="","",INDEX('Final Calculation Sheet'!$AF$4:$AF$40,$BJ6-3)),IF(OR($BI6=1,$BL6=1,$BH6&gt;0),"–",""))</f>
        <v/>
      </c>
      <c r="AH7" s="74">
        <f>IF($BJ6&gt;0,IF(INDEX('Final Calculation Sheet'!$AG$4:$AG$40,$BJ6-3)="","",INDEX('Final Calculation Sheet'!$AG$4:$AG$40,$BJ6-3)),IF(OR($BI6=1,$BL6=1,$BH6&gt;0),"–",""))</f>
        <v/>
      </c>
      <c r="AI7" s="70">
        <f>IF($BJ6&gt;0,IF(INDEX('Final Calculation Sheet'!$AH$4:$AH$40,$BJ6-3)="","",INDEX('Final Calculation Sheet'!$AH$4:$AH$40,$BJ6-3)),IF(OR($BI6=1,$BL6=1,$BH6&gt;0),"–",""))</f>
        <v/>
      </c>
      <c r="AJ7" s="76">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IF($CW$3="",1,--(OR(SUMPRODUCT(--(TRIM(MID(SUBSTITUTE(SUBSTITUTE($CW$3,"/",","),",",REPT(" ",99)),(ROW($1:$8)-1)*99+1,99))&lt;&gt;""),--ISNUMBER(SEARCH(TRIM(MID(SUBSTITUTE(SUBSTITUTE($CW$3,"/",","),",",REPT(" ",99)),(ROW($1:$8)-1)*99+1,99)),IFERROR(('Final Calculation Sheet'!$G$6)&amp;"",""))))&gt;0,AND(ISNUMBER(SEARCH("blank",$CW$3)),NOT(ISNUMBER(SEARCH("nonblank",$CW$3))),IFERROR(('Final Calculation Sheet'!$G$6)&amp;"","")=""),AND(OR(ISNUMBER(SEARCH("nonblank",$CW$3)),ISNUMBER(SEARCH("&lt;&gt;",$CW$3))),IFERROR(('Final Calculation Sheet'!$G$6)&amp;"","")&lt;&gt;""),AND(TRIM($CW$3)="",IFERROR(('Final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S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T7">
        <f>IF($AI$4="",1,--(OR(SUMPRODUCT(--(TRIM(MID(SUBSTITUTE(SUBSTITUTE($AI$4,"/",","),",",REPT(" ",99)),(ROW($1:$8)-1)*99+1,99))&lt;&gt;""),--ISNUMBER(SEARCH(TRIM(MID(SUBSTITUTE(SUBSTITUTE($AI$4,"/",","),",",REPT(" ",99)),(ROW($1:$8)-1)*99+1,99)),IFERROR(('Final Calculation Sheet'!$AH$6)&amp;"",""))))&gt;0,AND(ISNUMBER(SEARCH("blank",$AI$4)),NOT(ISNUMBER(SEARCH("nonblank",$AI$4))),IFERROR(('Final Calculation Sheet'!$AH$6)&amp;"","")=""),AND(OR(ISNUMBER(SEARCH("nonblank",$AI$4)),ISNUMBER(SEARCH("&lt;&gt;",$AI$4))),IFERROR(('Final Calculation Sheet'!$AH$6)&amp;"","")&lt;&gt;""),AND(TRIM($AI$4)="",IFERROR(('Final Calculation Sheet'!$AH$6)&amp;"","")=""))))</f>
        <v/>
      </c>
      <c r="CU7">
        <f>IF($AF$4="",1,--(OR(SUMPRODUCT(--(TRIM(MID(SUBSTITUTE(SUBSTITUTE($AF$4,"/",","),",",REPT(" ",99)),(ROW($1:$8)-1)*99+1,99))&lt;&gt;""),--ISNUMBER(SEARCH(TRIM(MID(SUBSTITUTE(SUBSTITUTE($AF$4,"/",","),",",REPT(" ",99)),(ROW($1:$8)-1)*99+1,99)),IFERROR((IF('Final Calculation Sheet'!$AD$6&lt;=5,"SETTLED","OUTSTANDING"))&amp;"",""))))&gt;0,AND(ISNUMBER(SEARCH("blank",$AF$4)),NOT(ISNUMBER(SEARCH("nonblank",$AF$4))),IFERROR((IF('Final Calculation Sheet'!$AD$6&lt;=5,"SETTLED","OUTSTANDING"))&amp;"","")=""),AND(OR(ISNUMBER(SEARCH("nonblank",$AF$4)),ISNUMBER(SEARCH("&lt;&gt;",$AF$4))),IFERROR((IF('Final Calculation Sheet'!$AD$6&lt;=5,"SETTLED","OUTSTANDING"))&amp;"","")&lt;&gt;""),AND(TRIM($AF$4)="",IFERROR((IF('Final Calculation Sheet'!$AD$6&lt;=5,"SETTLED","OUTSTANDING"))&amp;"","")=""))))</f>
        <v/>
      </c>
    </row>
    <row r="8" ht="15" customHeight="1" s="137">
      <c r="A8" s="67">
        <f>IF($BJ7&gt;0,INDEX($BA$5:$BA$41,MATCH(7,$BB$5:$BB$41,0)),IF(OR($BI7=1,$BL7=1,$BH7&gt;0),"∑",""))</f>
        <v/>
      </c>
      <c r="B8" s="76">
        <f>IF($BJ7&gt;0,IF(INDEX('Final Calculation Sheet'!$F$4:$F$40,$BJ7-3)="","",INDEX('Final Calculation Sheet'!$F$4:$F$40,$BJ7-3)),"")</f>
        <v/>
      </c>
      <c r="C8" s="76">
        <f>IF($BJ7&gt;0,IF(INDEX('Final Calculation Sheet'!$G$4:$G$40,$BJ7-3)="","",INDEX('Final Calculation Sheet'!$G$4:$G$40,$BJ7-3)),IF(OR($BI7=1,$BL7=1,$BH7&gt;0),IF($BI7=1,37,IF($BL7=1,37-INDEX($BD$4:$BD$13,10),INDEX($BD$4:$BD$13,$BH7)))&amp;" lot(s)",""))</f>
        <v/>
      </c>
      <c r="D8" s="80">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80">
        <f>IF($BJ7&gt;0,IF(INDEX('Final Calculation Sheet'!$D$4:$D$40,$BJ7-3)="","",INDEX('Final Calculation Sheet'!$D$4:$D$40,$BJ7-3)),IF(OR($BI7=1,$BL7=1,$BH7&gt;0),"–",""))</f>
        <v/>
      </c>
      <c r="F8" s="80">
        <f>IF($BJ7&gt;0,IF(INDEX('Final Calculation Sheet'!$A$4:$A$40,$BJ7-3)="","",INDEX('Final Calculation Sheet'!$A$4:$A$40,$BJ7-3)),IF(OR($BI7=1,$BL7=1,$BH7&gt;0),IF($BI7=1,SUM('Final Calculation Sheet'!$A$4:$A$40),IF($BL7=1,SUM('Final Calculation Sheet'!$A$4:$A$40)-SUMIFS('Final Calculation Sheet'!$A$4:$A$40,$AZ$5:$AZ$41,10),SUMIFS('Final Calculation Sheet'!$A$4:$A$40,$AZ$5:$AZ$41,$BH7))),""))</f>
        <v/>
      </c>
      <c r="G8" s="80">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G8" s="70">
        <f>IF($BJ7&gt;0,IF(INDEX('Final Calculation Sheet'!$AF$4:$AF$40,$BJ7-3)="","",INDEX('Final Calculation Sheet'!$AF$4:$AF$40,$BJ7-3)),IF(OR($BI7=1,$BL7=1,$BH7&gt;0),"–",""))</f>
        <v/>
      </c>
      <c r="AH8" s="74">
        <f>IF($BJ7&gt;0,IF(INDEX('Final Calculation Sheet'!$AG$4:$AG$40,$BJ7-3)="","",INDEX('Final Calculation Sheet'!$AG$4:$AG$40,$BJ7-3)),IF(OR($BI7=1,$BL7=1,$BH7&gt;0),"–",""))</f>
        <v/>
      </c>
      <c r="AI8" s="70">
        <f>IF($BJ7&gt;0,IF(INDEX('Final Calculation Sheet'!$AH$4:$AH$40,$BJ7-3)="","",INDEX('Final Calculation Sheet'!$AH$4:$AH$40,$BJ7-3)),IF(OR($BI7=1,$BL7=1,$BH7&gt;0),"–",""))</f>
        <v/>
      </c>
      <c r="AJ8" s="76">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IF($CW$3="",1,--(OR(SUMPRODUCT(--(TRIM(MID(SUBSTITUTE(SUBSTITUTE($CW$3,"/",","),",",REPT(" ",99)),(ROW($1:$8)-1)*99+1,99))&lt;&gt;""),--ISNUMBER(SEARCH(TRIM(MID(SUBSTITUTE(SUBSTITUTE($CW$3,"/",","),",",REPT(" ",99)),(ROW($1:$8)-1)*99+1,99)),IFERROR(('Final Calculation Sheet'!$G$7)&amp;"",""))))&gt;0,AND(ISNUMBER(SEARCH("blank",$CW$3)),NOT(ISNUMBER(SEARCH("nonblank",$CW$3))),IFERROR(('Final Calculation Sheet'!$G$7)&amp;"","")=""),AND(OR(ISNUMBER(SEARCH("nonblank",$CW$3)),ISNUMBER(SEARCH("&lt;&gt;",$CW$3))),IFERROR(('Final Calculation Sheet'!$G$7)&amp;"","")&lt;&gt;""),AND(TRIM($CW$3)="",IFERROR(('Final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S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T8">
        <f>IF($AI$4="",1,--(OR(SUMPRODUCT(--(TRIM(MID(SUBSTITUTE(SUBSTITUTE($AI$4,"/",","),",",REPT(" ",99)),(ROW($1:$8)-1)*99+1,99))&lt;&gt;""),--ISNUMBER(SEARCH(TRIM(MID(SUBSTITUTE(SUBSTITUTE($AI$4,"/",","),",",REPT(" ",99)),(ROW($1:$8)-1)*99+1,99)),IFERROR(('Final Calculation Sheet'!$AH$7)&amp;"",""))))&gt;0,AND(ISNUMBER(SEARCH("blank",$AI$4)),NOT(ISNUMBER(SEARCH("nonblank",$AI$4))),IFERROR(('Final Calculation Sheet'!$AH$7)&amp;"","")=""),AND(OR(ISNUMBER(SEARCH("nonblank",$AI$4)),ISNUMBER(SEARCH("&lt;&gt;",$AI$4))),IFERROR(('Final Calculation Sheet'!$AH$7)&amp;"","")&lt;&gt;""),AND(TRIM($AI$4)="",IFERROR(('Final Calculation Sheet'!$AH$7)&amp;"","")=""))))</f>
        <v/>
      </c>
      <c r="CU8">
        <f>IF($AF$4="",1,--(OR(SUMPRODUCT(--(TRIM(MID(SUBSTITUTE(SUBSTITUTE($AF$4,"/",","),",",REPT(" ",99)),(ROW($1:$8)-1)*99+1,99))&lt;&gt;""),--ISNUMBER(SEARCH(TRIM(MID(SUBSTITUTE(SUBSTITUTE($AF$4,"/",","),",",REPT(" ",99)),(ROW($1:$8)-1)*99+1,99)),IFERROR((IF('Final Calculation Sheet'!$AD$7&lt;=5,"SETTLED","OUTSTANDING"))&amp;"",""))))&gt;0,AND(ISNUMBER(SEARCH("blank",$AF$4)),NOT(ISNUMBER(SEARCH("nonblank",$AF$4))),IFERROR((IF('Final Calculation Sheet'!$AD$7&lt;=5,"SETTLED","OUTSTANDING"))&amp;"","")=""),AND(OR(ISNUMBER(SEARCH("nonblank",$AF$4)),ISNUMBER(SEARCH("&lt;&gt;",$AF$4))),IFERROR((IF('Final Calculation Sheet'!$AD$7&lt;=5,"SETTLED","OUTSTANDING"))&amp;"","")&lt;&gt;""),AND(TRIM($AF$4)="",IFERROR((IF('Final Calculation Sheet'!$AD$7&lt;=5,"SETTLED","OUTSTANDING"))&amp;"","")=""))))</f>
        <v/>
      </c>
    </row>
    <row r="9" ht="15" customHeight="1" s="137">
      <c r="A9" s="67">
        <f>IF($BJ8&gt;0,INDEX($BA$5:$BA$41,MATCH(8,$BB$5:$BB$41,0)),IF(OR($BI8=1,$BL8=1,$BH8&gt;0),"∑",""))</f>
        <v/>
      </c>
      <c r="B9" s="76">
        <f>IF($BJ8&gt;0,IF(INDEX('Final Calculation Sheet'!$F$4:$F$40,$BJ8-3)="","",INDEX('Final Calculation Sheet'!$F$4:$F$40,$BJ8-3)),"")</f>
        <v/>
      </c>
      <c r="C9" s="76">
        <f>IF($BJ8&gt;0,IF(INDEX('Final Calculation Sheet'!$G$4:$G$40,$BJ8-3)="","",INDEX('Final Calculation Sheet'!$G$4:$G$40,$BJ8-3)),IF(OR($BI8=1,$BL8=1,$BH8&gt;0),IF($BI8=1,37,IF($BL8=1,37-INDEX($BD$4:$BD$13,10),INDEX($BD$4:$BD$13,$BH8)))&amp;" lot(s)",""))</f>
        <v/>
      </c>
      <c r="D9" s="80">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80">
        <f>IF($BJ8&gt;0,IF(INDEX('Final Calculation Sheet'!$D$4:$D$40,$BJ8-3)="","",INDEX('Final Calculation Sheet'!$D$4:$D$40,$BJ8-3)),IF(OR($BI8=1,$BL8=1,$BH8&gt;0),"–",""))</f>
        <v/>
      </c>
      <c r="F9" s="80">
        <f>IF($BJ8&gt;0,IF(INDEX('Final Calculation Sheet'!$A$4:$A$40,$BJ8-3)="","",INDEX('Final Calculation Sheet'!$A$4:$A$40,$BJ8-3)),IF(OR($BI8=1,$BL8=1,$BH8&gt;0),IF($BI8=1,SUM('Final Calculation Sheet'!$A$4:$A$40),IF($BL8=1,SUM('Final Calculation Sheet'!$A$4:$A$40)-SUMIFS('Final Calculation Sheet'!$A$4:$A$40,$AZ$5:$AZ$41,10),SUMIFS('Final Calculation Sheet'!$A$4:$A$40,$AZ$5:$AZ$41,$BH8))),""))</f>
        <v/>
      </c>
      <c r="G9" s="80">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G9" s="70">
        <f>IF($BJ8&gt;0,IF(INDEX('Final Calculation Sheet'!$AF$4:$AF$40,$BJ8-3)="","",INDEX('Final Calculation Sheet'!$AF$4:$AF$40,$BJ8-3)),IF(OR($BI8=1,$BL8=1,$BH8&gt;0),"–",""))</f>
        <v/>
      </c>
      <c r="AH9" s="74">
        <f>IF($BJ8&gt;0,IF(INDEX('Final Calculation Sheet'!$AG$4:$AG$40,$BJ8-3)="","",INDEX('Final Calculation Sheet'!$AG$4:$AG$40,$BJ8-3)),IF(OR($BI8=1,$BL8=1,$BH8&gt;0),"–",""))</f>
        <v/>
      </c>
      <c r="AI9" s="70">
        <f>IF($BJ8&gt;0,IF(INDEX('Final Calculation Sheet'!$AH$4:$AH$40,$BJ8-3)="","",INDEX('Final Calculation Sheet'!$AH$4:$AH$40,$BJ8-3)),IF(OR($BI8=1,$BL8=1,$BH8&gt;0),"–",""))</f>
        <v/>
      </c>
      <c r="AJ9" s="76">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IF($CW$3="",1,--(OR(SUMPRODUCT(--(TRIM(MID(SUBSTITUTE(SUBSTITUTE($CW$3,"/",","),",",REPT(" ",99)),(ROW($1:$8)-1)*99+1,99))&lt;&gt;""),--ISNUMBER(SEARCH(TRIM(MID(SUBSTITUTE(SUBSTITUTE($CW$3,"/",","),",",REPT(" ",99)),(ROW($1:$8)-1)*99+1,99)),IFERROR(('Final Calculation Sheet'!$G$8)&amp;"",""))))&gt;0,AND(ISNUMBER(SEARCH("blank",$CW$3)),NOT(ISNUMBER(SEARCH("nonblank",$CW$3))),IFERROR(('Final Calculation Sheet'!$G$8)&amp;"","")=""),AND(OR(ISNUMBER(SEARCH("nonblank",$CW$3)),ISNUMBER(SEARCH("&lt;&gt;",$CW$3))),IFERROR(('Final Calculation Sheet'!$G$8)&amp;"","")&lt;&gt;""),AND(TRIM($CW$3)="",IFERROR(('Final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S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T9">
        <f>IF($AI$4="",1,--(OR(SUMPRODUCT(--(TRIM(MID(SUBSTITUTE(SUBSTITUTE($AI$4,"/",","),",",REPT(" ",99)),(ROW($1:$8)-1)*99+1,99))&lt;&gt;""),--ISNUMBER(SEARCH(TRIM(MID(SUBSTITUTE(SUBSTITUTE($AI$4,"/",","),",",REPT(" ",99)),(ROW($1:$8)-1)*99+1,99)),IFERROR(('Final Calculation Sheet'!$AH$8)&amp;"",""))))&gt;0,AND(ISNUMBER(SEARCH("blank",$AI$4)),NOT(ISNUMBER(SEARCH("nonblank",$AI$4))),IFERROR(('Final Calculation Sheet'!$AH$8)&amp;"","")=""),AND(OR(ISNUMBER(SEARCH("nonblank",$AI$4)),ISNUMBER(SEARCH("&lt;&gt;",$AI$4))),IFERROR(('Final Calculation Sheet'!$AH$8)&amp;"","")&lt;&gt;""),AND(TRIM($AI$4)="",IFERROR(('Final Calculation Sheet'!$AH$8)&amp;"","")=""))))</f>
        <v/>
      </c>
      <c r="CU9">
        <f>IF($AF$4="",1,--(OR(SUMPRODUCT(--(TRIM(MID(SUBSTITUTE(SUBSTITUTE($AF$4,"/",","),",",REPT(" ",99)),(ROW($1:$8)-1)*99+1,99))&lt;&gt;""),--ISNUMBER(SEARCH(TRIM(MID(SUBSTITUTE(SUBSTITUTE($AF$4,"/",","),",",REPT(" ",99)),(ROW($1:$8)-1)*99+1,99)),IFERROR((IF('Final Calculation Sheet'!$AD$8&lt;=5,"SETTLED","OUTSTANDING"))&amp;"",""))))&gt;0,AND(ISNUMBER(SEARCH("blank",$AF$4)),NOT(ISNUMBER(SEARCH("nonblank",$AF$4))),IFERROR((IF('Final Calculation Sheet'!$AD$8&lt;=5,"SETTLED","OUTSTANDING"))&amp;"","")=""),AND(OR(ISNUMBER(SEARCH("nonblank",$AF$4)),ISNUMBER(SEARCH("&lt;&gt;",$AF$4))),IFERROR((IF('Final Calculation Sheet'!$AD$8&lt;=5,"SETTLED","OUTSTANDING"))&amp;"","")&lt;&gt;""),AND(TRIM($AF$4)="",IFERROR((IF('Final Calculation Sheet'!$AD$8&lt;=5,"SETTLED","OUTSTANDING"))&amp;"","")=""))))</f>
        <v/>
      </c>
    </row>
    <row r="10" ht="15" customHeight="1" s="137">
      <c r="A10" s="67">
        <f>IF($BJ9&gt;0,INDEX($BA$5:$BA$41,MATCH(9,$BB$5:$BB$41,0)),IF(OR($BI9=1,$BL9=1,$BH9&gt;0),"∑",""))</f>
        <v/>
      </c>
      <c r="B10" s="76">
        <f>IF($BJ9&gt;0,IF(INDEX('Final Calculation Sheet'!$F$4:$F$40,$BJ9-3)="","",INDEX('Final Calculation Sheet'!$F$4:$F$40,$BJ9-3)),"")</f>
        <v/>
      </c>
      <c r="C10" s="76">
        <f>IF($BJ9&gt;0,IF(INDEX('Final Calculation Sheet'!$G$4:$G$40,$BJ9-3)="","",INDEX('Final Calculation Sheet'!$G$4:$G$40,$BJ9-3)),IF(OR($BI9=1,$BL9=1,$BH9&gt;0),IF($BI9=1,37,IF($BL9=1,37-INDEX($BD$4:$BD$13,10),INDEX($BD$4:$BD$13,$BH9)))&amp;" lot(s)",""))</f>
        <v/>
      </c>
      <c r="D10" s="80">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80">
        <f>IF($BJ9&gt;0,IF(INDEX('Final Calculation Sheet'!$D$4:$D$40,$BJ9-3)="","",INDEX('Final Calculation Sheet'!$D$4:$D$40,$BJ9-3)),IF(OR($BI9=1,$BL9=1,$BH9&gt;0),"–",""))</f>
        <v/>
      </c>
      <c r="F10" s="80">
        <f>IF($BJ9&gt;0,IF(INDEX('Final Calculation Sheet'!$A$4:$A$40,$BJ9-3)="","",INDEX('Final Calculation Sheet'!$A$4:$A$40,$BJ9-3)),IF(OR($BI9=1,$BL9=1,$BH9&gt;0),IF($BI9=1,SUM('Final Calculation Sheet'!$A$4:$A$40),IF($BL9=1,SUM('Final Calculation Sheet'!$A$4:$A$40)-SUMIFS('Final Calculation Sheet'!$A$4:$A$40,$AZ$5:$AZ$41,10),SUMIFS('Final Calculation Sheet'!$A$4:$A$40,$AZ$5:$AZ$41,$BH9))),""))</f>
        <v/>
      </c>
      <c r="G10" s="80">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G10" s="70">
        <f>IF($BJ9&gt;0,IF(INDEX('Final Calculation Sheet'!$AF$4:$AF$40,$BJ9-3)="","",INDEX('Final Calculation Sheet'!$AF$4:$AF$40,$BJ9-3)),IF(OR($BI9=1,$BL9=1,$BH9&gt;0),"–",""))</f>
        <v/>
      </c>
      <c r="AH10" s="74">
        <f>IF($BJ9&gt;0,IF(INDEX('Final Calculation Sheet'!$AG$4:$AG$40,$BJ9-3)="","",INDEX('Final Calculation Sheet'!$AG$4:$AG$40,$BJ9-3)),IF(OR($BI9=1,$BL9=1,$BH9&gt;0),"–",""))</f>
        <v/>
      </c>
      <c r="AI10" s="70">
        <f>IF($BJ9&gt;0,IF(INDEX('Final Calculation Sheet'!$AH$4:$AH$40,$BJ9-3)="","",INDEX('Final Calculation Sheet'!$AH$4:$AH$40,$BJ9-3)),IF(OR($BI9=1,$BL9=1,$BH9&gt;0),"–",""))</f>
        <v/>
      </c>
      <c r="AJ10" s="76">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IF($CW$3="",1,--(OR(SUMPRODUCT(--(TRIM(MID(SUBSTITUTE(SUBSTITUTE($CW$3,"/",","),",",REPT(" ",99)),(ROW($1:$8)-1)*99+1,99))&lt;&gt;""),--ISNUMBER(SEARCH(TRIM(MID(SUBSTITUTE(SUBSTITUTE($CW$3,"/",","),",",REPT(" ",99)),(ROW($1:$8)-1)*99+1,99)),IFERROR(('Final Calculation Sheet'!$G$9)&amp;"",""))))&gt;0,AND(ISNUMBER(SEARCH("blank",$CW$3)),NOT(ISNUMBER(SEARCH("nonblank",$CW$3))),IFERROR(('Final Calculation Sheet'!$G$9)&amp;"","")=""),AND(OR(ISNUMBER(SEARCH("nonblank",$CW$3)),ISNUMBER(SEARCH("&lt;&gt;",$CW$3))),IFERROR(('Final Calculation Sheet'!$G$9)&amp;"","")&lt;&gt;""),AND(TRIM($CW$3)="",IFERROR(('Final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S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T10">
        <f>IF($AI$4="",1,--(OR(SUMPRODUCT(--(TRIM(MID(SUBSTITUTE(SUBSTITUTE($AI$4,"/",","),",",REPT(" ",99)),(ROW($1:$8)-1)*99+1,99))&lt;&gt;""),--ISNUMBER(SEARCH(TRIM(MID(SUBSTITUTE(SUBSTITUTE($AI$4,"/",","),",",REPT(" ",99)),(ROW($1:$8)-1)*99+1,99)),IFERROR(('Final Calculation Sheet'!$AH$9)&amp;"",""))))&gt;0,AND(ISNUMBER(SEARCH("blank",$AI$4)),NOT(ISNUMBER(SEARCH("nonblank",$AI$4))),IFERROR(('Final Calculation Sheet'!$AH$9)&amp;"","")=""),AND(OR(ISNUMBER(SEARCH("nonblank",$AI$4)),ISNUMBER(SEARCH("&lt;&gt;",$AI$4))),IFERROR(('Final Calculation Sheet'!$AH$9)&amp;"","")&lt;&gt;""),AND(TRIM($AI$4)="",IFERROR(('Final Calculation Sheet'!$AH$9)&amp;"","")=""))))</f>
        <v/>
      </c>
      <c r="CU10">
        <f>IF($AF$4="",1,--(OR(SUMPRODUCT(--(TRIM(MID(SUBSTITUTE(SUBSTITUTE($AF$4,"/",","),",",REPT(" ",99)),(ROW($1:$8)-1)*99+1,99))&lt;&gt;""),--ISNUMBER(SEARCH(TRIM(MID(SUBSTITUTE(SUBSTITUTE($AF$4,"/",","),",",REPT(" ",99)),(ROW($1:$8)-1)*99+1,99)),IFERROR((IF('Final Calculation Sheet'!$AD$9&lt;=5,"SETTLED","OUTSTANDING"))&amp;"",""))))&gt;0,AND(ISNUMBER(SEARCH("blank",$AF$4)),NOT(ISNUMBER(SEARCH("nonblank",$AF$4))),IFERROR((IF('Final Calculation Sheet'!$AD$9&lt;=5,"SETTLED","OUTSTANDING"))&amp;"","")=""),AND(OR(ISNUMBER(SEARCH("nonblank",$AF$4)),ISNUMBER(SEARCH("&lt;&gt;",$AF$4))),IFERROR((IF('Final Calculation Sheet'!$AD$9&lt;=5,"SETTLED","OUTSTANDING"))&amp;"","")&lt;&gt;""),AND(TRIM($AF$4)="",IFERROR((IF('Final Calculation Sheet'!$AD$9&lt;=5,"SETTLED","OUTSTANDING"))&amp;"","")=""))))</f>
        <v/>
      </c>
    </row>
    <row r="11" ht="15" customHeight="1" s="137">
      <c r="A11" s="67">
        <f>IF($BJ10&gt;0,INDEX($BA$5:$BA$41,MATCH(10,$BB$5:$BB$41,0)),IF(OR($BI10=1,$BL10=1,$BH10&gt;0),"∑",""))</f>
        <v/>
      </c>
      <c r="B11" s="76">
        <f>IF($BJ10&gt;0,IF(INDEX('Final Calculation Sheet'!$F$4:$F$40,$BJ10-3)="","",INDEX('Final Calculation Sheet'!$F$4:$F$40,$BJ10-3)),"")</f>
        <v/>
      </c>
      <c r="C11" s="76">
        <f>IF($BJ10&gt;0,IF(INDEX('Final Calculation Sheet'!$G$4:$G$40,$BJ10-3)="","",INDEX('Final Calculation Sheet'!$G$4:$G$40,$BJ10-3)),IF(OR($BI10=1,$BL10=1,$BH10&gt;0),IF($BI10=1,37,IF($BL10=1,37-INDEX($BD$4:$BD$13,10),INDEX($BD$4:$BD$13,$BH10)))&amp;" lot(s)",""))</f>
        <v/>
      </c>
      <c r="D11" s="80">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80">
        <f>IF($BJ10&gt;0,IF(INDEX('Final Calculation Sheet'!$D$4:$D$40,$BJ10-3)="","",INDEX('Final Calculation Sheet'!$D$4:$D$40,$BJ10-3)),IF(OR($BI10=1,$BL10=1,$BH10&gt;0),"–",""))</f>
        <v/>
      </c>
      <c r="F11" s="80">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80">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G11" s="70">
        <f>IF($BJ10&gt;0,IF(INDEX('Final Calculation Sheet'!$AF$4:$AF$40,$BJ10-3)="","",INDEX('Final Calculation Sheet'!$AF$4:$AF$40,$BJ10-3)),IF(OR($BI10=1,$BL10=1,$BH10&gt;0),"–",""))</f>
        <v/>
      </c>
      <c r="AH11" s="74">
        <f>IF($BJ10&gt;0,IF(INDEX('Final Calculation Sheet'!$AG$4:$AG$40,$BJ10-3)="","",INDEX('Final Calculation Sheet'!$AG$4:$AG$40,$BJ10-3)),IF(OR($BI10=1,$BL10=1,$BH10&gt;0),"–",""))</f>
        <v/>
      </c>
      <c r="AI11" s="70">
        <f>IF($BJ10&gt;0,IF(INDEX('Final Calculation Sheet'!$AH$4:$AH$40,$BJ10-3)="","",INDEX('Final Calculation Sheet'!$AH$4:$AH$40,$BJ10-3)),IF(OR($BI10=1,$BL10=1,$BH10&gt;0),"–",""))</f>
        <v/>
      </c>
      <c r="AJ11" s="76">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IF($CW$3="",1,--(OR(SUMPRODUCT(--(TRIM(MID(SUBSTITUTE(SUBSTITUTE($CW$3,"/",","),",",REPT(" ",99)),(ROW($1:$8)-1)*99+1,99))&lt;&gt;""),--ISNUMBER(SEARCH(TRIM(MID(SUBSTITUTE(SUBSTITUTE($CW$3,"/",","),",",REPT(" ",99)),(ROW($1:$8)-1)*99+1,99)),IFERROR(('Final Calculation Sheet'!$G$10)&amp;"",""))))&gt;0,AND(ISNUMBER(SEARCH("blank",$CW$3)),NOT(ISNUMBER(SEARCH("nonblank",$CW$3))),IFERROR(('Final Calculation Sheet'!$G$10)&amp;"","")=""),AND(OR(ISNUMBER(SEARCH("nonblank",$CW$3)),ISNUMBER(SEARCH("&lt;&gt;",$CW$3))),IFERROR(('Final Calculation Sheet'!$G$10)&amp;"","")&lt;&gt;""),AND(TRIM($CW$3)="",IFERROR(('Final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S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T11">
        <f>IF($AI$4="",1,--(OR(SUMPRODUCT(--(TRIM(MID(SUBSTITUTE(SUBSTITUTE($AI$4,"/",","),",",REPT(" ",99)),(ROW($1:$8)-1)*99+1,99))&lt;&gt;""),--ISNUMBER(SEARCH(TRIM(MID(SUBSTITUTE(SUBSTITUTE($AI$4,"/",","),",",REPT(" ",99)),(ROW($1:$8)-1)*99+1,99)),IFERROR(('Final Calculation Sheet'!$AH$10)&amp;"",""))))&gt;0,AND(ISNUMBER(SEARCH("blank",$AI$4)),NOT(ISNUMBER(SEARCH("nonblank",$AI$4))),IFERROR(('Final Calculation Sheet'!$AH$10)&amp;"","")=""),AND(OR(ISNUMBER(SEARCH("nonblank",$AI$4)),ISNUMBER(SEARCH("&lt;&gt;",$AI$4))),IFERROR(('Final Calculation Sheet'!$AH$10)&amp;"","")&lt;&gt;""),AND(TRIM($AI$4)="",IFERROR(('Final Calculation Sheet'!$AH$10)&amp;"","")=""))))</f>
        <v/>
      </c>
      <c r="CU11">
        <f>IF($AF$4="",1,--(OR(SUMPRODUCT(--(TRIM(MID(SUBSTITUTE(SUBSTITUTE($AF$4,"/",","),",",REPT(" ",99)),(ROW($1:$8)-1)*99+1,99))&lt;&gt;""),--ISNUMBER(SEARCH(TRIM(MID(SUBSTITUTE(SUBSTITUTE($AF$4,"/",","),",",REPT(" ",99)),(ROW($1:$8)-1)*99+1,99)),IFERROR((IF('Final Calculation Sheet'!$AD$10&lt;=5,"SETTLED","OUTSTANDING"))&amp;"",""))))&gt;0,AND(ISNUMBER(SEARCH("blank",$AF$4)),NOT(ISNUMBER(SEARCH("nonblank",$AF$4))),IFERROR((IF('Final Calculation Sheet'!$AD$10&lt;=5,"SETTLED","OUTSTANDING"))&amp;"","")=""),AND(OR(ISNUMBER(SEARCH("nonblank",$AF$4)),ISNUMBER(SEARCH("&lt;&gt;",$AF$4))),IFERROR((IF('Final Calculation Sheet'!$AD$10&lt;=5,"SETTLED","OUTSTANDING"))&amp;"","")&lt;&gt;""),AND(TRIM($AF$4)="",IFERROR((IF('Final Calculation Sheet'!$AD$10&lt;=5,"SETTLED","OUTSTANDING"))&amp;"","")=""))))</f>
        <v/>
      </c>
    </row>
    <row r="12" ht="15" customHeight="1" s="137">
      <c r="A12" s="67">
        <f>IF($BJ11&gt;0,INDEX($BA$5:$BA$41,MATCH(11,$BB$5:$BB$41,0)),IF(OR($BI11=1,$BL11=1,$BH11&gt;0),"∑",""))</f>
        <v/>
      </c>
      <c r="B12" s="76">
        <f>IF($BJ11&gt;0,IF(INDEX('Final Calculation Sheet'!$F$4:$F$40,$BJ11-3)="","",INDEX('Final Calculation Sheet'!$F$4:$F$40,$BJ11-3)),"")</f>
        <v/>
      </c>
      <c r="C12" s="76">
        <f>IF($BJ11&gt;0,IF(INDEX('Final Calculation Sheet'!$G$4:$G$40,$BJ11-3)="","",INDEX('Final Calculation Sheet'!$G$4:$G$40,$BJ11-3)),IF(OR($BI11=1,$BL11=1,$BH11&gt;0),IF($BI11=1,37,IF($BL11=1,37-INDEX($BD$4:$BD$13,10),INDEX($BD$4:$BD$13,$BH11)))&amp;" lot(s)",""))</f>
        <v/>
      </c>
      <c r="D12" s="80">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80">
        <f>IF($BJ11&gt;0,IF(INDEX('Final Calculation Sheet'!$D$4:$D$40,$BJ11-3)="","",INDEX('Final Calculation Sheet'!$D$4:$D$40,$BJ11-3)),IF(OR($BI11=1,$BL11=1,$BH11&gt;0),"–",""))</f>
        <v/>
      </c>
      <c r="F12" s="80">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80">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G12" s="70">
        <f>IF($BJ11&gt;0,IF(INDEX('Final Calculation Sheet'!$AF$4:$AF$40,$BJ11-3)="","",INDEX('Final Calculation Sheet'!$AF$4:$AF$40,$BJ11-3)),IF(OR($BI11=1,$BL11=1,$BH11&gt;0),"–",""))</f>
        <v/>
      </c>
      <c r="AH12" s="74">
        <f>IF($BJ11&gt;0,IF(INDEX('Final Calculation Sheet'!$AG$4:$AG$40,$BJ11-3)="","",INDEX('Final Calculation Sheet'!$AG$4:$AG$40,$BJ11-3)),IF(OR($BI11=1,$BL11=1,$BH11&gt;0),"–",""))</f>
        <v/>
      </c>
      <c r="AI12" s="70">
        <f>IF($BJ11&gt;0,IF(INDEX('Final Calculation Sheet'!$AH$4:$AH$40,$BJ11-3)="","",INDEX('Final Calculation Sheet'!$AH$4:$AH$40,$BJ11-3)),IF(OR($BI11=1,$BL11=1,$BH11&gt;0),"–",""))</f>
        <v/>
      </c>
      <c r="AJ12" s="76">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IF($CW$3="",1,--(OR(SUMPRODUCT(--(TRIM(MID(SUBSTITUTE(SUBSTITUTE($CW$3,"/",","),",",REPT(" ",99)),(ROW($1:$8)-1)*99+1,99))&lt;&gt;""),--ISNUMBER(SEARCH(TRIM(MID(SUBSTITUTE(SUBSTITUTE($CW$3,"/",","),",",REPT(" ",99)),(ROW($1:$8)-1)*99+1,99)),IFERROR(('Final Calculation Sheet'!$G$11)&amp;"",""))))&gt;0,AND(ISNUMBER(SEARCH("blank",$CW$3)),NOT(ISNUMBER(SEARCH("nonblank",$CW$3))),IFERROR(('Final Calculation Sheet'!$G$11)&amp;"","")=""),AND(OR(ISNUMBER(SEARCH("nonblank",$CW$3)),ISNUMBER(SEARCH("&lt;&gt;",$CW$3))),IFERROR(('Final Calculation Sheet'!$G$11)&amp;"","")&lt;&gt;""),AND(TRIM($CW$3)="",IFERROR(('Final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S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T12">
        <f>IF($AI$4="",1,--(OR(SUMPRODUCT(--(TRIM(MID(SUBSTITUTE(SUBSTITUTE($AI$4,"/",","),",",REPT(" ",99)),(ROW($1:$8)-1)*99+1,99))&lt;&gt;""),--ISNUMBER(SEARCH(TRIM(MID(SUBSTITUTE(SUBSTITUTE($AI$4,"/",","),",",REPT(" ",99)),(ROW($1:$8)-1)*99+1,99)),IFERROR(('Final Calculation Sheet'!$AH$11)&amp;"",""))))&gt;0,AND(ISNUMBER(SEARCH("blank",$AI$4)),NOT(ISNUMBER(SEARCH("nonblank",$AI$4))),IFERROR(('Final Calculation Sheet'!$AH$11)&amp;"","")=""),AND(OR(ISNUMBER(SEARCH("nonblank",$AI$4)),ISNUMBER(SEARCH("&lt;&gt;",$AI$4))),IFERROR(('Final Calculation Sheet'!$AH$11)&amp;"","")&lt;&gt;""),AND(TRIM($AI$4)="",IFERROR(('Final Calculation Sheet'!$AH$11)&amp;"","")=""))))</f>
        <v/>
      </c>
      <c r="CU12">
        <f>IF($AF$4="",1,--(OR(SUMPRODUCT(--(TRIM(MID(SUBSTITUTE(SUBSTITUTE($AF$4,"/",","),",",REPT(" ",99)),(ROW($1:$8)-1)*99+1,99))&lt;&gt;""),--ISNUMBER(SEARCH(TRIM(MID(SUBSTITUTE(SUBSTITUTE($AF$4,"/",","),",",REPT(" ",99)),(ROW($1:$8)-1)*99+1,99)),IFERROR((IF('Final Calculation Sheet'!$AD$11&lt;=5,"SETTLED","OUTSTANDING"))&amp;"",""))))&gt;0,AND(ISNUMBER(SEARCH("blank",$AF$4)),NOT(ISNUMBER(SEARCH("nonblank",$AF$4))),IFERROR((IF('Final Calculation Sheet'!$AD$11&lt;=5,"SETTLED","OUTSTANDING"))&amp;"","")=""),AND(OR(ISNUMBER(SEARCH("nonblank",$AF$4)),ISNUMBER(SEARCH("&lt;&gt;",$AF$4))),IFERROR((IF('Final Calculation Sheet'!$AD$11&lt;=5,"SETTLED","OUTSTANDING"))&amp;"","")&lt;&gt;""),AND(TRIM($AF$4)="",IFERROR((IF('Final Calculation Sheet'!$AD$11&lt;=5,"SETTLED","OUTSTANDING"))&amp;"","")=""))))</f>
        <v/>
      </c>
    </row>
    <row r="13" ht="15" customHeight="1" s="137">
      <c r="A13" s="67">
        <f>IF($BJ12&gt;0,INDEX($BA$5:$BA$41,MATCH(12,$BB$5:$BB$41,0)),IF(OR($BI12=1,$BL12=1,$BH12&gt;0),"∑",""))</f>
        <v/>
      </c>
      <c r="B13" s="76">
        <f>IF($BJ12&gt;0,IF(INDEX('Final Calculation Sheet'!$F$4:$F$40,$BJ12-3)="","",INDEX('Final Calculation Sheet'!$F$4:$F$40,$BJ12-3)),"")</f>
        <v/>
      </c>
      <c r="C13" s="76">
        <f>IF($BJ12&gt;0,IF(INDEX('Final Calculation Sheet'!$G$4:$G$40,$BJ12-3)="","",INDEX('Final Calculation Sheet'!$G$4:$G$40,$BJ12-3)),IF(OR($BI12=1,$BL12=1,$BH12&gt;0),IF($BI12=1,37,IF($BL12=1,37-INDEX($BD$4:$BD$13,10),INDEX($BD$4:$BD$13,$BH12)))&amp;" lot(s)",""))</f>
        <v/>
      </c>
      <c r="D13" s="80">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80">
        <f>IF($BJ12&gt;0,IF(INDEX('Final Calculation Sheet'!$D$4:$D$40,$BJ12-3)="","",INDEX('Final Calculation Sheet'!$D$4:$D$40,$BJ12-3)),IF(OR($BI12=1,$BL12=1,$BH12&gt;0),"–",""))</f>
        <v/>
      </c>
      <c r="F13" s="80">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80">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G13" s="70">
        <f>IF($BJ12&gt;0,IF(INDEX('Final Calculation Sheet'!$AF$4:$AF$40,$BJ12-3)="","",INDEX('Final Calculation Sheet'!$AF$4:$AF$40,$BJ12-3)),IF(OR($BI12=1,$BL12=1,$BH12&gt;0),"–",""))</f>
        <v/>
      </c>
      <c r="AH13" s="74">
        <f>IF($BJ12&gt;0,IF(INDEX('Final Calculation Sheet'!$AG$4:$AG$40,$BJ12-3)="","",INDEX('Final Calculation Sheet'!$AG$4:$AG$40,$BJ12-3)),IF(OR($BI12=1,$BL12=1,$BH12&gt;0),"–",""))</f>
        <v/>
      </c>
      <c r="AI13" s="70">
        <f>IF($BJ12&gt;0,IF(INDEX('Final Calculation Sheet'!$AH$4:$AH$40,$BJ12-3)="","",INDEX('Final Calculation Sheet'!$AH$4:$AH$40,$BJ12-3)),IF(OR($BI12=1,$BL12=1,$BH12&gt;0),"–",""))</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IF($CW$3="",1,--(OR(SUMPRODUCT(--(TRIM(MID(SUBSTITUTE(SUBSTITUTE($CW$3,"/",","),",",REPT(" ",99)),(ROW($1:$8)-1)*99+1,99))&lt;&gt;""),--ISNUMBER(SEARCH(TRIM(MID(SUBSTITUTE(SUBSTITUTE($CW$3,"/",","),",",REPT(" ",99)),(ROW($1:$8)-1)*99+1,99)),IFERROR(('Final Calculation Sheet'!$G$12)&amp;"",""))))&gt;0,AND(ISNUMBER(SEARCH("blank",$CW$3)),NOT(ISNUMBER(SEARCH("nonblank",$CW$3))),IFERROR(('Final Calculation Sheet'!$G$12)&amp;"","")=""),AND(OR(ISNUMBER(SEARCH("nonblank",$CW$3)),ISNUMBER(SEARCH("&lt;&gt;",$CW$3))),IFERROR(('Final Calculation Sheet'!$G$12)&amp;"","")&lt;&gt;""),AND(TRIM($CW$3)="",IFERROR(('Final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S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T13">
        <f>IF($AI$4="",1,--(OR(SUMPRODUCT(--(TRIM(MID(SUBSTITUTE(SUBSTITUTE($AI$4,"/",","),",",REPT(" ",99)),(ROW($1:$8)-1)*99+1,99))&lt;&gt;""),--ISNUMBER(SEARCH(TRIM(MID(SUBSTITUTE(SUBSTITUTE($AI$4,"/",","),",",REPT(" ",99)),(ROW($1:$8)-1)*99+1,99)),IFERROR(('Final Calculation Sheet'!$AH$12)&amp;"",""))))&gt;0,AND(ISNUMBER(SEARCH("blank",$AI$4)),NOT(ISNUMBER(SEARCH("nonblank",$AI$4))),IFERROR(('Final Calculation Sheet'!$AH$12)&amp;"","")=""),AND(OR(ISNUMBER(SEARCH("nonblank",$AI$4)),ISNUMBER(SEARCH("&lt;&gt;",$AI$4))),IFERROR(('Final Calculation Sheet'!$AH$12)&amp;"","")&lt;&gt;""),AND(TRIM($AI$4)="",IFERROR(('Final Calculation Sheet'!$AH$12)&amp;"","")=""))))</f>
        <v/>
      </c>
      <c r="CU13">
        <f>IF($AF$4="",1,--(OR(SUMPRODUCT(--(TRIM(MID(SUBSTITUTE(SUBSTITUTE($AF$4,"/",","),",",REPT(" ",99)),(ROW($1:$8)-1)*99+1,99))&lt;&gt;""),--ISNUMBER(SEARCH(TRIM(MID(SUBSTITUTE(SUBSTITUTE($AF$4,"/",","),",",REPT(" ",99)),(ROW($1:$8)-1)*99+1,99)),IFERROR((IF('Final Calculation Sheet'!$AD$12&lt;=5,"SETTLED","OUTSTANDING"))&amp;"",""))))&gt;0,AND(ISNUMBER(SEARCH("blank",$AF$4)),NOT(ISNUMBER(SEARCH("nonblank",$AF$4))),IFERROR((IF('Final Calculation Sheet'!$AD$12&lt;=5,"SETTLED","OUTSTANDING"))&amp;"","")=""),AND(OR(ISNUMBER(SEARCH("nonblank",$AF$4)),ISNUMBER(SEARCH("&lt;&gt;",$AF$4))),IFERROR((IF('Final Calculation Sheet'!$AD$12&lt;=5,"SETTLED","OUTSTANDING"))&amp;"","")&lt;&gt;""),AND(TRIM($AF$4)="",IFERROR((IF('Final Calculation Sheet'!$AD$12&lt;=5,"SETTLED","OUTSTANDING"))&amp;"","")=""))))</f>
        <v/>
      </c>
    </row>
    <row r="14" ht="15" customHeight="1" s="137">
      <c r="A14" s="67">
        <f>IF($BJ13&gt;0,INDEX($BA$5:$BA$41,MATCH(13,$BB$5:$BB$41,0)),IF(OR($BI13=1,$BL13=1,$BH13&gt;0),"∑",""))</f>
        <v/>
      </c>
      <c r="B14" s="76">
        <f>IF($BJ13&gt;0,IF(INDEX('Final Calculation Sheet'!$F$4:$F$40,$BJ13-3)="","",INDEX('Final Calculation Sheet'!$F$4:$F$40,$BJ13-3)),"")</f>
        <v/>
      </c>
      <c r="C14" s="76">
        <f>IF($BJ13&gt;0,IF(INDEX('Final Calculation Sheet'!$G$4:$G$40,$BJ13-3)="","",INDEX('Final Calculation Sheet'!$G$4:$G$40,$BJ13-3)),IF(OR($BI13=1,$BL13=1,$BH13&gt;0),IF($BI13=1,37,IF($BL13=1,37-INDEX($BD$4:$BD$13,10),INDEX($BD$4:$BD$13,$BH13)))&amp;" lot(s)",""))</f>
        <v/>
      </c>
      <c r="D14" s="80">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80">
        <f>IF($BJ13&gt;0,IF(INDEX('Final Calculation Sheet'!$D$4:$D$40,$BJ13-3)="","",INDEX('Final Calculation Sheet'!$D$4:$D$40,$BJ13-3)),IF(OR($BI13=1,$BL13=1,$BH13&gt;0),"–",""))</f>
        <v/>
      </c>
      <c r="F14" s="80">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80">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G14" s="70">
        <f>IF($BJ13&gt;0,IF(INDEX('Final Calculation Sheet'!$AF$4:$AF$40,$BJ13-3)="","",INDEX('Final Calculation Sheet'!$AF$4:$AF$40,$BJ13-3)),IF(OR($BI13=1,$BL13=1,$BH13&gt;0),"–",""))</f>
        <v/>
      </c>
      <c r="AH14" s="74">
        <f>IF($BJ13&gt;0,IF(INDEX('Final Calculation Sheet'!$AG$4:$AG$40,$BJ13-3)="","",INDEX('Final Calculation Sheet'!$AG$4:$AG$40,$BJ13-3)),IF(OR($BI13=1,$BL13=1,$BH13&gt;0),"–",""))</f>
        <v/>
      </c>
      <c r="AI14" s="70">
        <f>IF($BJ13&gt;0,IF(INDEX('Final Calculation Sheet'!$AH$4:$AH$40,$BJ13-3)="","",INDEX('Final Calculation Sheet'!$AH$4:$AH$40,$BJ13-3)),IF(OR($BI13=1,$BL13=1,$BH13&gt;0),"–",""))</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IF($CW$3="",1,--(OR(SUMPRODUCT(--(TRIM(MID(SUBSTITUTE(SUBSTITUTE($CW$3,"/",","),",",REPT(" ",99)),(ROW($1:$8)-1)*99+1,99))&lt;&gt;""),--ISNUMBER(SEARCH(TRIM(MID(SUBSTITUTE(SUBSTITUTE($CW$3,"/",","),",",REPT(" ",99)),(ROW($1:$8)-1)*99+1,99)),IFERROR(('Final Calculation Sheet'!$G$13)&amp;"",""))))&gt;0,AND(ISNUMBER(SEARCH("blank",$CW$3)),NOT(ISNUMBER(SEARCH("nonblank",$CW$3))),IFERROR(('Final Calculation Sheet'!$G$13)&amp;"","")=""),AND(OR(ISNUMBER(SEARCH("nonblank",$CW$3)),ISNUMBER(SEARCH("&lt;&gt;",$CW$3))),IFERROR(('Final Calculation Sheet'!$G$13)&amp;"","")&lt;&gt;""),AND(TRIM($CW$3)="",IFERROR(('Final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S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T14">
        <f>IF($AI$4="",1,--(OR(SUMPRODUCT(--(TRIM(MID(SUBSTITUTE(SUBSTITUTE($AI$4,"/",","),",",REPT(" ",99)),(ROW($1:$8)-1)*99+1,99))&lt;&gt;""),--ISNUMBER(SEARCH(TRIM(MID(SUBSTITUTE(SUBSTITUTE($AI$4,"/",","),",",REPT(" ",99)),(ROW($1:$8)-1)*99+1,99)),IFERROR(('Final Calculation Sheet'!$AH$13)&amp;"",""))))&gt;0,AND(ISNUMBER(SEARCH("blank",$AI$4)),NOT(ISNUMBER(SEARCH("nonblank",$AI$4))),IFERROR(('Final Calculation Sheet'!$AH$13)&amp;"","")=""),AND(OR(ISNUMBER(SEARCH("nonblank",$AI$4)),ISNUMBER(SEARCH("&lt;&gt;",$AI$4))),IFERROR(('Final Calculation Sheet'!$AH$13)&amp;"","")&lt;&gt;""),AND(TRIM($AI$4)="",IFERROR(('Final Calculation Sheet'!$AH$13)&amp;"","")=""))))</f>
        <v/>
      </c>
      <c r="CU14">
        <f>IF($AF$4="",1,--(OR(SUMPRODUCT(--(TRIM(MID(SUBSTITUTE(SUBSTITUTE($AF$4,"/",","),",",REPT(" ",99)),(ROW($1:$8)-1)*99+1,99))&lt;&gt;""),--ISNUMBER(SEARCH(TRIM(MID(SUBSTITUTE(SUBSTITUTE($AF$4,"/",","),",",REPT(" ",99)),(ROW($1:$8)-1)*99+1,99)),IFERROR((IF('Final Calculation Sheet'!$AD$13&lt;=5,"SETTLED","OUTSTANDING"))&amp;"",""))))&gt;0,AND(ISNUMBER(SEARCH("blank",$AF$4)),NOT(ISNUMBER(SEARCH("nonblank",$AF$4))),IFERROR((IF('Final Calculation Sheet'!$AD$13&lt;=5,"SETTLED","OUTSTANDING"))&amp;"","")=""),AND(OR(ISNUMBER(SEARCH("nonblank",$AF$4)),ISNUMBER(SEARCH("&lt;&gt;",$AF$4))),IFERROR((IF('Final Calculation Sheet'!$AD$13&lt;=5,"SETTLED","OUTSTANDING"))&amp;"","")&lt;&gt;""),AND(TRIM($AF$4)="",IFERROR((IF('Final Calculation Sheet'!$AD$13&lt;=5,"SETTLED","OUTSTANDING"))&amp;"","")=""))))</f>
        <v/>
      </c>
    </row>
    <row r="15" ht="15" customHeight="1" s="137">
      <c r="A15" s="67">
        <f>IF($BJ14&gt;0,INDEX($BA$5:$BA$41,MATCH(14,$BB$5:$BB$41,0)),IF(OR($BI14=1,$BL14=1,$BH14&gt;0),"∑",""))</f>
        <v/>
      </c>
      <c r="B15" s="76">
        <f>IF($BJ14&gt;0,IF(INDEX('Final Calculation Sheet'!$F$4:$F$40,$BJ14-3)="","",INDEX('Final Calculation Sheet'!$F$4:$F$40,$BJ14-3)),"")</f>
        <v/>
      </c>
      <c r="C15" s="76">
        <f>IF($BJ14&gt;0,IF(INDEX('Final Calculation Sheet'!$G$4:$G$40,$BJ14-3)="","",INDEX('Final Calculation Sheet'!$G$4:$G$40,$BJ14-3)),IF(OR($BI14=1,$BL14=1,$BH14&gt;0),IF($BI14=1,37,IF($BL14=1,37-INDEX($BD$4:$BD$13,10),INDEX($BD$4:$BD$13,$BH14)))&amp;" lot(s)",""))</f>
        <v/>
      </c>
      <c r="D15" s="80">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80">
        <f>IF($BJ14&gt;0,IF(INDEX('Final Calculation Sheet'!$D$4:$D$40,$BJ14-3)="","",INDEX('Final Calculation Sheet'!$D$4:$D$40,$BJ14-3)),IF(OR($BI14=1,$BL14=1,$BH14&gt;0),"–",""))</f>
        <v/>
      </c>
      <c r="F15" s="80">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80">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G15" s="70">
        <f>IF($BJ14&gt;0,IF(INDEX('Final Calculation Sheet'!$AF$4:$AF$40,$BJ14-3)="","",INDEX('Final Calculation Sheet'!$AF$4:$AF$40,$BJ14-3)),IF(OR($BI14=1,$BL14=1,$BH14&gt;0),"–",""))</f>
        <v/>
      </c>
      <c r="AH15" s="74">
        <f>IF($BJ14&gt;0,IF(INDEX('Final Calculation Sheet'!$AG$4:$AG$40,$BJ14-3)="","",INDEX('Final Calculation Sheet'!$AG$4:$AG$40,$BJ14-3)),IF(OR($BI14=1,$BL14=1,$BH14&gt;0),"–",""))</f>
        <v/>
      </c>
      <c r="AI15" s="70">
        <f>IF($BJ14&gt;0,IF(INDEX('Final Calculation Sheet'!$AH$4:$AH$40,$BJ14-3)="","",INDEX('Final Calculation Sheet'!$AH$4:$AH$40,$BJ14-3)),IF(OR($BI14=1,$BL14=1,$BH14&gt;0),"–",""))</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IF($CW$3="",1,--(OR(SUMPRODUCT(--(TRIM(MID(SUBSTITUTE(SUBSTITUTE($CW$3,"/",","),",",REPT(" ",99)),(ROW($1:$8)-1)*99+1,99))&lt;&gt;""),--ISNUMBER(SEARCH(TRIM(MID(SUBSTITUTE(SUBSTITUTE($CW$3,"/",","),",",REPT(" ",99)),(ROW($1:$8)-1)*99+1,99)),IFERROR(('Final Calculation Sheet'!$G$14)&amp;"",""))))&gt;0,AND(ISNUMBER(SEARCH("blank",$CW$3)),NOT(ISNUMBER(SEARCH("nonblank",$CW$3))),IFERROR(('Final Calculation Sheet'!$G$14)&amp;"","")=""),AND(OR(ISNUMBER(SEARCH("nonblank",$CW$3)),ISNUMBER(SEARCH("&lt;&gt;",$CW$3))),IFERROR(('Final Calculation Sheet'!$G$14)&amp;"","")&lt;&gt;""),AND(TRIM($CW$3)="",IFERROR(('Final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S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T15">
        <f>IF($AI$4="",1,--(OR(SUMPRODUCT(--(TRIM(MID(SUBSTITUTE(SUBSTITUTE($AI$4,"/",","),",",REPT(" ",99)),(ROW($1:$8)-1)*99+1,99))&lt;&gt;""),--ISNUMBER(SEARCH(TRIM(MID(SUBSTITUTE(SUBSTITUTE($AI$4,"/",","),",",REPT(" ",99)),(ROW($1:$8)-1)*99+1,99)),IFERROR(('Final Calculation Sheet'!$AH$14)&amp;"",""))))&gt;0,AND(ISNUMBER(SEARCH("blank",$AI$4)),NOT(ISNUMBER(SEARCH("nonblank",$AI$4))),IFERROR(('Final Calculation Sheet'!$AH$14)&amp;"","")=""),AND(OR(ISNUMBER(SEARCH("nonblank",$AI$4)),ISNUMBER(SEARCH("&lt;&gt;",$AI$4))),IFERROR(('Final Calculation Sheet'!$AH$14)&amp;"","")&lt;&gt;""),AND(TRIM($AI$4)="",IFERROR(('Final Calculation Sheet'!$AH$14)&amp;"","")=""))))</f>
        <v/>
      </c>
      <c r="CU15">
        <f>IF($AF$4="",1,--(OR(SUMPRODUCT(--(TRIM(MID(SUBSTITUTE(SUBSTITUTE($AF$4,"/",","),",",REPT(" ",99)),(ROW($1:$8)-1)*99+1,99))&lt;&gt;""),--ISNUMBER(SEARCH(TRIM(MID(SUBSTITUTE(SUBSTITUTE($AF$4,"/",","),",",REPT(" ",99)),(ROW($1:$8)-1)*99+1,99)),IFERROR((IF('Final Calculation Sheet'!$AD$14&lt;=5,"SETTLED","OUTSTANDING"))&amp;"",""))))&gt;0,AND(ISNUMBER(SEARCH("blank",$AF$4)),NOT(ISNUMBER(SEARCH("nonblank",$AF$4))),IFERROR((IF('Final Calculation Sheet'!$AD$14&lt;=5,"SETTLED","OUTSTANDING"))&amp;"","")=""),AND(OR(ISNUMBER(SEARCH("nonblank",$AF$4)),ISNUMBER(SEARCH("&lt;&gt;",$AF$4))),IFERROR((IF('Final Calculation Sheet'!$AD$14&lt;=5,"SETTLED","OUTSTANDING"))&amp;"","")&lt;&gt;""),AND(TRIM($AF$4)="",IFERROR((IF('Final Calculation Sheet'!$AD$14&lt;=5,"SETTLED","OUTSTANDING"))&amp;"","")=""))))</f>
        <v/>
      </c>
    </row>
    <row r="16" ht="15" customHeight="1" s="137">
      <c r="A16" s="67">
        <f>IF($BJ15&gt;0,INDEX($BA$5:$BA$41,MATCH(15,$BB$5:$BB$41,0)),IF(OR($BI15=1,$BL15=1,$BH15&gt;0),"∑",""))</f>
        <v/>
      </c>
      <c r="B16" s="76">
        <f>IF($BJ15&gt;0,IF(INDEX('Final Calculation Sheet'!$F$4:$F$40,$BJ15-3)="","",INDEX('Final Calculation Sheet'!$F$4:$F$40,$BJ15-3)),"")</f>
        <v/>
      </c>
      <c r="C16" s="76">
        <f>IF($BJ15&gt;0,IF(INDEX('Final Calculation Sheet'!$G$4:$G$40,$BJ15-3)="","",INDEX('Final Calculation Sheet'!$G$4:$G$40,$BJ15-3)),IF(OR($BI15=1,$BL15=1,$BH15&gt;0),IF($BI15=1,37,IF($BL15=1,37-INDEX($BD$4:$BD$13,10),INDEX($BD$4:$BD$13,$BH15)))&amp;" lot(s)",""))</f>
        <v/>
      </c>
      <c r="D16" s="80">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80">
        <f>IF($BJ15&gt;0,IF(INDEX('Final Calculation Sheet'!$D$4:$D$40,$BJ15-3)="","",INDEX('Final Calculation Sheet'!$D$4:$D$40,$BJ15-3)),IF(OR($BI15=1,$BL15=1,$BH15&gt;0),"–",""))</f>
        <v/>
      </c>
      <c r="F16" s="80">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80">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G16" s="70">
        <f>IF($BJ15&gt;0,IF(INDEX('Final Calculation Sheet'!$AF$4:$AF$40,$BJ15-3)="","",INDEX('Final Calculation Sheet'!$AF$4:$AF$40,$BJ15-3)),IF(OR($BI15=1,$BL15=1,$BH15&gt;0),"–",""))</f>
        <v/>
      </c>
      <c r="AH16" s="74">
        <f>IF($BJ15&gt;0,IF(INDEX('Final Calculation Sheet'!$AG$4:$AG$40,$BJ15-3)="","",INDEX('Final Calculation Sheet'!$AG$4:$AG$40,$BJ15-3)),IF(OR($BI15=1,$BL15=1,$BH15&gt;0),"–",""))</f>
        <v/>
      </c>
      <c r="AI16" s="70">
        <f>IF($BJ15&gt;0,IF(INDEX('Final Calculation Sheet'!$AH$4:$AH$40,$BJ15-3)="","",INDEX('Final Calculation Sheet'!$AH$4:$AH$40,$BJ15-3)),IF(OR($BI15=1,$BL15=1,$BH15&gt;0),"–",""))</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IF($CW$3="",1,--(OR(SUMPRODUCT(--(TRIM(MID(SUBSTITUTE(SUBSTITUTE($CW$3,"/",","),",",REPT(" ",99)),(ROW($1:$8)-1)*99+1,99))&lt;&gt;""),--ISNUMBER(SEARCH(TRIM(MID(SUBSTITUTE(SUBSTITUTE($CW$3,"/",","),",",REPT(" ",99)),(ROW($1:$8)-1)*99+1,99)),IFERROR(('Final Calculation Sheet'!$G$15)&amp;"",""))))&gt;0,AND(ISNUMBER(SEARCH("blank",$CW$3)),NOT(ISNUMBER(SEARCH("nonblank",$CW$3))),IFERROR(('Final Calculation Sheet'!$G$15)&amp;"","")=""),AND(OR(ISNUMBER(SEARCH("nonblank",$CW$3)),ISNUMBER(SEARCH("&lt;&gt;",$CW$3))),IFERROR(('Final Calculation Sheet'!$G$15)&amp;"","")&lt;&gt;""),AND(TRIM($CW$3)="",IFERROR(('Final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S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T16">
        <f>IF($AI$4="",1,--(OR(SUMPRODUCT(--(TRIM(MID(SUBSTITUTE(SUBSTITUTE($AI$4,"/",","),",",REPT(" ",99)),(ROW($1:$8)-1)*99+1,99))&lt;&gt;""),--ISNUMBER(SEARCH(TRIM(MID(SUBSTITUTE(SUBSTITUTE($AI$4,"/",","),",",REPT(" ",99)),(ROW($1:$8)-1)*99+1,99)),IFERROR(('Final Calculation Sheet'!$AH$15)&amp;"",""))))&gt;0,AND(ISNUMBER(SEARCH("blank",$AI$4)),NOT(ISNUMBER(SEARCH("nonblank",$AI$4))),IFERROR(('Final Calculation Sheet'!$AH$15)&amp;"","")=""),AND(OR(ISNUMBER(SEARCH("nonblank",$AI$4)),ISNUMBER(SEARCH("&lt;&gt;",$AI$4))),IFERROR(('Final Calculation Sheet'!$AH$15)&amp;"","")&lt;&gt;""),AND(TRIM($AI$4)="",IFERROR(('Final Calculation Sheet'!$AH$15)&amp;"","")=""))))</f>
        <v/>
      </c>
      <c r="CU16">
        <f>IF($AF$4="",1,--(OR(SUMPRODUCT(--(TRIM(MID(SUBSTITUTE(SUBSTITUTE($AF$4,"/",","),",",REPT(" ",99)),(ROW($1:$8)-1)*99+1,99))&lt;&gt;""),--ISNUMBER(SEARCH(TRIM(MID(SUBSTITUTE(SUBSTITUTE($AF$4,"/",","),",",REPT(" ",99)),(ROW($1:$8)-1)*99+1,99)),IFERROR((IF('Final Calculation Sheet'!$AD$15&lt;=5,"SETTLED","OUTSTANDING"))&amp;"",""))))&gt;0,AND(ISNUMBER(SEARCH("blank",$AF$4)),NOT(ISNUMBER(SEARCH("nonblank",$AF$4))),IFERROR((IF('Final Calculation Sheet'!$AD$15&lt;=5,"SETTLED","OUTSTANDING"))&amp;"","")=""),AND(OR(ISNUMBER(SEARCH("nonblank",$AF$4)),ISNUMBER(SEARCH("&lt;&gt;",$AF$4))),IFERROR((IF('Final Calculation Sheet'!$AD$15&lt;=5,"SETTLED","OUTSTANDING"))&amp;"","")&lt;&gt;""),AND(TRIM($AF$4)="",IFERROR((IF('Final Calculation Sheet'!$AD$15&lt;=5,"SETTLED","OUTSTANDING"))&amp;"","")=""))))</f>
        <v/>
      </c>
    </row>
    <row r="17" ht="15" customHeight="1" s="137">
      <c r="A17" s="67">
        <f>IF($BJ16&gt;0,INDEX($BA$5:$BA$41,MATCH(16,$BB$5:$BB$41,0)),IF(OR($BI16=1,$BL16=1,$BH16&gt;0),"∑",""))</f>
        <v/>
      </c>
      <c r="B17" s="76">
        <f>IF($BJ16&gt;0,IF(INDEX('Final Calculation Sheet'!$F$4:$F$40,$BJ16-3)="","",INDEX('Final Calculation Sheet'!$F$4:$F$40,$BJ16-3)),"")</f>
        <v/>
      </c>
      <c r="C17" s="76">
        <f>IF($BJ16&gt;0,IF(INDEX('Final Calculation Sheet'!$G$4:$G$40,$BJ16-3)="","",INDEX('Final Calculation Sheet'!$G$4:$G$40,$BJ16-3)),IF(OR($BI16=1,$BL16=1,$BH16&gt;0),IF($BI16=1,37,IF($BL16=1,37-INDEX($BD$4:$BD$13,10),INDEX($BD$4:$BD$13,$BH16)))&amp;" lot(s)",""))</f>
        <v/>
      </c>
      <c r="D17" s="80">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80">
        <f>IF($BJ16&gt;0,IF(INDEX('Final Calculation Sheet'!$D$4:$D$40,$BJ16-3)="","",INDEX('Final Calculation Sheet'!$D$4:$D$40,$BJ16-3)),IF(OR($BI16=1,$BL16=1,$BH16&gt;0),"–",""))</f>
        <v/>
      </c>
      <c r="F17" s="80">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80">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G17" s="70">
        <f>IF($BJ16&gt;0,IF(INDEX('Final Calculation Sheet'!$AF$4:$AF$40,$BJ16-3)="","",INDEX('Final Calculation Sheet'!$AF$4:$AF$40,$BJ16-3)),IF(OR($BI16=1,$BL16=1,$BH16&gt;0),"–",""))</f>
        <v/>
      </c>
      <c r="AH17" s="74">
        <f>IF($BJ16&gt;0,IF(INDEX('Final Calculation Sheet'!$AG$4:$AG$40,$BJ16-3)="","",INDEX('Final Calculation Sheet'!$AG$4:$AG$40,$BJ16-3)),IF(OR($BI16=1,$BL16=1,$BH16&gt;0),"–",""))</f>
        <v/>
      </c>
      <c r="AI17" s="70">
        <f>IF($BJ16&gt;0,IF(INDEX('Final Calculation Sheet'!$AH$4:$AH$40,$BJ16-3)="","",INDEX('Final Calculation Sheet'!$AH$4:$AH$40,$BJ16-3)),IF(OR($BI16=1,$BL16=1,$BH16&gt;0),"–",""))</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IF($CW$3="",1,--(OR(SUMPRODUCT(--(TRIM(MID(SUBSTITUTE(SUBSTITUTE($CW$3,"/",","),",",REPT(" ",99)),(ROW($1:$8)-1)*99+1,99))&lt;&gt;""),--ISNUMBER(SEARCH(TRIM(MID(SUBSTITUTE(SUBSTITUTE($CW$3,"/",","),",",REPT(" ",99)),(ROW($1:$8)-1)*99+1,99)),IFERROR(('Final Calculation Sheet'!$G$16)&amp;"",""))))&gt;0,AND(ISNUMBER(SEARCH("blank",$CW$3)),NOT(ISNUMBER(SEARCH("nonblank",$CW$3))),IFERROR(('Final Calculation Sheet'!$G$16)&amp;"","")=""),AND(OR(ISNUMBER(SEARCH("nonblank",$CW$3)),ISNUMBER(SEARCH("&lt;&gt;",$CW$3))),IFERROR(('Final Calculation Sheet'!$G$16)&amp;"","")&lt;&gt;""),AND(TRIM($CW$3)="",IFERROR(('Final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S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T17">
        <f>IF($AI$4="",1,--(OR(SUMPRODUCT(--(TRIM(MID(SUBSTITUTE(SUBSTITUTE($AI$4,"/",","),",",REPT(" ",99)),(ROW($1:$8)-1)*99+1,99))&lt;&gt;""),--ISNUMBER(SEARCH(TRIM(MID(SUBSTITUTE(SUBSTITUTE($AI$4,"/",","),",",REPT(" ",99)),(ROW($1:$8)-1)*99+1,99)),IFERROR(('Final Calculation Sheet'!$AH$16)&amp;"",""))))&gt;0,AND(ISNUMBER(SEARCH("blank",$AI$4)),NOT(ISNUMBER(SEARCH("nonblank",$AI$4))),IFERROR(('Final Calculation Sheet'!$AH$16)&amp;"","")=""),AND(OR(ISNUMBER(SEARCH("nonblank",$AI$4)),ISNUMBER(SEARCH("&lt;&gt;",$AI$4))),IFERROR(('Final Calculation Sheet'!$AH$16)&amp;"","")&lt;&gt;""),AND(TRIM($AI$4)="",IFERROR(('Final Calculation Sheet'!$AH$16)&amp;"","")=""))))</f>
        <v/>
      </c>
      <c r="CU17">
        <f>IF($AF$4="",1,--(OR(SUMPRODUCT(--(TRIM(MID(SUBSTITUTE(SUBSTITUTE($AF$4,"/",","),",",REPT(" ",99)),(ROW($1:$8)-1)*99+1,99))&lt;&gt;""),--ISNUMBER(SEARCH(TRIM(MID(SUBSTITUTE(SUBSTITUTE($AF$4,"/",","),",",REPT(" ",99)),(ROW($1:$8)-1)*99+1,99)),IFERROR((IF('Final Calculation Sheet'!$AD$16&lt;=5,"SETTLED","OUTSTANDING"))&amp;"",""))))&gt;0,AND(ISNUMBER(SEARCH("blank",$AF$4)),NOT(ISNUMBER(SEARCH("nonblank",$AF$4))),IFERROR((IF('Final Calculation Sheet'!$AD$16&lt;=5,"SETTLED","OUTSTANDING"))&amp;"","")=""),AND(OR(ISNUMBER(SEARCH("nonblank",$AF$4)),ISNUMBER(SEARCH("&lt;&gt;",$AF$4))),IFERROR((IF('Final Calculation Sheet'!$AD$16&lt;=5,"SETTLED","OUTSTANDING"))&amp;"","")&lt;&gt;""),AND(TRIM($AF$4)="",IFERROR((IF('Final Calculation Sheet'!$AD$16&lt;=5,"SETTLED","OUTSTANDING"))&amp;"","")=""))))</f>
        <v/>
      </c>
    </row>
    <row r="18" ht="15" customHeight="1" s="137">
      <c r="A18" s="67">
        <f>IF($BJ17&gt;0,INDEX($BA$5:$BA$41,MATCH(17,$BB$5:$BB$41,0)),IF(OR($BI17=1,$BL17=1,$BH17&gt;0),"∑",""))</f>
        <v/>
      </c>
      <c r="B18" s="76">
        <f>IF($BJ17&gt;0,IF(INDEX('Final Calculation Sheet'!$F$4:$F$40,$BJ17-3)="","",INDEX('Final Calculation Sheet'!$F$4:$F$40,$BJ17-3)),"")</f>
        <v/>
      </c>
      <c r="C18" s="76">
        <f>IF($BJ17&gt;0,IF(INDEX('Final Calculation Sheet'!$G$4:$G$40,$BJ17-3)="","",INDEX('Final Calculation Sheet'!$G$4:$G$40,$BJ17-3)),IF(OR($BI17=1,$BL17=1,$BH17&gt;0),IF($BI17=1,37,IF($BL17=1,37-INDEX($BD$4:$BD$13,10),INDEX($BD$4:$BD$13,$BH17)))&amp;" lot(s)",""))</f>
        <v/>
      </c>
      <c r="D18" s="80">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80">
        <f>IF($BJ17&gt;0,IF(INDEX('Final Calculation Sheet'!$D$4:$D$40,$BJ17-3)="","",INDEX('Final Calculation Sheet'!$D$4:$D$40,$BJ17-3)),IF(OR($BI17=1,$BL17=1,$BH17&gt;0),"–",""))</f>
        <v/>
      </c>
      <c r="F18" s="80">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80">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G18" s="70">
        <f>IF($BJ17&gt;0,IF(INDEX('Final Calculation Sheet'!$AF$4:$AF$40,$BJ17-3)="","",INDEX('Final Calculation Sheet'!$AF$4:$AF$40,$BJ17-3)),IF(OR($BI17=1,$BL17=1,$BH17&gt;0),"–",""))</f>
        <v/>
      </c>
      <c r="AH18" s="74">
        <f>IF($BJ17&gt;0,IF(INDEX('Final Calculation Sheet'!$AG$4:$AG$40,$BJ17-3)="","",INDEX('Final Calculation Sheet'!$AG$4:$AG$40,$BJ17-3)),IF(OR($BI17=1,$BL17=1,$BH17&gt;0),"–",""))</f>
        <v/>
      </c>
      <c r="AI18" s="70">
        <f>IF($BJ17&gt;0,IF(INDEX('Final Calculation Sheet'!$AH$4:$AH$40,$BJ17-3)="","",INDEX('Final Calculation Sheet'!$AH$4:$AH$40,$BJ17-3)),IF(OR($BI17=1,$BL17=1,$BH17&gt;0),"–",""))</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IF($CW$3="",1,--(OR(SUMPRODUCT(--(TRIM(MID(SUBSTITUTE(SUBSTITUTE($CW$3,"/",","),",",REPT(" ",99)),(ROW($1:$8)-1)*99+1,99))&lt;&gt;""),--ISNUMBER(SEARCH(TRIM(MID(SUBSTITUTE(SUBSTITUTE($CW$3,"/",","),",",REPT(" ",99)),(ROW($1:$8)-1)*99+1,99)),IFERROR(('Final Calculation Sheet'!$G$17)&amp;"",""))))&gt;0,AND(ISNUMBER(SEARCH("blank",$CW$3)),NOT(ISNUMBER(SEARCH("nonblank",$CW$3))),IFERROR(('Final Calculation Sheet'!$G$17)&amp;"","")=""),AND(OR(ISNUMBER(SEARCH("nonblank",$CW$3)),ISNUMBER(SEARCH("&lt;&gt;",$CW$3))),IFERROR(('Final Calculation Sheet'!$G$17)&amp;"","")&lt;&gt;""),AND(TRIM($CW$3)="",IFERROR(('Final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S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T18">
        <f>IF($AI$4="",1,--(OR(SUMPRODUCT(--(TRIM(MID(SUBSTITUTE(SUBSTITUTE($AI$4,"/",","),",",REPT(" ",99)),(ROW($1:$8)-1)*99+1,99))&lt;&gt;""),--ISNUMBER(SEARCH(TRIM(MID(SUBSTITUTE(SUBSTITUTE($AI$4,"/",","),",",REPT(" ",99)),(ROW($1:$8)-1)*99+1,99)),IFERROR(('Final Calculation Sheet'!$AH$17)&amp;"",""))))&gt;0,AND(ISNUMBER(SEARCH("blank",$AI$4)),NOT(ISNUMBER(SEARCH("nonblank",$AI$4))),IFERROR(('Final Calculation Sheet'!$AH$17)&amp;"","")=""),AND(OR(ISNUMBER(SEARCH("nonblank",$AI$4)),ISNUMBER(SEARCH("&lt;&gt;",$AI$4))),IFERROR(('Final Calculation Sheet'!$AH$17)&amp;"","")&lt;&gt;""),AND(TRIM($AI$4)="",IFERROR(('Final Calculation Sheet'!$AH$17)&amp;"","")=""))))</f>
        <v/>
      </c>
      <c r="CU18">
        <f>IF($AF$4="",1,--(OR(SUMPRODUCT(--(TRIM(MID(SUBSTITUTE(SUBSTITUTE($AF$4,"/",","),",",REPT(" ",99)),(ROW($1:$8)-1)*99+1,99))&lt;&gt;""),--ISNUMBER(SEARCH(TRIM(MID(SUBSTITUTE(SUBSTITUTE($AF$4,"/",","),",",REPT(" ",99)),(ROW($1:$8)-1)*99+1,99)),IFERROR((IF('Final Calculation Sheet'!$AD$17&lt;=5,"SETTLED","OUTSTANDING"))&amp;"",""))))&gt;0,AND(ISNUMBER(SEARCH("blank",$AF$4)),NOT(ISNUMBER(SEARCH("nonblank",$AF$4))),IFERROR((IF('Final Calculation Sheet'!$AD$17&lt;=5,"SETTLED","OUTSTANDING"))&amp;"","")=""),AND(OR(ISNUMBER(SEARCH("nonblank",$AF$4)),ISNUMBER(SEARCH("&lt;&gt;",$AF$4))),IFERROR((IF('Final Calculation Sheet'!$AD$17&lt;=5,"SETTLED","OUTSTANDING"))&amp;"","")&lt;&gt;""),AND(TRIM($AF$4)="",IFERROR((IF('Final Calculation Sheet'!$AD$17&lt;=5,"SETTLED","OUTSTANDING"))&amp;"","")=""))))</f>
        <v/>
      </c>
    </row>
    <row r="19" ht="15" customHeight="1" s="137">
      <c r="A19" s="67">
        <f>IF($BJ18&gt;0,INDEX($BA$5:$BA$41,MATCH(18,$BB$5:$BB$41,0)),IF(OR($BI18=1,$BL18=1,$BH18&gt;0),"∑",""))</f>
        <v/>
      </c>
      <c r="B19" s="76">
        <f>IF($BJ18&gt;0,IF(INDEX('Final Calculation Sheet'!$F$4:$F$40,$BJ18-3)="","",INDEX('Final Calculation Sheet'!$F$4:$F$40,$BJ18-3)),"")</f>
        <v/>
      </c>
      <c r="C19" s="76">
        <f>IF($BJ18&gt;0,IF(INDEX('Final Calculation Sheet'!$G$4:$G$40,$BJ18-3)="","",INDEX('Final Calculation Sheet'!$G$4:$G$40,$BJ18-3)),IF(OR($BI18=1,$BL18=1,$BH18&gt;0),IF($BI18=1,37,IF($BL18=1,37-INDEX($BD$4:$BD$13,10),INDEX($BD$4:$BD$13,$BH18)))&amp;" lot(s)",""))</f>
        <v/>
      </c>
      <c r="D19" s="80">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80">
        <f>IF($BJ18&gt;0,IF(INDEX('Final Calculation Sheet'!$D$4:$D$40,$BJ18-3)="","",INDEX('Final Calculation Sheet'!$D$4:$D$40,$BJ18-3)),IF(OR($BI18=1,$BL18=1,$BH18&gt;0),"–",""))</f>
        <v/>
      </c>
      <c r="F19" s="80">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80">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G19" s="70">
        <f>IF($BJ18&gt;0,IF(INDEX('Final Calculation Sheet'!$AF$4:$AF$40,$BJ18-3)="","",INDEX('Final Calculation Sheet'!$AF$4:$AF$40,$BJ18-3)),IF(OR($BI18=1,$BL18=1,$BH18&gt;0),"–",""))</f>
        <v/>
      </c>
      <c r="AH19" s="74">
        <f>IF($BJ18&gt;0,IF(INDEX('Final Calculation Sheet'!$AG$4:$AG$40,$BJ18-3)="","",INDEX('Final Calculation Sheet'!$AG$4:$AG$40,$BJ18-3)),IF(OR($BI18=1,$BL18=1,$BH18&gt;0),"–",""))</f>
        <v/>
      </c>
      <c r="AI19" s="70">
        <f>IF($BJ18&gt;0,IF(INDEX('Final Calculation Sheet'!$AH$4:$AH$40,$BJ18-3)="","",INDEX('Final Calculation Sheet'!$AH$4:$AH$40,$BJ18-3)),IF(OR($BI18=1,$BL18=1,$BH18&gt;0),"–",""))</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IF($CW$3="",1,--(OR(SUMPRODUCT(--(TRIM(MID(SUBSTITUTE(SUBSTITUTE($CW$3,"/",","),",",REPT(" ",99)),(ROW($1:$8)-1)*99+1,99))&lt;&gt;""),--ISNUMBER(SEARCH(TRIM(MID(SUBSTITUTE(SUBSTITUTE($CW$3,"/",","),",",REPT(" ",99)),(ROW($1:$8)-1)*99+1,99)),IFERROR(('Final Calculation Sheet'!$G$18)&amp;"",""))))&gt;0,AND(ISNUMBER(SEARCH("blank",$CW$3)),NOT(ISNUMBER(SEARCH("nonblank",$CW$3))),IFERROR(('Final Calculation Sheet'!$G$18)&amp;"","")=""),AND(OR(ISNUMBER(SEARCH("nonblank",$CW$3)),ISNUMBER(SEARCH("&lt;&gt;",$CW$3))),IFERROR(('Final Calculation Sheet'!$G$18)&amp;"","")&lt;&gt;""),AND(TRIM($CW$3)="",IFERROR(('Final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S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T19">
        <f>IF($AI$4="",1,--(OR(SUMPRODUCT(--(TRIM(MID(SUBSTITUTE(SUBSTITUTE($AI$4,"/",","),",",REPT(" ",99)),(ROW($1:$8)-1)*99+1,99))&lt;&gt;""),--ISNUMBER(SEARCH(TRIM(MID(SUBSTITUTE(SUBSTITUTE($AI$4,"/",","),",",REPT(" ",99)),(ROW($1:$8)-1)*99+1,99)),IFERROR(('Final Calculation Sheet'!$AH$18)&amp;"",""))))&gt;0,AND(ISNUMBER(SEARCH("blank",$AI$4)),NOT(ISNUMBER(SEARCH("nonblank",$AI$4))),IFERROR(('Final Calculation Sheet'!$AH$18)&amp;"","")=""),AND(OR(ISNUMBER(SEARCH("nonblank",$AI$4)),ISNUMBER(SEARCH("&lt;&gt;",$AI$4))),IFERROR(('Final Calculation Sheet'!$AH$18)&amp;"","")&lt;&gt;""),AND(TRIM($AI$4)="",IFERROR(('Final Calculation Sheet'!$AH$18)&amp;"","")=""))))</f>
        <v/>
      </c>
      <c r="CU19">
        <f>IF($AF$4="",1,--(OR(SUMPRODUCT(--(TRIM(MID(SUBSTITUTE(SUBSTITUTE($AF$4,"/",","),",",REPT(" ",99)),(ROW($1:$8)-1)*99+1,99))&lt;&gt;""),--ISNUMBER(SEARCH(TRIM(MID(SUBSTITUTE(SUBSTITUTE($AF$4,"/",","),",",REPT(" ",99)),(ROW($1:$8)-1)*99+1,99)),IFERROR((IF('Final Calculation Sheet'!$AD$18&lt;=5,"SETTLED","OUTSTANDING"))&amp;"",""))))&gt;0,AND(ISNUMBER(SEARCH("blank",$AF$4)),NOT(ISNUMBER(SEARCH("nonblank",$AF$4))),IFERROR((IF('Final Calculation Sheet'!$AD$18&lt;=5,"SETTLED","OUTSTANDING"))&amp;"","")=""),AND(OR(ISNUMBER(SEARCH("nonblank",$AF$4)),ISNUMBER(SEARCH("&lt;&gt;",$AF$4))),IFERROR((IF('Final Calculation Sheet'!$AD$18&lt;=5,"SETTLED","OUTSTANDING"))&amp;"","")&lt;&gt;""),AND(TRIM($AF$4)="",IFERROR((IF('Final Calculation Sheet'!$AD$18&lt;=5,"SETTLED","OUTSTANDING"))&amp;"","")=""))))</f>
        <v/>
      </c>
    </row>
    <row r="20" ht="15" customHeight="1" s="137">
      <c r="A20" s="67">
        <f>IF($BJ19&gt;0,INDEX($BA$5:$BA$41,MATCH(19,$BB$5:$BB$41,0)),IF(OR($BI19=1,$BL19=1,$BH19&gt;0),"∑",""))</f>
        <v/>
      </c>
      <c r="B20" s="76">
        <f>IF($BJ19&gt;0,IF(INDEX('Final Calculation Sheet'!$F$4:$F$40,$BJ19-3)="","",INDEX('Final Calculation Sheet'!$F$4:$F$40,$BJ19-3)),"")</f>
        <v/>
      </c>
      <c r="C20" s="76">
        <f>IF($BJ19&gt;0,IF(INDEX('Final Calculation Sheet'!$G$4:$G$40,$BJ19-3)="","",INDEX('Final Calculation Sheet'!$G$4:$G$40,$BJ19-3)),IF(OR($BI19=1,$BL19=1,$BH19&gt;0),IF($BI19=1,37,IF($BL19=1,37-INDEX($BD$4:$BD$13,10),INDEX($BD$4:$BD$13,$BH19)))&amp;" lot(s)",""))</f>
        <v/>
      </c>
      <c r="D20" s="80">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80">
        <f>IF($BJ19&gt;0,IF(INDEX('Final Calculation Sheet'!$D$4:$D$40,$BJ19-3)="","",INDEX('Final Calculation Sheet'!$D$4:$D$40,$BJ19-3)),IF(OR($BI19=1,$BL19=1,$BH19&gt;0),"–",""))</f>
        <v/>
      </c>
      <c r="F20" s="80">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80">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G20" s="70">
        <f>IF($BJ19&gt;0,IF(INDEX('Final Calculation Sheet'!$AF$4:$AF$40,$BJ19-3)="","",INDEX('Final Calculation Sheet'!$AF$4:$AF$40,$BJ19-3)),IF(OR($BI19=1,$BL19=1,$BH19&gt;0),"–",""))</f>
        <v/>
      </c>
      <c r="AH20" s="74">
        <f>IF($BJ19&gt;0,IF(INDEX('Final Calculation Sheet'!$AG$4:$AG$40,$BJ19-3)="","",INDEX('Final Calculation Sheet'!$AG$4:$AG$40,$BJ19-3)),IF(OR($BI19=1,$BL19=1,$BH19&gt;0),"–",""))</f>
        <v/>
      </c>
      <c r="AI20" s="70">
        <f>IF($BJ19&gt;0,IF(INDEX('Final Calculation Sheet'!$AH$4:$AH$40,$BJ19-3)="","",INDEX('Final Calculation Sheet'!$AH$4:$AH$40,$BJ19-3)),IF(OR($BI19=1,$BL19=1,$BH19&gt;0),"–",""))</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IF($CW$3="",1,--(OR(SUMPRODUCT(--(TRIM(MID(SUBSTITUTE(SUBSTITUTE($CW$3,"/",","),",",REPT(" ",99)),(ROW($1:$8)-1)*99+1,99))&lt;&gt;""),--ISNUMBER(SEARCH(TRIM(MID(SUBSTITUTE(SUBSTITUTE($CW$3,"/",","),",",REPT(" ",99)),(ROW($1:$8)-1)*99+1,99)),IFERROR(('Final Calculation Sheet'!$G$19)&amp;"",""))))&gt;0,AND(ISNUMBER(SEARCH("blank",$CW$3)),NOT(ISNUMBER(SEARCH("nonblank",$CW$3))),IFERROR(('Final Calculation Sheet'!$G$19)&amp;"","")=""),AND(OR(ISNUMBER(SEARCH("nonblank",$CW$3)),ISNUMBER(SEARCH("&lt;&gt;",$CW$3))),IFERROR(('Final Calculation Sheet'!$G$19)&amp;"","")&lt;&gt;""),AND(TRIM($CW$3)="",IFERROR(('Final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S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T20">
        <f>IF($AI$4="",1,--(OR(SUMPRODUCT(--(TRIM(MID(SUBSTITUTE(SUBSTITUTE($AI$4,"/",","),",",REPT(" ",99)),(ROW($1:$8)-1)*99+1,99))&lt;&gt;""),--ISNUMBER(SEARCH(TRIM(MID(SUBSTITUTE(SUBSTITUTE($AI$4,"/",","),",",REPT(" ",99)),(ROW($1:$8)-1)*99+1,99)),IFERROR(('Final Calculation Sheet'!$AH$19)&amp;"",""))))&gt;0,AND(ISNUMBER(SEARCH("blank",$AI$4)),NOT(ISNUMBER(SEARCH("nonblank",$AI$4))),IFERROR(('Final Calculation Sheet'!$AH$19)&amp;"","")=""),AND(OR(ISNUMBER(SEARCH("nonblank",$AI$4)),ISNUMBER(SEARCH("&lt;&gt;",$AI$4))),IFERROR(('Final Calculation Sheet'!$AH$19)&amp;"","")&lt;&gt;""),AND(TRIM($AI$4)="",IFERROR(('Final Calculation Sheet'!$AH$19)&amp;"","")=""))))</f>
        <v/>
      </c>
      <c r="CU20">
        <f>IF($AF$4="",1,--(OR(SUMPRODUCT(--(TRIM(MID(SUBSTITUTE(SUBSTITUTE($AF$4,"/",","),",",REPT(" ",99)),(ROW($1:$8)-1)*99+1,99))&lt;&gt;""),--ISNUMBER(SEARCH(TRIM(MID(SUBSTITUTE(SUBSTITUTE($AF$4,"/",","),",",REPT(" ",99)),(ROW($1:$8)-1)*99+1,99)),IFERROR((IF('Final Calculation Sheet'!$AD$19&lt;=5,"SETTLED","OUTSTANDING"))&amp;"",""))))&gt;0,AND(ISNUMBER(SEARCH("blank",$AF$4)),NOT(ISNUMBER(SEARCH("nonblank",$AF$4))),IFERROR((IF('Final Calculation Sheet'!$AD$19&lt;=5,"SETTLED","OUTSTANDING"))&amp;"","")=""),AND(OR(ISNUMBER(SEARCH("nonblank",$AF$4)),ISNUMBER(SEARCH("&lt;&gt;",$AF$4))),IFERROR((IF('Final Calculation Sheet'!$AD$19&lt;=5,"SETTLED","OUTSTANDING"))&amp;"","")&lt;&gt;""),AND(TRIM($AF$4)="",IFERROR((IF('Final Calculation Sheet'!$AD$19&lt;=5,"SETTLED","OUTSTANDING"))&amp;"","")=""))))</f>
        <v/>
      </c>
    </row>
    <row r="21" ht="15" customHeight="1" s="137">
      <c r="A21" s="67">
        <f>IF($BJ20&gt;0,INDEX($BA$5:$BA$41,MATCH(20,$BB$5:$BB$41,0)),IF(OR($BI20=1,$BL20=1,$BH20&gt;0),"∑",""))</f>
        <v/>
      </c>
      <c r="B21" s="76">
        <f>IF($BJ20&gt;0,IF(INDEX('Final Calculation Sheet'!$F$4:$F$40,$BJ20-3)="","",INDEX('Final Calculation Sheet'!$F$4:$F$40,$BJ20-3)),"")</f>
        <v/>
      </c>
      <c r="C21" s="76">
        <f>IF($BJ20&gt;0,IF(INDEX('Final Calculation Sheet'!$G$4:$G$40,$BJ20-3)="","",INDEX('Final Calculation Sheet'!$G$4:$G$40,$BJ20-3)),IF(OR($BI20=1,$BL20=1,$BH20&gt;0),IF($BI20=1,37,IF($BL20=1,37-INDEX($BD$4:$BD$13,10),INDEX($BD$4:$BD$13,$BH20)))&amp;" lot(s)",""))</f>
        <v/>
      </c>
      <c r="D21" s="80">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80">
        <f>IF($BJ20&gt;0,IF(INDEX('Final Calculation Sheet'!$D$4:$D$40,$BJ20-3)="","",INDEX('Final Calculation Sheet'!$D$4:$D$40,$BJ20-3)),IF(OR($BI20=1,$BL20=1,$BH20&gt;0),"–",""))</f>
        <v/>
      </c>
      <c r="F21" s="80">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80">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G21" s="70">
        <f>IF($BJ20&gt;0,IF(INDEX('Final Calculation Sheet'!$AF$4:$AF$40,$BJ20-3)="","",INDEX('Final Calculation Sheet'!$AF$4:$AF$40,$BJ20-3)),IF(OR($BI20=1,$BL20=1,$BH20&gt;0),"–",""))</f>
        <v/>
      </c>
      <c r="AH21" s="74">
        <f>IF($BJ20&gt;0,IF(INDEX('Final Calculation Sheet'!$AG$4:$AG$40,$BJ20-3)="","",INDEX('Final Calculation Sheet'!$AG$4:$AG$40,$BJ20-3)),IF(OR($BI20=1,$BL20=1,$BH20&gt;0),"–",""))</f>
        <v/>
      </c>
      <c r="AI21" s="70">
        <f>IF($BJ20&gt;0,IF(INDEX('Final Calculation Sheet'!$AH$4:$AH$40,$BJ20-3)="","",INDEX('Final Calculation Sheet'!$AH$4:$AH$40,$BJ20-3)),IF(OR($BI20=1,$BL20=1,$BH20&gt;0),"–",""))</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IF($CW$3="",1,--(OR(SUMPRODUCT(--(TRIM(MID(SUBSTITUTE(SUBSTITUTE($CW$3,"/",","),",",REPT(" ",99)),(ROW($1:$8)-1)*99+1,99))&lt;&gt;""),--ISNUMBER(SEARCH(TRIM(MID(SUBSTITUTE(SUBSTITUTE($CW$3,"/",","),",",REPT(" ",99)),(ROW($1:$8)-1)*99+1,99)),IFERROR(('Final Calculation Sheet'!$G$20)&amp;"",""))))&gt;0,AND(ISNUMBER(SEARCH("blank",$CW$3)),NOT(ISNUMBER(SEARCH("nonblank",$CW$3))),IFERROR(('Final Calculation Sheet'!$G$20)&amp;"","")=""),AND(OR(ISNUMBER(SEARCH("nonblank",$CW$3)),ISNUMBER(SEARCH("&lt;&gt;",$CW$3))),IFERROR(('Final Calculation Sheet'!$G$20)&amp;"","")&lt;&gt;""),AND(TRIM($CW$3)="",IFERROR(('Final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S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T21">
        <f>IF($AI$4="",1,--(OR(SUMPRODUCT(--(TRIM(MID(SUBSTITUTE(SUBSTITUTE($AI$4,"/",","),",",REPT(" ",99)),(ROW($1:$8)-1)*99+1,99))&lt;&gt;""),--ISNUMBER(SEARCH(TRIM(MID(SUBSTITUTE(SUBSTITUTE($AI$4,"/",","),",",REPT(" ",99)),(ROW($1:$8)-1)*99+1,99)),IFERROR(('Final Calculation Sheet'!$AH$20)&amp;"",""))))&gt;0,AND(ISNUMBER(SEARCH("blank",$AI$4)),NOT(ISNUMBER(SEARCH("nonblank",$AI$4))),IFERROR(('Final Calculation Sheet'!$AH$20)&amp;"","")=""),AND(OR(ISNUMBER(SEARCH("nonblank",$AI$4)),ISNUMBER(SEARCH("&lt;&gt;",$AI$4))),IFERROR(('Final Calculation Sheet'!$AH$20)&amp;"","")&lt;&gt;""),AND(TRIM($AI$4)="",IFERROR(('Final Calculation Sheet'!$AH$20)&amp;"","")=""))))</f>
        <v/>
      </c>
      <c r="CU21">
        <f>IF($AF$4="",1,--(OR(SUMPRODUCT(--(TRIM(MID(SUBSTITUTE(SUBSTITUTE($AF$4,"/",","),",",REPT(" ",99)),(ROW($1:$8)-1)*99+1,99))&lt;&gt;""),--ISNUMBER(SEARCH(TRIM(MID(SUBSTITUTE(SUBSTITUTE($AF$4,"/",","),",",REPT(" ",99)),(ROW($1:$8)-1)*99+1,99)),IFERROR((IF('Final Calculation Sheet'!$AD$20&lt;=5,"SETTLED","OUTSTANDING"))&amp;"",""))))&gt;0,AND(ISNUMBER(SEARCH("blank",$AF$4)),NOT(ISNUMBER(SEARCH("nonblank",$AF$4))),IFERROR((IF('Final Calculation Sheet'!$AD$20&lt;=5,"SETTLED","OUTSTANDING"))&amp;"","")=""),AND(OR(ISNUMBER(SEARCH("nonblank",$AF$4)),ISNUMBER(SEARCH("&lt;&gt;",$AF$4))),IFERROR((IF('Final Calculation Sheet'!$AD$20&lt;=5,"SETTLED","OUTSTANDING"))&amp;"","")&lt;&gt;""),AND(TRIM($AF$4)="",IFERROR((IF('Final Calculation Sheet'!$AD$20&lt;=5,"SETTLED","OUTSTANDING"))&amp;"","")=""))))</f>
        <v/>
      </c>
    </row>
    <row r="22" ht="15" customHeight="1" s="137">
      <c r="A22" s="67">
        <f>IF($BJ21&gt;0,INDEX($BA$5:$BA$41,MATCH(21,$BB$5:$BB$41,0)),IF(OR($BI21=1,$BL21=1,$BH21&gt;0),"∑",""))</f>
        <v/>
      </c>
      <c r="B22" s="76">
        <f>IF($BJ21&gt;0,IF(INDEX('Final Calculation Sheet'!$F$4:$F$40,$BJ21-3)="","",INDEX('Final Calculation Sheet'!$F$4:$F$40,$BJ21-3)),"")</f>
        <v/>
      </c>
      <c r="C22" s="76">
        <f>IF($BJ21&gt;0,IF(INDEX('Final Calculation Sheet'!$G$4:$G$40,$BJ21-3)="","",INDEX('Final Calculation Sheet'!$G$4:$G$40,$BJ21-3)),IF(OR($BI21=1,$BL21=1,$BH21&gt;0),IF($BI21=1,37,IF($BL21=1,37-INDEX($BD$4:$BD$13,10),INDEX($BD$4:$BD$13,$BH21)))&amp;" lot(s)",""))</f>
        <v/>
      </c>
      <c r="D22" s="80">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80">
        <f>IF($BJ21&gt;0,IF(INDEX('Final Calculation Sheet'!$D$4:$D$40,$BJ21-3)="","",INDEX('Final Calculation Sheet'!$D$4:$D$40,$BJ21-3)),IF(OR($BI21=1,$BL21=1,$BH21&gt;0),"–",""))</f>
        <v/>
      </c>
      <c r="F22" s="80">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80">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G22" s="70">
        <f>IF($BJ21&gt;0,IF(INDEX('Final Calculation Sheet'!$AF$4:$AF$40,$BJ21-3)="","",INDEX('Final Calculation Sheet'!$AF$4:$AF$40,$BJ21-3)),IF(OR($BI21=1,$BL21=1,$BH21&gt;0),"–",""))</f>
        <v/>
      </c>
      <c r="AH22" s="74">
        <f>IF($BJ21&gt;0,IF(INDEX('Final Calculation Sheet'!$AG$4:$AG$40,$BJ21-3)="","",INDEX('Final Calculation Sheet'!$AG$4:$AG$40,$BJ21-3)),IF(OR($BI21=1,$BL21=1,$BH21&gt;0),"–",""))</f>
        <v/>
      </c>
      <c r="AI22" s="70">
        <f>IF($BJ21&gt;0,IF(INDEX('Final Calculation Sheet'!$AH$4:$AH$40,$BJ21-3)="","",INDEX('Final Calculation Sheet'!$AH$4:$AH$40,$BJ21-3)),IF(OR($BI21=1,$BL21=1,$BH21&gt;0),"–",""))</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IF($CW$3="",1,--(OR(SUMPRODUCT(--(TRIM(MID(SUBSTITUTE(SUBSTITUTE($CW$3,"/",","),",",REPT(" ",99)),(ROW($1:$8)-1)*99+1,99))&lt;&gt;""),--ISNUMBER(SEARCH(TRIM(MID(SUBSTITUTE(SUBSTITUTE($CW$3,"/",","),",",REPT(" ",99)),(ROW($1:$8)-1)*99+1,99)),IFERROR(('Final Calculation Sheet'!$G$21)&amp;"",""))))&gt;0,AND(ISNUMBER(SEARCH("blank",$CW$3)),NOT(ISNUMBER(SEARCH("nonblank",$CW$3))),IFERROR(('Final Calculation Sheet'!$G$21)&amp;"","")=""),AND(OR(ISNUMBER(SEARCH("nonblank",$CW$3)),ISNUMBER(SEARCH("&lt;&gt;",$CW$3))),IFERROR(('Final Calculation Sheet'!$G$21)&amp;"","")&lt;&gt;""),AND(TRIM($CW$3)="",IFERROR(('Final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S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T22">
        <f>IF($AI$4="",1,--(OR(SUMPRODUCT(--(TRIM(MID(SUBSTITUTE(SUBSTITUTE($AI$4,"/",","),",",REPT(" ",99)),(ROW($1:$8)-1)*99+1,99))&lt;&gt;""),--ISNUMBER(SEARCH(TRIM(MID(SUBSTITUTE(SUBSTITUTE($AI$4,"/",","),",",REPT(" ",99)),(ROW($1:$8)-1)*99+1,99)),IFERROR(('Final Calculation Sheet'!$AH$21)&amp;"",""))))&gt;0,AND(ISNUMBER(SEARCH("blank",$AI$4)),NOT(ISNUMBER(SEARCH("nonblank",$AI$4))),IFERROR(('Final Calculation Sheet'!$AH$21)&amp;"","")=""),AND(OR(ISNUMBER(SEARCH("nonblank",$AI$4)),ISNUMBER(SEARCH("&lt;&gt;",$AI$4))),IFERROR(('Final Calculation Sheet'!$AH$21)&amp;"","")&lt;&gt;""),AND(TRIM($AI$4)="",IFERROR(('Final Calculation Sheet'!$AH$21)&amp;"","")=""))))</f>
        <v/>
      </c>
      <c r="CU22">
        <f>IF($AF$4="",1,--(OR(SUMPRODUCT(--(TRIM(MID(SUBSTITUTE(SUBSTITUTE($AF$4,"/",","),",",REPT(" ",99)),(ROW($1:$8)-1)*99+1,99))&lt;&gt;""),--ISNUMBER(SEARCH(TRIM(MID(SUBSTITUTE(SUBSTITUTE($AF$4,"/",","),",",REPT(" ",99)),(ROW($1:$8)-1)*99+1,99)),IFERROR((IF('Final Calculation Sheet'!$AD$21&lt;=5,"SETTLED","OUTSTANDING"))&amp;"",""))))&gt;0,AND(ISNUMBER(SEARCH("blank",$AF$4)),NOT(ISNUMBER(SEARCH("nonblank",$AF$4))),IFERROR((IF('Final Calculation Sheet'!$AD$21&lt;=5,"SETTLED","OUTSTANDING"))&amp;"","")=""),AND(OR(ISNUMBER(SEARCH("nonblank",$AF$4)),ISNUMBER(SEARCH("&lt;&gt;",$AF$4))),IFERROR((IF('Final Calculation Sheet'!$AD$21&lt;=5,"SETTLED","OUTSTANDING"))&amp;"","")&lt;&gt;""),AND(TRIM($AF$4)="",IFERROR((IF('Final Calculation Sheet'!$AD$21&lt;=5,"SETTLED","OUTSTANDING"))&amp;"","")=""))))</f>
        <v/>
      </c>
    </row>
    <row r="23" ht="15" customHeight="1" s="137">
      <c r="A23" s="67">
        <f>IF($BJ22&gt;0,INDEX($BA$5:$BA$41,MATCH(22,$BB$5:$BB$41,0)),IF(OR($BI22=1,$BL22=1,$BH22&gt;0),"∑",""))</f>
        <v/>
      </c>
      <c r="B23" s="76">
        <f>IF($BJ22&gt;0,IF(INDEX('Final Calculation Sheet'!$F$4:$F$40,$BJ22-3)="","",INDEX('Final Calculation Sheet'!$F$4:$F$40,$BJ22-3)),"")</f>
        <v/>
      </c>
      <c r="C23" s="76">
        <f>IF($BJ22&gt;0,IF(INDEX('Final Calculation Sheet'!$G$4:$G$40,$BJ22-3)="","",INDEX('Final Calculation Sheet'!$G$4:$G$40,$BJ22-3)),IF(OR($BI22=1,$BL22=1,$BH22&gt;0),IF($BI22=1,37,IF($BL22=1,37-INDEX($BD$4:$BD$13,10),INDEX($BD$4:$BD$13,$BH22)))&amp;" lot(s)",""))</f>
        <v/>
      </c>
      <c r="D23" s="80">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80">
        <f>IF($BJ22&gt;0,IF(INDEX('Final Calculation Sheet'!$D$4:$D$40,$BJ22-3)="","",INDEX('Final Calculation Sheet'!$D$4:$D$40,$BJ22-3)),IF(OR($BI22=1,$BL22=1,$BH22&gt;0),"–",""))</f>
        <v/>
      </c>
      <c r="F23" s="80">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80">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G23" s="70">
        <f>IF($BJ22&gt;0,IF(INDEX('Final Calculation Sheet'!$AF$4:$AF$40,$BJ22-3)="","",INDEX('Final Calculation Sheet'!$AF$4:$AF$40,$BJ22-3)),IF(OR($BI22=1,$BL22=1,$BH22&gt;0),"–",""))</f>
        <v/>
      </c>
      <c r="AH23" s="74">
        <f>IF($BJ22&gt;0,IF(INDEX('Final Calculation Sheet'!$AG$4:$AG$40,$BJ22-3)="","",INDEX('Final Calculation Sheet'!$AG$4:$AG$40,$BJ22-3)),IF(OR($BI22=1,$BL22=1,$BH22&gt;0),"–",""))</f>
        <v/>
      </c>
      <c r="AI23" s="70">
        <f>IF($BJ22&gt;0,IF(INDEX('Final Calculation Sheet'!$AH$4:$AH$40,$BJ22-3)="","",INDEX('Final Calculation Sheet'!$AH$4:$AH$40,$BJ22-3)),IF(OR($BI22=1,$BL22=1,$BH22&gt;0),"–",""))</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IF($CW$3="",1,--(OR(SUMPRODUCT(--(TRIM(MID(SUBSTITUTE(SUBSTITUTE($CW$3,"/",","),",",REPT(" ",99)),(ROW($1:$8)-1)*99+1,99))&lt;&gt;""),--ISNUMBER(SEARCH(TRIM(MID(SUBSTITUTE(SUBSTITUTE($CW$3,"/",","),",",REPT(" ",99)),(ROW($1:$8)-1)*99+1,99)),IFERROR(('Final Calculation Sheet'!$G$22)&amp;"",""))))&gt;0,AND(ISNUMBER(SEARCH("blank",$CW$3)),NOT(ISNUMBER(SEARCH("nonblank",$CW$3))),IFERROR(('Final Calculation Sheet'!$G$22)&amp;"","")=""),AND(OR(ISNUMBER(SEARCH("nonblank",$CW$3)),ISNUMBER(SEARCH("&lt;&gt;",$CW$3))),IFERROR(('Final Calculation Sheet'!$G$22)&amp;"","")&lt;&gt;""),AND(TRIM($CW$3)="",IFERROR(('Final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S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T23">
        <f>IF($AI$4="",1,--(OR(SUMPRODUCT(--(TRIM(MID(SUBSTITUTE(SUBSTITUTE($AI$4,"/",","),",",REPT(" ",99)),(ROW($1:$8)-1)*99+1,99))&lt;&gt;""),--ISNUMBER(SEARCH(TRIM(MID(SUBSTITUTE(SUBSTITUTE($AI$4,"/",","),",",REPT(" ",99)),(ROW($1:$8)-1)*99+1,99)),IFERROR(('Final Calculation Sheet'!$AH$22)&amp;"",""))))&gt;0,AND(ISNUMBER(SEARCH("blank",$AI$4)),NOT(ISNUMBER(SEARCH("nonblank",$AI$4))),IFERROR(('Final Calculation Sheet'!$AH$22)&amp;"","")=""),AND(OR(ISNUMBER(SEARCH("nonblank",$AI$4)),ISNUMBER(SEARCH("&lt;&gt;",$AI$4))),IFERROR(('Final Calculation Sheet'!$AH$22)&amp;"","")&lt;&gt;""),AND(TRIM($AI$4)="",IFERROR(('Final Calculation Sheet'!$AH$22)&amp;"","")=""))))</f>
        <v/>
      </c>
      <c r="CU23">
        <f>IF($AF$4="",1,--(OR(SUMPRODUCT(--(TRIM(MID(SUBSTITUTE(SUBSTITUTE($AF$4,"/",","),",",REPT(" ",99)),(ROW($1:$8)-1)*99+1,99))&lt;&gt;""),--ISNUMBER(SEARCH(TRIM(MID(SUBSTITUTE(SUBSTITUTE($AF$4,"/",","),",",REPT(" ",99)),(ROW($1:$8)-1)*99+1,99)),IFERROR((IF('Final Calculation Sheet'!$AD$22&lt;=5,"SETTLED","OUTSTANDING"))&amp;"",""))))&gt;0,AND(ISNUMBER(SEARCH("blank",$AF$4)),NOT(ISNUMBER(SEARCH("nonblank",$AF$4))),IFERROR((IF('Final Calculation Sheet'!$AD$22&lt;=5,"SETTLED","OUTSTANDING"))&amp;"","")=""),AND(OR(ISNUMBER(SEARCH("nonblank",$AF$4)),ISNUMBER(SEARCH("&lt;&gt;",$AF$4))),IFERROR((IF('Final Calculation Sheet'!$AD$22&lt;=5,"SETTLED","OUTSTANDING"))&amp;"","")&lt;&gt;""),AND(TRIM($AF$4)="",IFERROR((IF('Final Calculation Sheet'!$AD$22&lt;=5,"SETTLED","OUTSTANDING"))&amp;"","")=""))))</f>
        <v/>
      </c>
    </row>
    <row r="24" ht="15" customHeight="1" s="137">
      <c r="A24" s="67">
        <f>IF($BJ23&gt;0,INDEX($BA$5:$BA$41,MATCH(23,$BB$5:$BB$41,0)),IF(OR($BI23=1,$BL23=1,$BH23&gt;0),"∑",""))</f>
        <v/>
      </c>
      <c r="B24" s="76">
        <f>IF($BJ23&gt;0,IF(INDEX('Final Calculation Sheet'!$F$4:$F$40,$BJ23-3)="","",INDEX('Final Calculation Sheet'!$F$4:$F$40,$BJ23-3)),"")</f>
        <v/>
      </c>
      <c r="C24" s="76">
        <f>IF($BJ23&gt;0,IF(INDEX('Final Calculation Sheet'!$G$4:$G$40,$BJ23-3)="","",INDEX('Final Calculation Sheet'!$G$4:$G$40,$BJ23-3)),IF(OR($BI23=1,$BL23=1,$BH23&gt;0),IF($BI23=1,37,IF($BL23=1,37-INDEX($BD$4:$BD$13,10),INDEX($BD$4:$BD$13,$BH23)))&amp;" lot(s)",""))</f>
        <v/>
      </c>
      <c r="D24" s="80">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80">
        <f>IF($BJ23&gt;0,IF(INDEX('Final Calculation Sheet'!$D$4:$D$40,$BJ23-3)="","",INDEX('Final Calculation Sheet'!$D$4:$D$40,$BJ23-3)),IF(OR($BI23=1,$BL23=1,$BH23&gt;0),"–",""))</f>
        <v/>
      </c>
      <c r="F24" s="80">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80">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G24" s="70">
        <f>IF($BJ23&gt;0,IF(INDEX('Final Calculation Sheet'!$AF$4:$AF$40,$BJ23-3)="","",INDEX('Final Calculation Sheet'!$AF$4:$AF$40,$BJ23-3)),IF(OR($BI23=1,$BL23=1,$BH23&gt;0),"–",""))</f>
        <v/>
      </c>
      <c r="AH24" s="74">
        <f>IF($BJ23&gt;0,IF(INDEX('Final Calculation Sheet'!$AG$4:$AG$40,$BJ23-3)="","",INDEX('Final Calculation Sheet'!$AG$4:$AG$40,$BJ23-3)),IF(OR($BI23=1,$BL23=1,$BH23&gt;0),"–",""))</f>
        <v/>
      </c>
      <c r="AI24" s="70">
        <f>IF($BJ23&gt;0,IF(INDEX('Final Calculation Sheet'!$AH$4:$AH$40,$BJ23-3)="","",INDEX('Final Calculation Sheet'!$AH$4:$AH$40,$BJ23-3)),IF(OR($BI23=1,$BL23=1,$BH23&gt;0),"–",""))</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IF($CW$3="",1,--(OR(SUMPRODUCT(--(TRIM(MID(SUBSTITUTE(SUBSTITUTE($CW$3,"/",","),",",REPT(" ",99)),(ROW($1:$8)-1)*99+1,99))&lt;&gt;""),--ISNUMBER(SEARCH(TRIM(MID(SUBSTITUTE(SUBSTITUTE($CW$3,"/",","),",",REPT(" ",99)),(ROW($1:$8)-1)*99+1,99)),IFERROR(('Final Calculation Sheet'!$G$23)&amp;"",""))))&gt;0,AND(ISNUMBER(SEARCH("blank",$CW$3)),NOT(ISNUMBER(SEARCH("nonblank",$CW$3))),IFERROR(('Final Calculation Sheet'!$G$23)&amp;"","")=""),AND(OR(ISNUMBER(SEARCH("nonblank",$CW$3)),ISNUMBER(SEARCH("&lt;&gt;",$CW$3))),IFERROR(('Final Calculation Sheet'!$G$23)&amp;"","")&lt;&gt;""),AND(TRIM($CW$3)="",IFERROR(('Final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S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T24">
        <f>IF($AI$4="",1,--(OR(SUMPRODUCT(--(TRIM(MID(SUBSTITUTE(SUBSTITUTE($AI$4,"/",","),",",REPT(" ",99)),(ROW($1:$8)-1)*99+1,99))&lt;&gt;""),--ISNUMBER(SEARCH(TRIM(MID(SUBSTITUTE(SUBSTITUTE($AI$4,"/",","),",",REPT(" ",99)),(ROW($1:$8)-1)*99+1,99)),IFERROR(('Final Calculation Sheet'!$AH$23)&amp;"",""))))&gt;0,AND(ISNUMBER(SEARCH("blank",$AI$4)),NOT(ISNUMBER(SEARCH("nonblank",$AI$4))),IFERROR(('Final Calculation Sheet'!$AH$23)&amp;"","")=""),AND(OR(ISNUMBER(SEARCH("nonblank",$AI$4)),ISNUMBER(SEARCH("&lt;&gt;",$AI$4))),IFERROR(('Final Calculation Sheet'!$AH$23)&amp;"","")&lt;&gt;""),AND(TRIM($AI$4)="",IFERROR(('Final Calculation Sheet'!$AH$23)&amp;"","")=""))))</f>
        <v/>
      </c>
      <c r="CU24">
        <f>IF($AF$4="",1,--(OR(SUMPRODUCT(--(TRIM(MID(SUBSTITUTE(SUBSTITUTE($AF$4,"/",","),",",REPT(" ",99)),(ROW($1:$8)-1)*99+1,99))&lt;&gt;""),--ISNUMBER(SEARCH(TRIM(MID(SUBSTITUTE(SUBSTITUTE($AF$4,"/",","),",",REPT(" ",99)),(ROW($1:$8)-1)*99+1,99)),IFERROR((IF('Final Calculation Sheet'!$AD$23&lt;=5,"SETTLED","OUTSTANDING"))&amp;"",""))))&gt;0,AND(ISNUMBER(SEARCH("blank",$AF$4)),NOT(ISNUMBER(SEARCH("nonblank",$AF$4))),IFERROR((IF('Final Calculation Sheet'!$AD$23&lt;=5,"SETTLED","OUTSTANDING"))&amp;"","")=""),AND(OR(ISNUMBER(SEARCH("nonblank",$AF$4)),ISNUMBER(SEARCH("&lt;&gt;",$AF$4))),IFERROR((IF('Final Calculation Sheet'!$AD$23&lt;=5,"SETTLED","OUTSTANDING"))&amp;"","")&lt;&gt;""),AND(TRIM($AF$4)="",IFERROR((IF('Final Calculation Sheet'!$AD$23&lt;=5,"SETTLED","OUTSTANDING"))&amp;"","")=""))))</f>
        <v/>
      </c>
    </row>
    <row r="25" ht="15" customHeight="1" s="137">
      <c r="A25" s="67">
        <f>IF($BJ24&gt;0,INDEX($BA$5:$BA$41,MATCH(24,$BB$5:$BB$41,0)),IF(OR($BI24=1,$BL24=1,$BH24&gt;0),"∑",""))</f>
        <v/>
      </c>
      <c r="B25" s="76">
        <f>IF($BJ24&gt;0,IF(INDEX('Final Calculation Sheet'!$F$4:$F$40,$BJ24-3)="","",INDEX('Final Calculation Sheet'!$F$4:$F$40,$BJ24-3)),"")</f>
        <v/>
      </c>
      <c r="C25" s="76">
        <f>IF($BJ24&gt;0,IF(INDEX('Final Calculation Sheet'!$G$4:$G$40,$BJ24-3)="","",INDEX('Final Calculation Sheet'!$G$4:$G$40,$BJ24-3)),IF(OR($BI24=1,$BL24=1,$BH24&gt;0),IF($BI24=1,37,IF($BL24=1,37-INDEX($BD$4:$BD$13,10),INDEX($BD$4:$BD$13,$BH24)))&amp;" lot(s)",""))</f>
        <v/>
      </c>
      <c r="D25" s="80">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80">
        <f>IF($BJ24&gt;0,IF(INDEX('Final Calculation Sheet'!$D$4:$D$40,$BJ24-3)="","",INDEX('Final Calculation Sheet'!$D$4:$D$40,$BJ24-3)),IF(OR($BI24=1,$BL24=1,$BH24&gt;0),"–",""))</f>
        <v/>
      </c>
      <c r="F25" s="80">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80">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G25" s="70">
        <f>IF($BJ24&gt;0,IF(INDEX('Final Calculation Sheet'!$AF$4:$AF$40,$BJ24-3)="","",INDEX('Final Calculation Sheet'!$AF$4:$AF$40,$BJ24-3)),IF(OR($BI24=1,$BL24=1,$BH24&gt;0),"–",""))</f>
        <v/>
      </c>
      <c r="AH25" s="74">
        <f>IF($BJ24&gt;0,IF(INDEX('Final Calculation Sheet'!$AG$4:$AG$40,$BJ24-3)="","",INDEX('Final Calculation Sheet'!$AG$4:$AG$40,$BJ24-3)),IF(OR($BI24=1,$BL24=1,$BH24&gt;0),"–",""))</f>
        <v/>
      </c>
      <c r="AI25" s="70">
        <f>IF($BJ24&gt;0,IF(INDEX('Final Calculation Sheet'!$AH$4:$AH$40,$BJ24-3)="","",INDEX('Final Calculation Sheet'!$AH$4:$AH$40,$BJ24-3)),IF(OR($BI24=1,$BL24=1,$BH24&gt;0),"–",""))</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IF($CW$3="",1,--(OR(SUMPRODUCT(--(TRIM(MID(SUBSTITUTE(SUBSTITUTE($CW$3,"/",","),",",REPT(" ",99)),(ROW($1:$8)-1)*99+1,99))&lt;&gt;""),--ISNUMBER(SEARCH(TRIM(MID(SUBSTITUTE(SUBSTITUTE($CW$3,"/",","),",",REPT(" ",99)),(ROW($1:$8)-1)*99+1,99)),IFERROR(('Final Calculation Sheet'!$G$24)&amp;"",""))))&gt;0,AND(ISNUMBER(SEARCH("blank",$CW$3)),NOT(ISNUMBER(SEARCH("nonblank",$CW$3))),IFERROR(('Final Calculation Sheet'!$G$24)&amp;"","")=""),AND(OR(ISNUMBER(SEARCH("nonblank",$CW$3)),ISNUMBER(SEARCH("&lt;&gt;",$CW$3))),IFERROR(('Final Calculation Sheet'!$G$24)&amp;"","")&lt;&gt;""),AND(TRIM($CW$3)="",IFERROR(('Final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S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T25">
        <f>IF($AI$4="",1,--(OR(SUMPRODUCT(--(TRIM(MID(SUBSTITUTE(SUBSTITUTE($AI$4,"/",","),",",REPT(" ",99)),(ROW($1:$8)-1)*99+1,99))&lt;&gt;""),--ISNUMBER(SEARCH(TRIM(MID(SUBSTITUTE(SUBSTITUTE($AI$4,"/",","),",",REPT(" ",99)),(ROW($1:$8)-1)*99+1,99)),IFERROR(('Final Calculation Sheet'!$AH$24)&amp;"",""))))&gt;0,AND(ISNUMBER(SEARCH("blank",$AI$4)),NOT(ISNUMBER(SEARCH("nonblank",$AI$4))),IFERROR(('Final Calculation Sheet'!$AH$24)&amp;"","")=""),AND(OR(ISNUMBER(SEARCH("nonblank",$AI$4)),ISNUMBER(SEARCH("&lt;&gt;",$AI$4))),IFERROR(('Final Calculation Sheet'!$AH$24)&amp;"","")&lt;&gt;""),AND(TRIM($AI$4)="",IFERROR(('Final Calculation Sheet'!$AH$24)&amp;"","")=""))))</f>
        <v/>
      </c>
      <c r="CU25">
        <f>IF($AF$4="",1,--(OR(SUMPRODUCT(--(TRIM(MID(SUBSTITUTE(SUBSTITUTE($AF$4,"/",","),",",REPT(" ",99)),(ROW($1:$8)-1)*99+1,99))&lt;&gt;""),--ISNUMBER(SEARCH(TRIM(MID(SUBSTITUTE(SUBSTITUTE($AF$4,"/",","),",",REPT(" ",99)),(ROW($1:$8)-1)*99+1,99)),IFERROR((IF('Final Calculation Sheet'!$AD$24&lt;=5,"SETTLED","OUTSTANDING"))&amp;"",""))))&gt;0,AND(ISNUMBER(SEARCH("blank",$AF$4)),NOT(ISNUMBER(SEARCH("nonblank",$AF$4))),IFERROR((IF('Final Calculation Sheet'!$AD$24&lt;=5,"SETTLED","OUTSTANDING"))&amp;"","")=""),AND(OR(ISNUMBER(SEARCH("nonblank",$AF$4)),ISNUMBER(SEARCH("&lt;&gt;",$AF$4))),IFERROR((IF('Final Calculation Sheet'!$AD$24&lt;=5,"SETTLED","OUTSTANDING"))&amp;"","")&lt;&gt;""),AND(TRIM($AF$4)="",IFERROR((IF('Final Calculation Sheet'!$AD$24&lt;=5,"SETTLED","OUTSTANDING"))&amp;"","")=""))))</f>
        <v/>
      </c>
    </row>
    <row r="26" ht="15" customHeight="1" s="137">
      <c r="A26" s="67">
        <f>IF($BJ25&gt;0,INDEX($BA$5:$BA$41,MATCH(25,$BB$5:$BB$41,0)),IF(OR($BI25=1,$BL25=1,$BH25&gt;0),"∑",""))</f>
        <v/>
      </c>
      <c r="B26" s="76">
        <f>IF($BJ25&gt;0,IF(INDEX('Final Calculation Sheet'!$F$4:$F$40,$BJ25-3)="","",INDEX('Final Calculation Sheet'!$F$4:$F$40,$BJ25-3)),"")</f>
        <v/>
      </c>
      <c r="C26" s="76">
        <f>IF($BJ25&gt;0,IF(INDEX('Final Calculation Sheet'!$G$4:$G$40,$BJ25-3)="","",INDEX('Final Calculation Sheet'!$G$4:$G$40,$BJ25-3)),IF(OR($BI25=1,$BL25=1,$BH25&gt;0),IF($BI25=1,37,IF($BL25=1,37-INDEX($BD$4:$BD$13,10),INDEX($BD$4:$BD$13,$BH25)))&amp;" lot(s)",""))</f>
        <v/>
      </c>
      <c r="D26" s="80">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80">
        <f>IF($BJ25&gt;0,IF(INDEX('Final Calculation Sheet'!$D$4:$D$40,$BJ25-3)="","",INDEX('Final Calculation Sheet'!$D$4:$D$40,$BJ25-3)),IF(OR($BI25=1,$BL25=1,$BH25&gt;0),"–",""))</f>
        <v/>
      </c>
      <c r="F26" s="80">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80">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G26" s="70">
        <f>IF($BJ25&gt;0,IF(INDEX('Final Calculation Sheet'!$AF$4:$AF$40,$BJ25-3)="","",INDEX('Final Calculation Sheet'!$AF$4:$AF$40,$BJ25-3)),IF(OR($BI25=1,$BL25=1,$BH25&gt;0),"–",""))</f>
        <v/>
      </c>
      <c r="AH26" s="74">
        <f>IF($BJ25&gt;0,IF(INDEX('Final Calculation Sheet'!$AG$4:$AG$40,$BJ25-3)="","",INDEX('Final Calculation Sheet'!$AG$4:$AG$40,$BJ25-3)),IF(OR($BI25=1,$BL25=1,$BH25&gt;0),"–",""))</f>
        <v/>
      </c>
      <c r="AI26" s="70">
        <f>IF($BJ25&gt;0,IF(INDEX('Final Calculation Sheet'!$AH$4:$AH$40,$BJ25-3)="","",INDEX('Final Calculation Sheet'!$AH$4:$AH$40,$BJ25-3)),IF(OR($BI25=1,$BL25=1,$BH25&gt;0),"–",""))</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IF($CW$3="",1,--(OR(SUMPRODUCT(--(TRIM(MID(SUBSTITUTE(SUBSTITUTE($CW$3,"/",","),",",REPT(" ",99)),(ROW($1:$8)-1)*99+1,99))&lt;&gt;""),--ISNUMBER(SEARCH(TRIM(MID(SUBSTITUTE(SUBSTITUTE($CW$3,"/",","),",",REPT(" ",99)),(ROW($1:$8)-1)*99+1,99)),IFERROR(('Final Calculation Sheet'!$G$25)&amp;"",""))))&gt;0,AND(ISNUMBER(SEARCH("blank",$CW$3)),NOT(ISNUMBER(SEARCH("nonblank",$CW$3))),IFERROR(('Final Calculation Sheet'!$G$25)&amp;"","")=""),AND(OR(ISNUMBER(SEARCH("nonblank",$CW$3)),ISNUMBER(SEARCH("&lt;&gt;",$CW$3))),IFERROR(('Final Calculation Sheet'!$G$25)&amp;"","")&lt;&gt;""),AND(TRIM($CW$3)="",IFERROR(('Final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S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T26">
        <f>IF($AI$4="",1,--(OR(SUMPRODUCT(--(TRIM(MID(SUBSTITUTE(SUBSTITUTE($AI$4,"/",","),",",REPT(" ",99)),(ROW($1:$8)-1)*99+1,99))&lt;&gt;""),--ISNUMBER(SEARCH(TRIM(MID(SUBSTITUTE(SUBSTITUTE($AI$4,"/",","),",",REPT(" ",99)),(ROW($1:$8)-1)*99+1,99)),IFERROR(('Final Calculation Sheet'!$AH$25)&amp;"",""))))&gt;0,AND(ISNUMBER(SEARCH("blank",$AI$4)),NOT(ISNUMBER(SEARCH("nonblank",$AI$4))),IFERROR(('Final Calculation Sheet'!$AH$25)&amp;"","")=""),AND(OR(ISNUMBER(SEARCH("nonblank",$AI$4)),ISNUMBER(SEARCH("&lt;&gt;",$AI$4))),IFERROR(('Final Calculation Sheet'!$AH$25)&amp;"","")&lt;&gt;""),AND(TRIM($AI$4)="",IFERROR(('Final Calculation Sheet'!$AH$25)&amp;"","")=""))))</f>
        <v/>
      </c>
      <c r="CU26">
        <f>IF($AF$4="",1,--(OR(SUMPRODUCT(--(TRIM(MID(SUBSTITUTE(SUBSTITUTE($AF$4,"/",","),",",REPT(" ",99)),(ROW($1:$8)-1)*99+1,99))&lt;&gt;""),--ISNUMBER(SEARCH(TRIM(MID(SUBSTITUTE(SUBSTITUTE($AF$4,"/",","),",",REPT(" ",99)),(ROW($1:$8)-1)*99+1,99)),IFERROR((IF('Final Calculation Sheet'!$AD$25&lt;=5,"SETTLED","OUTSTANDING"))&amp;"",""))))&gt;0,AND(ISNUMBER(SEARCH("blank",$AF$4)),NOT(ISNUMBER(SEARCH("nonblank",$AF$4))),IFERROR((IF('Final Calculation Sheet'!$AD$25&lt;=5,"SETTLED","OUTSTANDING"))&amp;"","")=""),AND(OR(ISNUMBER(SEARCH("nonblank",$AF$4)),ISNUMBER(SEARCH("&lt;&gt;",$AF$4))),IFERROR((IF('Final Calculation Sheet'!$AD$25&lt;=5,"SETTLED","OUTSTANDING"))&amp;"","")&lt;&gt;""),AND(TRIM($AF$4)="",IFERROR((IF('Final Calculation Sheet'!$AD$25&lt;=5,"SETTLED","OUTSTANDING"))&amp;"","")=""))))</f>
        <v/>
      </c>
    </row>
    <row r="27" ht="15" customHeight="1" s="137">
      <c r="A27" s="67">
        <f>IF($BJ26&gt;0,INDEX($BA$5:$BA$41,MATCH(26,$BB$5:$BB$41,0)),IF(OR($BI26=1,$BL26=1,$BH26&gt;0),"∑",""))</f>
        <v/>
      </c>
      <c r="B27" s="76">
        <f>IF($BJ26&gt;0,IF(INDEX('Final Calculation Sheet'!$F$4:$F$40,$BJ26-3)="","",INDEX('Final Calculation Sheet'!$F$4:$F$40,$BJ26-3)),"")</f>
        <v/>
      </c>
      <c r="C27" s="76">
        <f>IF($BJ26&gt;0,IF(INDEX('Final Calculation Sheet'!$G$4:$G$40,$BJ26-3)="","",INDEX('Final Calculation Sheet'!$G$4:$G$40,$BJ26-3)),IF(OR($BI26=1,$BL26=1,$BH26&gt;0),IF($BI26=1,37,IF($BL26=1,37-INDEX($BD$4:$BD$13,10),INDEX($BD$4:$BD$13,$BH26)))&amp;" lot(s)",""))</f>
        <v/>
      </c>
      <c r="D27" s="80">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80">
        <f>IF($BJ26&gt;0,IF(INDEX('Final Calculation Sheet'!$D$4:$D$40,$BJ26-3)="","",INDEX('Final Calculation Sheet'!$D$4:$D$40,$BJ26-3)),IF(OR($BI26=1,$BL26=1,$BH26&gt;0),"–",""))</f>
        <v/>
      </c>
      <c r="F27" s="80">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80">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G27" s="70">
        <f>IF($BJ26&gt;0,IF(INDEX('Final Calculation Sheet'!$AF$4:$AF$40,$BJ26-3)="","",INDEX('Final Calculation Sheet'!$AF$4:$AF$40,$BJ26-3)),IF(OR($BI26=1,$BL26=1,$BH26&gt;0),"–",""))</f>
        <v/>
      </c>
      <c r="AH27" s="74">
        <f>IF($BJ26&gt;0,IF(INDEX('Final Calculation Sheet'!$AG$4:$AG$40,$BJ26-3)="","",INDEX('Final Calculation Sheet'!$AG$4:$AG$40,$BJ26-3)),IF(OR($BI26=1,$BL26=1,$BH26&gt;0),"–",""))</f>
        <v/>
      </c>
      <c r="AI27" s="70">
        <f>IF($BJ26&gt;0,IF(INDEX('Final Calculation Sheet'!$AH$4:$AH$40,$BJ26-3)="","",INDEX('Final Calculation Sheet'!$AH$4:$AH$40,$BJ26-3)),IF(OR($BI26=1,$BL26=1,$BH26&gt;0),"–",""))</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IF($CW$3="",1,--(OR(SUMPRODUCT(--(TRIM(MID(SUBSTITUTE(SUBSTITUTE($CW$3,"/",","),",",REPT(" ",99)),(ROW($1:$8)-1)*99+1,99))&lt;&gt;""),--ISNUMBER(SEARCH(TRIM(MID(SUBSTITUTE(SUBSTITUTE($CW$3,"/",","),",",REPT(" ",99)),(ROW($1:$8)-1)*99+1,99)),IFERROR(('Final Calculation Sheet'!$G$26)&amp;"",""))))&gt;0,AND(ISNUMBER(SEARCH("blank",$CW$3)),NOT(ISNUMBER(SEARCH("nonblank",$CW$3))),IFERROR(('Final Calculation Sheet'!$G$26)&amp;"","")=""),AND(OR(ISNUMBER(SEARCH("nonblank",$CW$3)),ISNUMBER(SEARCH("&lt;&gt;",$CW$3))),IFERROR(('Final Calculation Sheet'!$G$26)&amp;"","")&lt;&gt;""),AND(TRIM($CW$3)="",IFERROR(('Final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S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T27">
        <f>IF($AI$4="",1,--(OR(SUMPRODUCT(--(TRIM(MID(SUBSTITUTE(SUBSTITUTE($AI$4,"/",","),",",REPT(" ",99)),(ROW($1:$8)-1)*99+1,99))&lt;&gt;""),--ISNUMBER(SEARCH(TRIM(MID(SUBSTITUTE(SUBSTITUTE($AI$4,"/",","),",",REPT(" ",99)),(ROW($1:$8)-1)*99+1,99)),IFERROR(('Final Calculation Sheet'!$AH$26)&amp;"",""))))&gt;0,AND(ISNUMBER(SEARCH("blank",$AI$4)),NOT(ISNUMBER(SEARCH("nonblank",$AI$4))),IFERROR(('Final Calculation Sheet'!$AH$26)&amp;"","")=""),AND(OR(ISNUMBER(SEARCH("nonblank",$AI$4)),ISNUMBER(SEARCH("&lt;&gt;",$AI$4))),IFERROR(('Final Calculation Sheet'!$AH$26)&amp;"","")&lt;&gt;""),AND(TRIM($AI$4)="",IFERROR(('Final Calculation Sheet'!$AH$26)&amp;"","")=""))))</f>
        <v/>
      </c>
      <c r="CU27">
        <f>IF($AF$4="",1,--(OR(SUMPRODUCT(--(TRIM(MID(SUBSTITUTE(SUBSTITUTE($AF$4,"/",","),",",REPT(" ",99)),(ROW($1:$8)-1)*99+1,99))&lt;&gt;""),--ISNUMBER(SEARCH(TRIM(MID(SUBSTITUTE(SUBSTITUTE($AF$4,"/",","),",",REPT(" ",99)),(ROW($1:$8)-1)*99+1,99)),IFERROR((IF('Final Calculation Sheet'!$AD$26&lt;=5,"SETTLED","OUTSTANDING"))&amp;"",""))))&gt;0,AND(ISNUMBER(SEARCH("blank",$AF$4)),NOT(ISNUMBER(SEARCH("nonblank",$AF$4))),IFERROR((IF('Final Calculation Sheet'!$AD$26&lt;=5,"SETTLED","OUTSTANDING"))&amp;"","")=""),AND(OR(ISNUMBER(SEARCH("nonblank",$AF$4)),ISNUMBER(SEARCH("&lt;&gt;",$AF$4))),IFERROR((IF('Final Calculation Sheet'!$AD$26&lt;=5,"SETTLED","OUTSTANDING"))&amp;"","")&lt;&gt;""),AND(TRIM($AF$4)="",IFERROR((IF('Final Calculation Sheet'!$AD$26&lt;=5,"SETTLED","OUTSTANDING"))&amp;"","")=""))))</f>
        <v/>
      </c>
    </row>
    <row r="28" ht="15" customHeight="1" s="137">
      <c r="A28" s="67">
        <f>IF($BJ27&gt;0,INDEX($BA$5:$BA$41,MATCH(27,$BB$5:$BB$41,0)),IF(OR($BI27=1,$BL27=1,$BH27&gt;0),"∑",""))</f>
        <v/>
      </c>
      <c r="B28" s="76">
        <f>IF($BJ27&gt;0,IF(INDEX('Final Calculation Sheet'!$F$4:$F$40,$BJ27-3)="","",INDEX('Final Calculation Sheet'!$F$4:$F$40,$BJ27-3)),"")</f>
        <v/>
      </c>
      <c r="C28" s="76">
        <f>IF($BJ27&gt;0,IF(INDEX('Final Calculation Sheet'!$G$4:$G$40,$BJ27-3)="","",INDEX('Final Calculation Sheet'!$G$4:$G$40,$BJ27-3)),IF(OR($BI27=1,$BL27=1,$BH27&gt;0),IF($BI27=1,37,IF($BL27=1,37-INDEX($BD$4:$BD$13,10),INDEX($BD$4:$BD$13,$BH27)))&amp;" lot(s)",""))</f>
        <v/>
      </c>
      <c r="D28" s="80">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80">
        <f>IF($BJ27&gt;0,IF(INDEX('Final Calculation Sheet'!$D$4:$D$40,$BJ27-3)="","",INDEX('Final Calculation Sheet'!$D$4:$D$40,$BJ27-3)),IF(OR($BI27=1,$BL27=1,$BH27&gt;0),"–",""))</f>
        <v/>
      </c>
      <c r="F28" s="80">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80">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G28" s="70">
        <f>IF($BJ27&gt;0,IF(INDEX('Final Calculation Sheet'!$AF$4:$AF$40,$BJ27-3)="","",INDEX('Final Calculation Sheet'!$AF$4:$AF$40,$BJ27-3)),IF(OR($BI27=1,$BL27=1,$BH27&gt;0),"–",""))</f>
        <v/>
      </c>
      <c r="AH28" s="74">
        <f>IF($BJ27&gt;0,IF(INDEX('Final Calculation Sheet'!$AG$4:$AG$40,$BJ27-3)="","",INDEX('Final Calculation Sheet'!$AG$4:$AG$40,$BJ27-3)),IF(OR($BI27=1,$BL27=1,$BH27&gt;0),"–",""))</f>
        <v/>
      </c>
      <c r="AI28" s="70">
        <f>IF($BJ27&gt;0,IF(INDEX('Final Calculation Sheet'!$AH$4:$AH$40,$BJ27-3)="","",INDEX('Final Calculation Sheet'!$AH$4:$AH$40,$BJ27-3)),IF(OR($BI27=1,$BL27=1,$BH27&gt;0),"–",""))</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IF($CW$3="",1,--(OR(SUMPRODUCT(--(TRIM(MID(SUBSTITUTE(SUBSTITUTE($CW$3,"/",","),",",REPT(" ",99)),(ROW($1:$8)-1)*99+1,99))&lt;&gt;""),--ISNUMBER(SEARCH(TRIM(MID(SUBSTITUTE(SUBSTITUTE($CW$3,"/",","),",",REPT(" ",99)),(ROW($1:$8)-1)*99+1,99)),IFERROR(('Final Calculation Sheet'!$G$27)&amp;"",""))))&gt;0,AND(ISNUMBER(SEARCH("blank",$CW$3)),NOT(ISNUMBER(SEARCH("nonblank",$CW$3))),IFERROR(('Final Calculation Sheet'!$G$27)&amp;"","")=""),AND(OR(ISNUMBER(SEARCH("nonblank",$CW$3)),ISNUMBER(SEARCH("&lt;&gt;",$CW$3))),IFERROR(('Final Calculation Sheet'!$G$27)&amp;"","")&lt;&gt;""),AND(TRIM($CW$3)="",IFERROR(('Final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S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T28">
        <f>IF($AI$4="",1,--(OR(SUMPRODUCT(--(TRIM(MID(SUBSTITUTE(SUBSTITUTE($AI$4,"/",","),",",REPT(" ",99)),(ROW($1:$8)-1)*99+1,99))&lt;&gt;""),--ISNUMBER(SEARCH(TRIM(MID(SUBSTITUTE(SUBSTITUTE($AI$4,"/",","),",",REPT(" ",99)),(ROW($1:$8)-1)*99+1,99)),IFERROR(('Final Calculation Sheet'!$AH$27)&amp;"",""))))&gt;0,AND(ISNUMBER(SEARCH("blank",$AI$4)),NOT(ISNUMBER(SEARCH("nonblank",$AI$4))),IFERROR(('Final Calculation Sheet'!$AH$27)&amp;"","")=""),AND(OR(ISNUMBER(SEARCH("nonblank",$AI$4)),ISNUMBER(SEARCH("&lt;&gt;",$AI$4))),IFERROR(('Final Calculation Sheet'!$AH$27)&amp;"","")&lt;&gt;""),AND(TRIM($AI$4)="",IFERROR(('Final Calculation Sheet'!$AH$27)&amp;"","")=""))))</f>
        <v/>
      </c>
      <c r="CU28">
        <f>IF($AF$4="",1,--(OR(SUMPRODUCT(--(TRIM(MID(SUBSTITUTE(SUBSTITUTE($AF$4,"/",","),",",REPT(" ",99)),(ROW($1:$8)-1)*99+1,99))&lt;&gt;""),--ISNUMBER(SEARCH(TRIM(MID(SUBSTITUTE(SUBSTITUTE($AF$4,"/",","),",",REPT(" ",99)),(ROW($1:$8)-1)*99+1,99)),IFERROR((IF('Final Calculation Sheet'!$AD$27&lt;=5,"SETTLED","OUTSTANDING"))&amp;"",""))))&gt;0,AND(ISNUMBER(SEARCH("blank",$AF$4)),NOT(ISNUMBER(SEARCH("nonblank",$AF$4))),IFERROR((IF('Final Calculation Sheet'!$AD$27&lt;=5,"SETTLED","OUTSTANDING"))&amp;"","")=""),AND(OR(ISNUMBER(SEARCH("nonblank",$AF$4)),ISNUMBER(SEARCH("&lt;&gt;",$AF$4))),IFERROR((IF('Final Calculation Sheet'!$AD$27&lt;=5,"SETTLED","OUTSTANDING"))&amp;"","")&lt;&gt;""),AND(TRIM($AF$4)="",IFERROR((IF('Final Calculation Sheet'!$AD$27&lt;=5,"SETTLED","OUTSTANDING"))&amp;"","")=""))))</f>
        <v/>
      </c>
    </row>
    <row r="29" ht="15" customHeight="1" s="137">
      <c r="A29" s="67">
        <f>IF($BJ28&gt;0,INDEX($BA$5:$BA$41,MATCH(28,$BB$5:$BB$41,0)),IF(OR($BI28=1,$BL28=1,$BH28&gt;0),"∑",""))</f>
        <v/>
      </c>
      <c r="B29" s="76">
        <f>IF($BJ28&gt;0,IF(INDEX('Final Calculation Sheet'!$F$4:$F$40,$BJ28-3)="","",INDEX('Final Calculation Sheet'!$F$4:$F$40,$BJ28-3)),"")</f>
        <v/>
      </c>
      <c r="C29" s="76">
        <f>IF($BJ28&gt;0,IF(INDEX('Final Calculation Sheet'!$G$4:$G$40,$BJ28-3)="","",INDEX('Final Calculation Sheet'!$G$4:$G$40,$BJ28-3)),IF(OR($BI28=1,$BL28=1,$BH28&gt;0),IF($BI28=1,37,IF($BL28=1,37-INDEX($BD$4:$BD$13,10),INDEX($BD$4:$BD$13,$BH28)))&amp;" lot(s)",""))</f>
        <v/>
      </c>
      <c r="D29" s="80">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80">
        <f>IF($BJ28&gt;0,IF(INDEX('Final Calculation Sheet'!$D$4:$D$40,$BJ28-3)="","",INDEX('Final Calculation Sheet'!$D$4:$D$40,$BJ28-3)),IF(OR($BI28=1,$BL28=1,$BH28&gt;0),"–",""))</f>
        <v/>
      </c>
      <c r="F29" s="80">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80">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G29" s="70">
        <f>IF($BJ28&gt;0,IF(INDEX('Final Calculation Sheet'!$AF$4:$AF$40,$BJ28-3)="","",INDEX('Final Calculation Sheet'!$AF$4:$AF$40,$BJ28-3)),IF(OR($BI28=1,$BL28=1,$BH28&gt;0),"–",""))</f>
        <v/>
      </c>
      <c r="AH29" s="74">
        <f>IF($BJ28&gt;0,IF(INDEX('Final Calculation Sheet'!$AG$4:$AG$40,$BJ28-3)="","",INDEX('Final Calculation Sheet'!$AG$4:$AG$40,$BJ28-3)),IF(OR($BI28=1,$BL28=1,$BH28&gt;0),"–",""))</f>
        <v/>
      </c>
      <c r="AI29" s="70">
        <f>IF($BJ28&gt;0,IF(INDEX('Final Calculation Sheet'!$AH$4:$AH$40,$BJ28-3)="","",INDEX('Final Calculation Sheet'!$AH$4:$AH$40,$BJ28-3)),IF(OR($BI28=1,$BL28=1,$BH28&gt;0),"–",""))</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IF($CW$3="",1,--(OR(SUMPRODUCT(--(TRIM(MID(SUBSTITUTE(SUBSTITUTE($CW$3,"/",","),",",REPT(" ",99)),(ROW($1:$8)-1)*99+1,99))&lt;&gt;""),--ISNUMBER(SEARCH(TRIM(MID(SUBSTITUTE(SUBSTITUTE($CW$3,"/",","),",",REPT(" ",99)),(ROW($1:$8)-1)*99+1,99)),IFERROR(('Final Calculation Sheet'!$G$28)&amp;"",""))))&gt;0,AND(ISNUMBER(SEARCH("blank",$CW$3)),NOT(ISNUMBER(SEARCH("nonblank",$CW$3))),IFERROR(('Final Calculation Sheet'!$G$28)&amp;"","")=""),AND(OR(ISNUMBER(SEARCH("nonblank",$CW$3)),ISNUMBER(SEARCH("&lt;&gt;",$CW$3))),IFERROR(('Final Calculation Sheet'!$G$28)&amp;"","")&lt;&gt;""),AND(TRIM($CW$3)="",IFERROR(('Final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S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T29">
        <f>IF($AI$4="",1,--(OR(SUMPRODUCT(--(TRIM(MID(SUBSTITUTE(SUBSTITUTE($AI$4,"/",","),",",REPT(" ",99)),(ROW($1:$8)-1)*99+1,99))&lt;&gt;""),--ISNUMBER(SEARCH(TRIM(MID(SUBSTITUTE(SUBSTITUTE($AI$4,"/",","),",",REPT(" ",99)),(ROW($1:$8)-1)*99+1,99)),IFERROR(('Final Calculation Sheet'!$AH$28)&amp;"",""))))&gt;0,AND(ISNUMBER(SEARCH("blank",$AI$4)),NOT(ISNUMBER(SEARCH("nonblank",$AI$4))),IFERROR(('Final Calculation Sheet'!$AH$28)&amp;"","")=""),AND(OR(ISNUMBER(SEARCH("nonblank",$AI$4)),ISNUMBER(SEARCH("&lt;&gt;",$AI$4))),IFERROR(('Final Calculation Sheet'!$AH$28)&amp;"","")&lt;&gt;""),AND(TRIM($AI$4)="",IFERROR(('Final Calculation Sheet'!$AH$28)&amp;"","")=""))))</f>
        <v/>
      </c>
      <c r="CU29">
        <f>IF($AF$4="",1,--(OR(SUMPRODUCT(--(TRIM(MID(SUBSTITUTE(SUBSTITUTE($AF$4,"/",","),",",REPT(" ",99)),(ROW($1:$8)-1)*99+1,99))&lt;&gt;""),--ISNUMBER(SEARCH(TRIM(MID(SUBSTITUTE(SUBSTITUTE($AF$4,"/",","),",",REPT(" ",99)),(ROW($1:$8)-1)*99+1,99)),IFERROR((IF('Final Calculation Sheet'!$AD$28&lt;=5,"SETTLED","OUTSTANDING"))&amp;"",""))))&gt;0,AND(ISNUMBER(SEARCH("blank",$AF$4)),NOT(ISNUMBER(SEARCH("nonblank",$AF$4))),IFERROR((IF('Final Calculation Sheet'!$AD$28&lt;=5,"SETTLED","OUTSTANDING"))&amp;"","")=""),AND(OR(ISNUMBER(SEARCH("nonblank",$AF$4)),ISNUMBER(SEARCH("&lt;&gt;",$AF$4))),IFERROR((IF('Final Calculation Sheet'!$AD$28&lt;=5,"SETTLED","OUTSTANDING"))&amp;"","")&lt;&gt;""),AND(TRIM($AF$4)="",IFERROR((IF('Final Calculation Sheet'!$AD$28&lt;=5,"SETTLED","OUTSTANDING"))&amp;"","")=""))))</f>
        <v/>
      </c>
    </row>
    <row r="30" ht="15" customHeight="1" s="137">
      <c r="A30" s="67">
        <f>IF($BJ29&gt;0,INDEX($BA$5:$BA$41,MATCH(29,$BB$5:$BB$41,0)),IF(OR($BI29=1,$BL29=1,$BH29&gt;0),"∑",""))</f>
        <v/>
      </c>
      <c r="B30" s="76">
        <f>IF($BJ29&gt;0,IF(INDEX('Final Calculation Sheet'!$F$4:$F$40,$BJ29-3)="","",INDEX('Final Calculation Sheet'!$F$4:$F$40,$BJ29-3)),"")</f>
        <v/>
      </c>
      <c r="C30" s="76">
        <f>IF($BJ29&gt;0,IF(INDEX('Final Calculation Sheet'!$G$4:$G$40,$BJ29-3)="","",INDEX('Final Calculation Sheet'!$G$4:$G$40,$BJ29-3)),IF(OR($BI29=1,$BL29=1,$BH29&gt;0),IF($BI29=1,37,IF($BL29=1,37-INDEX($BD$4:$BD$13,10),INDEX($BD$4:$BD$13,$BH29)))&amp;" lot(s)",""))</f>
        <v/>
      </c>
      <c r="D30" s="80">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80">
        <f>IF($BJ29&gt;0,IF(INDEX('Final Calculation Sheet'!$D$4:$D$40,$BJ29-3)="","",INDEX('Final Calculation Sheet'!$D$4:$D$40,$BJ29-3)),IF(OR($BI29=1,$BL29=1,$BH29&gt;0),"–",""))</f>
        <v/>
      </c>
      <c r="F30" s="80">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80">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G30" s="70">
        <f>IF($BJ29&gt;0,IF(INDEX('Final Calculation Sheet'!$AF$4:$AF$40,$BJ29-3)="","",INDEX('Final Calculation Sheet'!$AF$4:$AF$40,$BJ29-3)),IF(OR($BI29=1,$BL29=1,$BH29&gt;0),"–",""))</f>
        <v/>
      </c>
      <c r="AH30" s="74">
        <f>IF($BJ29&gt;0,IF(INDEX('Final Calculation Sheet'!$AG$4:$AG$40,$BJ29-3)="","",INDEX('Final Calculation Sheet'!$AG$4:$AG$40,$BJ29-3)),IF(OR($BI29=1,$BL29=1,$BH29&gt;0),"–",""))</f>
        <v/>
      </c>
      <c r="AI30" s="70">
        <f>IF($BJ29&gt;0,IF(INDEX('Final Calculation Sheet'!$AH$4:$AH$40,$BJ29-3)="","",INDEX('Final Calculation Sheet'!$AH$4:$AH$40,$BJ29-3)),IF(OR($BI29=1,$BL29=1,$BH29&gt;0),"–",""))</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IF($CW$3="",1,--(OR(SUMPRODUCT(--(TRIM(MID(SUBSTITUTE(SUBSTITUTE($CW$3,"/",","),",",REPT(" ",99)),(ROW($1:$8)-1)*99+1,99))&lt;&gt;""),--ISNUMBER(SEARCH(TRIM(MID(SUBSTITUTE(SUBSTITUTE($CW$3,"/",","),",",REPT(" ",99)),(ROW($1:$8)-1)*99+1,99)),IFERROR(('Final Calculation Sheet'!$G$29)&amp;"",""))))&gt;0,AND(ISNUMBER(SEARCH("blank",$CW$3)),NOT(ISNUMBER(SEARCH("nonblank",$CW$3))),IFERROR(('Final Calculation Sheet'!$G$29)&amp;"","")=""),AND(OR(ISNUMBER(SEARCH("nonblank",$CW$3)),ISNUMBER(SEARCH("&lt;&gt;",$CW$3))),IFERROR(('Final Calculation Sheet'!$G$29)&amp;"","")&lt;&gt;""),AND(TRIM($CW$3)="",IFERROR(('Final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S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T30">
        <f>IF($AI$4="",1,--(OR(SUMPRODUCT(--(TRIM(MID(SUBSTITUTE(SUBSTITUTE($AI$4,"/",","),",",REPT(" ",99)),(ROW($1:$8)-1)*99+1,99))&lt;&gt;""),--ISNUMBER(SEARCH(TRIM(MID(SUBSTITUTE(SUBSTITUTE($AI$4,"/",","),",",REPT(" ",99)),(ROW($1:$8)-1)*99+1,99)),IFERROR(('Final Calculation Sheet'!$AH$29)&amp;"",""))))&gt;0,AND(ISNUMBER(SEARCH("blank",$AI$4)),NOT(ISNUMBER(SEARCH("nonblank",$AI$4))),IFERROR(('Final Calculation Sheet'!$AH$29)&amp;"","")=""),AND(OR(ISNUMBER(SEARCH("nonblank",$AI$4)),ISNUMBER(SEARCH("&lt;&gt;",$AI$4))),IFERROR(('Final Calculation Sheet'!$AH$29)&amp;"","")&lt;&gt;""),AND(TRIM($AI$4)="",IFERROR(('Final Calculation Sheet'!$AH$29)&amp;"","")=""))))</f>
        <v/>
      </c>
      <c r="CU30">
        <f>IF($AF$4="",1,--(OR(SUMPRODUCT(--(TRIM(MID(SUBSTITUTE(SUBSTITUTE($AF$4,"/",","),",",REPT(" ",99)),(ROW($1:$8)-1)*99+1,99))&lt;&gt;""),--ISNUMBER(SEARCH(TRIM(MID(SUBSTITUTE(SUBSTITUTE($AF$4,"/",","),",",REPT(" ",99)),(ROW($1:$8)-1)*99+1,99)),IFERROR((IF('Final Calculation Sheet'!$AD$29&lt;=5,"SETTLED","OUTSTANDING"))&amp;"",""))))&gt;0,AND(ISNUMBER(SEARCH("blank",$AF$4)),NOT(ISNUMBER(SEARCH("nonblank",$AF$4))),IFERROR((IF('Final Calculation Sheet'!$AD$29&lt;=5,"SETTLED","OUTSTANDING"))&amp;"","")=""),AND(OR(ISNUMBER(SEARCH("nonblank",$AF$4)),ISNUMBER(SEARCH("&lt;&gt;",$AF$4))),IFERROR((IF('Final Calculation Sheet'!$AD$29&lt;=5,"SETTLED","OUTSTANDING"))&amp;"","")&lt;&gt;""),AND(TRIM($AF$4)="",IFERROR((IF('Final Calculation Sheet'!$AD$29&lt;=5,"SETTLED","OUTSTANDING"))&amp;"","")=""))))</f>
        <v/>
      </c>
    </row>
    <row r="31" ht="15" customHeight="1" s="137">
      <c r="A31" s="67">
        <f>IF($BJ30&gt;0,INDEX($BA$5:$BA$41,MATCH(30,$BB$5:$BB$41,0)),IF(OR($BI30=1,$BL30=1,$BH30&gt;0),"∑",""))</f>
        <v/>
      </c>
      <c r="B31" s="76">
        <f>IF($BJ30&gt;0,IF(INDEX('Final Calculation Sheet'!$F$4:$F$40,$BJ30-3)="","",INDEX('Final Calculation Sheet'!$F$4:$F$40,$BJ30-3)),"")</f>
        <v/>
      </c>
      <c r="C31" s="76">
        <f>IF($BJ30&gt;0,IF(INDEX('Final Calculation Sheet'!$G$4:$G$40,$BJ30-3)="","",INDEX('Final Calculation Sheet'!$G$4:$G$40,$BJ30-3)),IF(OR($BI30=1,$BL30=1,$BH30&gt;0),IF($BI30=1,37,IF($BL30=1,37-INDEX($BD$4:$BD$13,10),INDEX($BD$4:$BD$13,$BH30)))&amp;" lot(s)",""))</f>
        <v/>
      </c>
      <c r="D31" s="80">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80">
        <f>IF($BJ30&gt;0,IF(INDEX('Final Calculation Sheet'!$D$4:$D$40,$BJ30-3)="","",INDEX('Final Calculation Sheet'!$D$4:$D$40,$BJ30-3)),IF(OR($BI30=1,$BL30=1,$BH30&gt;0),"–",""))</f>
        <v/>
      </c>
      <c r="F31" s="80">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80">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G31" s="70">
        <f>IF($BJ30&gt;0,IF(INDEX('Final Calculation Sheet'!$AF$4:$AF$40,$BJ30-3)="","",INDEX('Final Calculation Sheet'!$AF$4:$AF$40,$BJ30-3)),IF(OR($BI30=1,$BL30=1,$BH30&gt;0),"–",""))</f>
        <v/>
      </c>
      <c r="AH31" s="74">
        <f>IF($BJ30&gt;0,IF(INDEX('Final Calculation Sheet'!$AG$4:$AG$40,$BJ30-3)="","",INDEX('Final Calculation Sheet'!$AG$4:$AG$40,$BJ30-3)),IF(OR($BI30=1,$BL30=1,$BH30&gt;0),"–",""))</f>
        <v/>
      </c>
      <c r="AI31" s="70">
        <f>IF($BJ30&gt;0,IF(INDEX('Final Calculation Sheet'!$AH$4:$AH$40,$BJ30-3)="","",INDEX('Final Calculation Sheet'!$AH$4:$AH$40,$BJ30-3)),IF(OR($BI30=1,$BL30=1,$BH30&gt;0),"–",""))</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IF($CW$3="",1,--(OR(SUMPRODUCT(--(TRIM(MID(SUBSTITUTE(SUBSTITUTE($CW$3,"/",","),",",REPT(" ",99)),(ROW($1:$8)-1)*99+1,99))&lt;&gt;""),--ISNUMBER(SEARCH(TRIM(MID(SUBSTITUTE(SUBSTITUTE($CW$3,"/",","),",",REPT(" ",99)),(ROW($1:$8)-1)*99+1,99)),IFERROR(('Final Calculation Sheet'!$G$30)&amp;"",""))))&gt;0,AND(ISNUMBER(SEARCH("blank",$CW$3)),NOT(ISNUMBER(SEARCH("nonblank",$CW$3))),IFERROR(('Final Calculation Sheet'!$G$30)&amp;"","")=""),AND(OR(ISNUMBER(SEARCH("nonblank",$CW$3)),ISNUMBER(SEARCH("&lt;&gt;",$CW$3))),IFERROR(('Final Calculation Sheet'!$G$30)&amp;"","")&lt;&gt;""),AND(TRIM($CW$3)="",IFERROR(('Final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S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T31">
        <f>IF($AI$4="",1,--(OR(SUMPRODUCT(--(TRIM(MID(SUBSTITUTE(SUBSTITUTE($AI$4,"/",","),",",REPT(" ",99)),(ROW($1:$8)-1)*99+1,99))&lt;&gt;""),--ISNUMBER(SEARCH(TRIM(MID(SUBSTITUTE(SUBSTITUTE($AI$4,"/",","),",",REPT(" ",99)),(ROW($1:$8)-1)*99+1,99)),IFERROR(('Final Calculation Sheet'!$AH$30)&amp;"",""))))&gt;0,AND(ISNUMBER(SEARCH("blank",$AI$4)),NOT(ISNUMBER(SEARCH("nonblank",$AI$4))),IFERROR(('Final Calculation Sheet'!$AH$30)&amp;"","")=""),AND(OR(ISNUMBER(SEARCH("nonblank",$AI$4)),ISNUMBER(SEARCH("&lt;&gt;",$AI$4))),IFERROR(('Final Calculation Sheet'!$AH$30)&amp;"","")&lt;&gt;""),AND(TRIM($AI$4)="",IFERROR(('Final Calculation Sheet'!$AH$30)&amp;"","")=""))))</f>
        <v/>
      </c>
      <c r="CU31">
        <f>IF($AF$4="",1,--(OR(SUMPRODUCT(--(TRIM(MID(SUBSTITUTE(SUBSTITUTE($AF$4,"/",","),",",REPT(" ",99)),(ROW($1:$8)-1)*99+1,99))&lt;&gt;""),--ISNUMBER(SEARCH(TRIM(MID(SUBSTITUTE(SUBSTITUTE($AF$4,"/",","),",",REPT(" ",99)),(ROW($1:$8)-1)*99+1,99)),IFERROR((IF('Final Calculation Sheet'!$AD$30&lt;=5,"SETTLED","OUTSTANDING"))&amp;"",""))))&gt;0,AND(ISNUMBER(SEARCH("blank",$AF$4)),NOT(ISNUMBER(SEARCH("nonblank",$AF$4))),IFERROR((IF('Final Calculation Sheet'!$AD$30&lt;=5,"SETTLED","OUTSTANDING"))&amp;"","")=""),AND(OR(ISNUMBER(SEARCH("nonblank",$AF$4)),ISNUMBER(SEARCH("&lt;&gt;",$AF$4))),IFERROR((IF('Final Calculation Sheet'!$AD$30&lt;=5,"SETTLED","OUTSTANDING"))&amp;"","")&lt;&gt;""),AND(TRIM($AF$4)="",IFERROR((IF('Final Calculation Sheet'!$AD$30&lt;=5,"SETTLED","OUTSTANDING"))&amp;"","")=""))))</f>
        <v/>
      </c>
    </row>
    <row r="32" ht="15" customHeight="1" s="137">
      <c r="A32" s="67">
        <f>IF($BJ31&gt;0,INDEX($BA$5:$BA$41,MATCH(31,$BB$5:$BB$41,0)),IF(OR($BI31=1,$BL31=1,$BH31&gt;0),"∑",""))</f>
        <v/>
      </c>
      <c r="B32" s="76">
        <f>IF($BJ31&gt;0,IF(INDEX('Final Calculation Sheet'!$F$4:$F$40,$BJ31-3)="","",INDEX('Final Calculation Sheet'!$F$4:$F$40,$BJ31-3)),"")</f>
        <v/>
      </c>
      <c r="C32" s="76">
        <f>IF($BJ31&gt;0,IF(INDEX('Final Calculation Sheet'!$G$4:$G$40,$BJ31-3)="","",INDEX('Final Calculation Sheet'!$G$4:$G$40,$BJ31-3)),IF(OR($BI31=1,$BL31=1,$BH31&gt;0),IF($BI31=1,37,IF($BL31=1,37-INDEX($BD$4:$BD$13,10),INDEX($BD$4:$BD$13,$BH31)))&amp;" lot(s)",""))</f>
        <v/>
      </c>
      <c r="D32" s="80">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80">
        <f>IF($BJ31&gt;0,IF(INDEX('Final Calculation Sheet'!$D$4:$D$40,$BJ31-3)="","",INDEX('Final Calculation Sheet'!$D$4:$D$40,$BJ31-3)),IF(OR($BI31=1,$BL31=1,$BH31&gt;0),"–",""))</f>
        <v/>
      </c>
      <c r="F32" s="80">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80">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G32" s="70">
        <f>IF($BJ31&gt;0,IF(INDEX('Final Calculation Sheet'!$AF$4:$AF$40,$BJ31-3)="","",INDEX('Final Calculation Sheet'!$AF$4:$AF$40,$BJ31-3)),IF(OR($BI31=1,$BL31=1,$BH31&gt;0),"–",""))</f>
        <v/>
      </c>
      <c r="AH32" s="74">
        <f>IF($BJ31&gt;0,IF(INDEX('Final Calculation Sheet'!$AG$4:$AG$40,$BJ31-3)="","",INDEX('Final Calculation Sheet'!$AG$4:$AG$40,$BJ31-3)),IF(OR($BI31=1,$BL31=1,$BH31&gt;0),"–",""))</f>
        <v/>
      </c>
      <c r="AI32" s="70">
        <f>IF($BJ31&gt;0,IF(INDEX('Final Calculation Sheet'!$AH$4:$AH$40,$BJ31-3)="","",INDEX('Final Calculation Sheet'!$AH$4:$AH$40,$BJ31-3)),IF(OR($BI31=1,$BL31=1,$BH31&gt;0),"–",""))</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IF($CW$3="",1,--(OR(SUMPRODUCT(--(TRIM(MID(SUBSTITUTE(SUBSTITUTE($CW$3,"/",","),",",REPT(" ",99)),(ROW($1:$8)-1)*99+1,99))&lt;&gt;""),--ISNUMBER(SEARCH(TRIM(MID(SUBSTITUTE(SUBSTITUTE($CW$3,"/",","),",",REPT(" ",99)),(ROW($1:$8)-1)*99+1,99)),IFERROR(('Final Calculation Sheet'!$G$31)&amp;"",""))))&gt;0,AND(ISNUMBER(SEARCH("blank",$CW$3)),NOT(ISNUMBER(SEARCH("nonblank",$CW$3))),IFERROR(('Final Calculation Sheet'!$G$31)&amp;"","")=""),AND(OR(ISNUMBER(SEARCH("nonblank",$CW$3)),ISNUMBER(SEARCH("&lt;&gt;",$CW$3))),IFERROR(('Final Calculation Sheet'!$G$31)&amp;"","")&lt;&gt;""),AND(TRIM($CW$3)="",IFERROR(('Final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S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T32">
        <f>IF($AI$4="",1,--(OR(SUMPRODUCT(--(TRIM(MID(SUBSTITUTE(SUBSTITUTE($AI$4,"/",","),",",REPT(" ",99)),(ROW($1:$8)-1)*99+1,99))&lt;&gt;""),--ISNUMBER(SEARCH(TRIM(MID(SUBSTITUTE(SUBSTITUTE($AI$4,"/",","),",",REPT(" ",99)),(ROW($1:$8)-1)*99+1,99)),IFERROR(('Final Calculation Sheet'!$AH$31)&amp;"",""))))&gt;0,AND(ISNUMBER(SEARCH("blank",$AI$4)),NOT(ISNUMBER(SEARCH("nonblank",$AI$4))),IFERROR(('Final Calculation Sheet'!$AH$31)&amp;"","")=""),AND(OR(ISNUMBER(SEARCH("nonblank",$AI$4)),ISNUMBER(SEARCH("&lt;&gt;",$AI$4))),IFERROR(('Final Calculation Sheet'!$AH$31)&amp;"","")&lt;&gt;""),AND(TRIM($AI$4)="",IFERROR(('Final Calculation Sheet'!$AH$31)&amp;"","")=""))))</f>
        <v/>
      </c>
      <c r="CU32">
        <f>IF($AF$4="",1,--(OR(SUMPRODUCT(--(TRIM(MID(SUBSTITUTE(SUBSTITUTE($AF$4,"/",","),",",REPT(" ",99)),(ROW($1:$8)-1)*99+1,99))&lt;&gt;""),--ISNUMBER(SEARCH(TRIM(MID(SUBSTITUTE(SUBSTITUTE($AF$4,"/",","),",",REPT(" ",99)),(ROW($1:$8)-1)*99+1,99)),IFERROR((IF('Final Calculation Sheet'!$AD$31&lt;=5,"SETTLED","OUTSTANDING"))&amp;"",""))))&gt;0,AND(ISNUMBER(SEARCH("blank",$AF$4)),NOT(ISNUMBER(SEARCH("nonblank",$AF$4))),IFERROR((IF('Final Calculation Sheet'!$AD$31&lt;=5,"SETTLED","OUTSTANDING"))&amp;"","")=""),AND(OR(ISNUMBER(SEARCH("nonblank",$AF$4)),ISNUMBER(SEARCH("&lt;&gt;",$AF$4))),IFERROR((IF('Final Calculation Sheet'!$AD$31&lt;=5,"SETTLED","OUTSTANDING"))&amp;"","")&lt;&gt;""),AND(TRIM($AF$4)="",IFERROR((IF('Final Calculation Sheet'!$AD$31&lt;=5,"SETTLED","OUTSTANDING"))&amp;"","")=""))))</f>
        <v/>
      </c>
    </row>
    <row r="33" ht="15" customHeight="1" s="137">
      <c r="A33" s="67">
        <f>IF($BJ32&gt;0,INDEX($BA$5:$BA$41,MATCH(32,$BB$5:$BB$41,0)),IF(OR($BI32=1,$BL32=1,$BH32&gt;0),"∑",""))</f>
        <v/>
      </c>
      <c r="B33" s="76">
        <f>IF($BJ32&gt;0,IF(INDEX('Final Calculation Sheet'!$F$4:$F$40,$BJ32-3)="","",INDEX('Final Calculation Sheet'!$F$4:$F$40,$BJ32-3)),"")</f>
        <v/>
      </c>
      <c r="C33" s="76">
        <f>IF($BJ32&gt;0,IF(INDEX('Final Calculation Sheet'!$G$4:$G$40,$BJ32-3)="","",INDEX('Final Calculation Sheet'!$G$4:$G$40,$BJ32-3)),IF(OR($BI32=1,$BL32=1,$BH32&gt;0),IF($BI32=1,37,IF($BL32=1,37-INDEX($BD$4:$BD$13,10),INDEX($BD$4:$BD$13,$BH32)))&amp;" lot(s)",""))</f>
        <v/>
      </c>
      <c r="D33" s="80">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80">
        <f>IF($BJ32&gt;0,IF(INDEX('Final Calculation Sheet'!$D$4:$D$40,$BJ32-3)="","",INDEX('Final Calculation Sheet'!$D$4:$D$40,$BJ32-3)),IF(OR($BI32=1,$BL32=1,$BH32&gt;0),"–",""))</f>
        <v/>
      </c>
      <c r="F33" s="80">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80">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G33" s="70">
        <f>IF($BJ32&gt;0,IF(INDEX('Final Calculation Sheet'!$AF$4:$AF$40,$BJ32-3)="","",INDEX('Final Calculation Sheet'!$AF$4:$AF$40,$BJ32-3)),IF(OR($BI32=1,$BL32=1,$BH32&gt;0),"–",""))</f>
        <v/>
      </c>
      <c r="AH33" s="74">
        <f>IF($BJ32&gt;0,IF(INDEX('Final Calculation Sheet'!$AG$4:$AG$40,$BJ32-3)="","",INDEX('Final Calculation Sheet'!$AG$4:$AG$40,$BJ32-3)),IF(OR($BI32=1,$BL32=1,$BH32&gt;0),"–",""))</f>
        <v/>
      </c>
      <c r="AI33" s="70">
        <f>IF($BJ32&gt;0,IF(INDEX('Final Calculation Sheet'!$AH$4:$AH$40,$BJ32-3)="","",INDEX('Final Calculation Sheet'!$AH$4:$AH$40,$BJ32-3)),IF(OR($BI32=1,$BL32=1,$BH32&gt;0),"–",""))</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IF($CW$3="",1,--(OR(SUMPRODUCT(--(TRIM(MID(SUBSTITUTE(SUBSTITUTE($CW$3,"/",","),",",REPT(" ",99)),(ROW($1:$8)-1)*99+1,99))&lt;&gt;""),--ISNUMBER(SEARCH(TRIM(MID(SUBSTITUTE(SUBSTITUTE($CW$3,"/",","),",",REPT(" ",99)),(ROW($1:$8)-1)*99+1,99)),IFERROR(('Final Calculation Sheet'!$G$32)&amp;"",""))))&gt;0,AND(ISNUMBER(SEARCH("blank",$CW$3)),NOT(ISNUMBER(SEARCH("nonblank",$CW$3))),IFERROR(('Final Calculation Sheet'!$G$32)&amp;"","")=""),AND(OR(ISNUMBER(SEARCH("nonblank",$CW$3)),ISNUMBER(SEARCH("&lt;&gt;",$CW$3))),IFERROR(('Final Calculation Sheet'!$G$32)&amp;"","")&lt;&gt;""),AND(TRIM($CW$3)="",IFERROR(('Final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S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T33">
        <f>IF($AI$4="",1,--(OR(SUMPRODUCT(--(TRIM(MID(SUBSTITUTE(SUBSTITUTE($AI$4,"/",","),",",REPT(" ",99)),(ROW($1:$8)-1)*99+1,99))&lt;&gt;""),--ISNUMBER(SEARCH(TRIM(MID(SUBSTITUTE(SUBSTITUTE($AI$4,"/",","),",",REPT(" ",99)),(ROW($1:$8)-1)*99+1,99)),IFERROR(('Final Calculation Sheet'!$AH$32)&amp;"",""))))&gt;0,AND(ISNUMBER(SEARCH("blank",$AI$4)),NOT(ISNUMBER(SEARCH("nonblank",$AI$4))),IFERROR(('Final Calculation Sheet'!$AH$32)&amp;"","")=""),AND(OR(ISNUMBER(SEARCH("nonblank",$AI$4)),ISNUMBER(SEARCH("&lt;&gt;",$AI$4))),IFERROR(('Final Calculation Sheet'!$AH$32)&amp;"","")&lt;&gt;""),AND(TRIM($AI$4)="",IFERROR(('Final Calculation Sheet'!$AH$32)&amp;"","")=""))))</f>
        <v/>
      </c>
      <c r="CU33">
        <f>IF($AF$4="",1,--(OR(SUMPRODUCT(--(TRIM(MID(SUBSTITUTE(SUBSTITUTE($AF$4,"/",","),",",REPT(" ",99)),(ROW($1:$8)-1)*99+1,99))&lt;&gt;""),--ISNUMBER(SEARCH(TRIM(MID(SUBSTITUTE(SUBSTITUTE($AF$4,"/",","),",",REPT(" ",99)),(ROW($1:$8)-1)*99+1,99)),IFERROR((IF('Final Calculation Sheet'!$AD$32&lt;=5,"SETTLED","OUTSTANDING"))&amp;"",""))))&gt;0,AND(ISNUMBER(SEARCH("blank",$AF$4)),NOT(ISNUMBER(SEARCH("nonblank",$AF$4))),IFERROR((IF('Final Calculation Sheet'!$AD$32&lt;=5,"SETTLED","OUTSTANDING"))&amp;"","")=""),AND(OR(ISNUMBER(SEARCH("nonblank",$AF$4)),ISNUMBER(SEARCH("&lt;&gt;",$AF$4))),IFERROR((IF('Final Calculation Sheet'!$AD$32&lt;=5,"SETTLED","OUTSTANDING"))&amp;"","")&lt;&gt;""),AND(TRIM($AF$4)="",IFERROR((IF('Final Calculation Sheet'!$AD$32&lt;=5,"SETTLED","OUTSTANDING"))&amp;"","")=""))))</f>
        <v/>
      </c>
    </row>
    <row r="34" ht="15" customHeight="1" s="137">
      <c r="A34" s="67">
        <f>IF($BJ33&gt;0,INDEX($BA$5:$BA$41,MATCH(33,$BB$5:$BB$41,0)),IF(OR($BI33=1,$BL33=1,$BH33&gt;0),"∑",""))</f>
        <v/>
      </c>
      <c r="B34" s="76">
        <f>IF($BJ33&gt;0,IF(INDEX('Final Calculation Sheet'!$F$4:$F$40,$BJ33-3)="","",INDEX('Final Calculation Sheet'!$F$4:$F$40,$BJ33-3)),"")</f>
        <v/>
      </c>
      <c r="C34" s="76">
        <f>IF($BJ33&gt;0,IF(INDEX('Final Calculation Sheet'!$G$4:$G$40,$BJ33-3)="","",INDEX('Final Calculation Sheet'!$G$4:$G$40,$BJ33-3)),IF(OR($BI33=1,$BL33=1,$BH33&gt;0),IF($BI33=1,37,IF($BL33=1,37-INDEX($BD$4:$BD$13,10),INDEX($BD$4:$BD$13,$BH33)))&amp;" lot(s)",""))</f>
        <v/>
      </c>
      <c r="D34" s="80">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80">
        <f>IF($BJ33&gt;0,IF(INDEX('Final Calculation Sheet'!$D$4:$D$40,$BJ33-3)="","",INDEX('Final Calculation Sheet'!$D$4:$D$40,$BJ33-3)),IF(OR($BI33=1,$BL33=1,$BH33&gt;0),"–",""))</f>
        <v/>
      </c>
      <c r="F34" s="80">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80">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G34" s="70">
        <f>IF($BJ33&gt;0,IF(INDEX('Final Calculation Sheet'!$AF$4:$AF$40,$BJ33-3)="","",INDEX('Final Calculation Sheet'!$AF$4:$AF$40,$BJ33-3)),IF(OR($BI33=1,$BL33=1,$BH33&gt;0),"–",""))</f>
        <v/>
      </c>
      <c r="AH34" s="74">
        <f>IF($BJ33&gt;0,IF(INDEX('Final Calculation Sheet'!$AG$4:$AG$40,$BJ33-3)="","",INDEX('Final Calculation Sheet'!$AG$4:$AG$40,$BJ33-3)),IF(OR($BI33=1,$BL33=1,$BH33&gt;0),"–",""))</f>
        <v/>
      </c>
      <c r="AI34" s="70">
        <f>IF($BJ33&gt;0,IF(INDEX('Final Calculation Sheet'!$AH$4:$AH$40,$BJ33-3)="","",INDEX('Final Calculation Sheet'!$AH$4:$AH$40,$BJ33-3)),IF(OR($BI33=1,$BL33=1,$BH33&gt;0),"–",""))</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IF($CW$3="",1,--(OR(SUMPRODUCT(--(TRIM(MID(SUBSTITUTE(SUBSTITUTE($CW$3,"/",","),",",REPT(" ",99)),(ROW($1:$8)-1)*99+1,99))&lt;&gt;""),--ISNUMBER(SEARCH(TRIM(MID(SUBSTITUTE(SUBSTITUTE($CW$3,"/",","),",",REPT(" ",99)),(ROW($1:$8)-1)*99+1,99)),IFERROR(('Final Calculation Sheet'!$G$33)&amp;"",""))))&gt;0,AND(ISNUMBER(SEARCH("blank",$CW$3)),NOT(ISNUMBER(SEARCH("nonblank",$CW$3))),IFERROR(('Final Calculation Sheet'!$G$33)&amp;"","")=""),AND(OR(ISNUMBER(SEARCH("nonblank",$CW$3)),ISNUMBER(SEARCH("&lt;&gt;",$CW$3))),IFERROR(('Final Calculation Sheet'!$G$33)&amp;"","")&lt;&gt;""),AND(TRIM($CW$3)="",IFERROR(('Final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S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T34">
        <f>IF($AI$4="",1,--(OR(SUMPRODUCT(--(TRIM(MID(SUBSTITUTE(SUBSTITUTE($AI$4,"/",","),",",REPT(" ",99)),(ROW($1:$8)-1)*99+1,99))&lt;&gt;""),--ISNUMBER(SEARCH(TRIM(MID(SUBSTITUTE(SUBSTITUTE($AI$4,"/",","),",",REPT(" ",99)),(ROW($1:$8)-1)*99+1,99)),IFERROR(('Final Calculation Sheet'!$AH$33)&amp;"",""))))&gt;0,AND(ISNUMBER(SEARCH("blank",$AI$4)),NOT(ISNUMBER(SEARCH("nonblank",$AI$4))),IFERROR(('Final Calculation Sheet'!$AH$33)&amp;"","")=""),AND(OR(ISNUMBER(SEARCH("nonblank",$AI$4)),ISNUMBER(SEARCH("&lt;&gt;",$AI$4))),IFERROR(('Final Calculation Sheet'!$AH$33)&amp;"","")&lt;&gt;""),AND(TRIM($AI$4)="",IFERROR(('Final Calculation Sheet'!$AH$33)&amp;"","")=""))))</f>
        <v/>
      </c>
      <c r="CU34">
        <f>IF($AF$4="",1,--(OR(SUMPRODUCT(--(TRIM(MID(SUBSTITUTE(SUBSTITUTE($AF$4,"/",","),",",REPT(" ",99)),(ROW($1:$8)-1)*99+1,99))&lt;&gt;""),--ISNUMBER(SEARCH(TRIM(MID(SUBSTITUTE(SUBSTITUTE($AF$4,"/",","),",",REPT(" ",99)),(ROW($1:$8)-1)*99+1,99)),IFERROR((IF('Final Calculation Sheet'!$AD$33&lt;=5,"SETTLED","OUTSTANDING"))&amp;"",""))))&gt;0,AND(ISNUMBER(SEARCH("blank",$AF$4)),NOT(ISNUMBER(SEARCH("nonblank",$AF$4))),IFERROR((IF('Final Calculation Sheet'!$AD$33&lt;=5,"SETTLED","OUTSTANDING"))&amp;"","")=""),AND(OR(ISNUMBER(SEARCH("nonblank",$AF$4)),ISNUMBER(SEARCH("&lt;&gt;",$AF$4))),IFERROR((IF('Final Calculation Sheet'!$AD$33&lt;=5,"SETTLED","OUTSTANDING"))&amp;"","")&lt;&gt;""),AND(TRIM($AF$4)="",IFERROR((IF('Final Calculation Sheet'!$AD$33&lt;=5,"SETTLED","OUTSTANDING"))&amp;"","")=""))))</f>
        <v/>
      </c>
    </row>
    <row r="35" ht="15" customHeight="1" s="137">
      <c r="A35" s="67">
        <f>IF($BJ34&gt;0,INDEX($BA$5:$BA$41,MATCH(34,$BB$5:$BB$41,0)),IF(OR($BI34=1,$BL34=1,$BH34&gt;0),"∑",""))</f>
        <v/>
      </c>
      <c r="B35" s="76">
        <f>IF($BJ34&gt;0,IF(INDEX('Final Calculation Sheet'!$F$4:$F$40,$BJ34-3)="","",INDEX('Final Calculation Sheet'!$F$4:$F$40,$BJ34-3)),"")</f>
        <v/>
      </c>
      <c r="C35" s="76">
        <f>IF($BJ34&gt;0,IF(INDEX('Final Calculation Sheet'!$G$4:$G$40,$BJ34-3)="","",INDEX('Final Calculation Sheet'!$G$4:$G$40,$BJ34-3)),IF(OR($BI34=1,$BL34=1,$BH34&gt;0),IF($BI34=1,37,IF($BL34=1,37-INDEX($BD$4:$BD$13,10),INDEX($BD$4:$BD$13,$BH34)))&amp;" lot(s)",""))</f>
        <v/>
      </c>
      <c r="D35" s="80">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80">
        <f>IF($BJ34&gt;0,IF(INDEX('Final Calculation Sheet'!$D$4:$D$40,$BJ34-3)="","",INDEX('Final Calculation Sheet'!$D$4:$D$40,$BJ34-3)),IF(OR($BI34=1,$BL34=1,$BH34&gt;0),"–",""))</f>
        <v/>
      </c>
      <c r="F35" s="80">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80">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G35" s="70">
        <f>IF($BJ34&gt;0,IF(INDEX('Final Calculation Sheet'!$AF$4:$AF$40,$BJ34-3)="","",INDEX('Final Calculation Sheet'!$AF$4:$AF$40,$BJ34-3)),IF(OR($BI34=1,$BL34=1,$BH34&gt;0),"–",""))</f>
        <v/>
      </c>
      <c r="AH35" s="74">
        <f>IF($BJ34&gt;0,IF(INDEX('Final Calculation Sheet'!$AG$4:$AG$40,$BJ34-3)="","",INDEX('Final Calculation Sheet'!$AG$4:$AG$40,$BJ34-3)),IF(OR($BI34=1,$BL34=1,$BH34&gt;0),"–",""))</f>
        <v/>
      </c>
      <c r="AI35" s="70">
        <f>IF($BJ34&gt;0,IF(INDEX('Final Calculation Sheet'!$AH$4:$AH$40,$BJ34-3)="","",INDEX('Final Calculation Sheet'!$AH$4:$AH$40,$BJ34-3)),IF(OR($BI34=1,$BL34=1,$BH34&gt;0),"–",""))</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IF($CW$3="",1,--(OR(SUMPRODUCT(--(TRIM(MID(SUBSTITUTE(SUBSTITUTE($CW$3,"/",","),",",REPT(" ",99)),(ROW($1:$8)-1)*99+1,99))&lt;&gt;""),--ISNUMBER(SEARCH(TRIM(MID(SUBSTITUTE(SUBSTITUTE($CW$3,"/",","),",",REPT(" ",99)),(ROW($1:$8)-1)*99+1,99)),IFERROR(('Final Calculation Sheet'!$G$34)&amp;"",""))))&gt;0,AND(ISNUMBER(SEARCH("blank",$CW$3)),NOT(ISNUMBER(SEARCH("nonblank",$CW$3))),IFERROR(('Final Calculation Sheet'!$G$34)&amp;"","")=""),AND(OR(ISNUMBER(SEARCH("nonblank",$CW$3)),ISNUMBER(SEARCH("&lt;&gt;",$CW$3))),IFERROR(('Final Calculation Sheet'!$G$34)&amp;"","")&lt;&gt;""),AND(TRIM($CW$3)="",IFERROR(('Final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S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T35">
        <f>IF($AI$4="",1,--(OR(SUMPRODUCT(--(TRIM(MID(SUBSTITUTE(SUBSTITUTE($AI$4,"/",","),",",REPT(" ",99)),(ROW($1:$8)-1)*99+1,99))&lt;&gt;""),--ISNUMBER(SEARCH(TRIM(MID(SUBSTITUTE(SUBSTITUTE($AI$4,"/",","),",",REPT(" ",99)),(ROW($1:$8)-1)*99+1,99)),IFERROR(('Final Calculation Sheet'!$AH$34)&amp;"",""))))&gt;0,AND(ISNUMBER(SEARCH("blank",$AI$4)),NOT(ISNUMBER(SEARCH("nonblank",$AI$4))),IFERROR(('Final Calculation Sheet'!$AH$34)&amp;"","")=""),AND(OR(ISNUMBER(SEARCH("nonblank",$AI$4)),ISNUMBER(SEARCH("&lt;&gt;",$AI$4))),IFERROR(('Final Calculation Sheet'!$AH$34)&amp;"","")&lt;&gt;""),AND(TRIM($AI$4)="",IFERROR(('Final Calculation Sheet'!$AH$34)&amp;"","")=""))))</f>
        <v/>
      </c>
      <c r="CU35">
        <f>IF($AF$4="",1,--(OR(SUMPRODUCT(--(TRIM(MID(SUBSTITUTE(SUBSTITUTE($AF$4,"/",","),",",REPT(" ",99)),(ROW($1:$8)-1)*99+1,99))&lt;&gt;""),--ISNUMBER(SEARCH(TRIM(MID(SUBSTITUTE(SUBSTITUTE($AF$4,"/",","),",",REPT(" ",99)),(ROW($1:$8)-1)*99+1,99)),IFERROR((IF('Final Calculation Sheet'!$AD$34&lt;=5,"SETTLED","OUTSTANDING"))&amp;"",""))))&gt;0,AND(ISNUMBER(SEARCH("blank",$AF$4)),NOT(ISNUMBER(SEARCH("nonblank",$AF$4))),IFERROR((IF('Final Calculation Sheet'!$AD$34&lt;=5,"SETTLED","OUTSTANDING"))&amp;"","")=""),AND(OR(ISNUMBER(SEARCH("nonblank",$AF$4)),ISNUMBER(SEARCH("&lt;&gt;",$AF$4))),IFERROR((IF('Final Calculation Sheet'!$AD$34&lt;=5,"SETTLED","OUTSTANDING"))&amp;"","")&lt;&gt;""),AND(TRIM($AF$4)="",IFERROR((IF('Final Calculation Sheet'!$AD$34&lt;=5,"SETTLED","OUTSTANDING"))&amp;"","")=""))))</f>
        <v/>
      </c>
    </row>
    <row r="36" ht="15" customHeight="1" s="137">
      <c r="A36" s="67">
        <f>IF($BJ35&gt;0,INDEX($BA$5:$BA$41,MATCH(35,$BB$5:$BB$41,0)),IF(OR($BI35=1,$BL35=1,$BH35&gt;0),"∑",""))</f>
        <v/>
      </c>
      <c r="B36" s="76">
        <f>IF($BJ35&gt;0,IF(INDEX('Final Calculation Sheet'!$F$4:$F$40,$BJ35-3)="","",INDEX('Final Calculation Sheet'!$F$4:$F$40,$BJ35-3)),"")</f>
        <v/>
      </c>
      <c r="C36" s="76">
        <f>IF($BJ35&gt;0,IF(INDEX('Final Calculation Sheet'!$G$4:$G$40,$BJ35-3)="","",INDEX('Final Calculation Sheet'!$G$4:$G$40,$BJ35-3)),IF(OR($BI35=1,$BL35=1,$BH35&gt;0),IF($BI35=1,37,IF($BL35=1,37-INDEX($BD$4:$BD$13,10),INDEX($BD$4:$BD$13,$BH35)))&amp;" lot(s)",""))</f>
        <v/>
      </c>
      <c r="D36" s="80">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80">
        <f>IF($BJ35&gt;0,IF(INDEX('Final Calculation Sheet'!$D$4:$D$40,$BJ35-3)="","",INDEX('Final Calculation Sheet'!$D$4:$D$40,$BJ35-3)),IF(OR($BI35=1,$BL35=1,$BH35&gt;0),"–",""))</f>
        <v/>
      </c>
      <c r="F36" s="80">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80">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G36" s="70">
        <f>IF($BJ35&gt;0,IF(INDEX('Final Calculation Sheet'!$AF$4:$AF$40,$BJ35-3)="","",INDEX('Final Calculation Sheet'!$AF$4:$AF$40,$BJ35-3)),IF(OR($BI35=1,$BL35=1,$BH35&gt;0),"–",""))</f>
        <v/>
      </c>
      <c r="AH36" s="74">
        <f>IF($BJ35&gt;0,IF(INDEX('Final Calculation Sheet'!$AG$4:$AG$40,$BJ35-3)="","",INDEX('Final Calculation Sheet'!$AG$4:$AG$40,$BJ35-3)),IF(OR($BI35=1,$BL35=1,$BH35&gt;0),"–",""))</f>
        <v/>
      </c>
      <c r="AI36" s="70">
        <f>IF($BJ35&gt;0,IF(INDEX('Final Calculation Sheet'!$AH$4:$AH$40,$BJ35-3)="","",INDEX('Final Calculation Sheet'!$AH$4:$AH$40,$BJ35-3)),IF(OR($BI35=1,$BL35=1,$BH35&gt;0),"–",""))</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IF($CW$3="",1,--(OR(SUMPRODUCT(--(TRIM(MID(SUBSTITUTE(SUBSTITUTE($CW$3,"/",","),",",REPT(" ",99)),(ROW($1:$8)-1)*99+1,99))&lt;&gt;""),--ISNUMBER(SEARCH(TRIM(MID(SUBSTITUTE(SUBSTITUTE($CW$3,"/",","),",",REPT(" ",99)),(ROW($1:$8)-1)*99+1,99)),IFERROR(('Final Calculation Sheet'!$G$35)&amp;"",""))))&gt;0,AND(ISNUMBER(SEARCH("blank",$CW$3)),NOT(ISNUMBER(SEARCH("nonblank",$CW$3))),IFERROR(('Final Calculation Sheet'!$G$35)&amp;"","")=""),AND(OR(ISNUMBER(SEARCH("nonblank",$CW$3)),ISNUMBER(SEARCH("&lt;&gt;",$CW$3))),IFERROR(('Final Calculation Sheet'!$G$35)&amp;"","")&lt;&gt;""),AND(TRIM($CW$3)="",IFERROR(('Final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S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T36">
        <f>IF($AI$4="",1,--(OR(SUMPRODUCT(--(TRIM(MID(SUBSTITUTE(SUBSTITUTE($AI$4,"/",","),",",REPT(" ",99)),(ROW($1:$8)-1)*99+1,99))&lt;&gt;""),--ISNUMBER(SEARCH(TRIM(MID(SUBSTITUTE(SUBSTITUTE($AI$4,"/",","),",",REPT(" ",99)),(ROW($1:$8)-1)*99+1,99)),IFERROR(('Final Calculation Sheet'!$AH$35)&amp;"",""))))&gt;0,AND(ISNUMBER(SEARCH("blank",$AI$4)),NOT(ISNUMBER(SEARCH("nonblank",$AI$4))),IFERROR(('Final Calculation Sheet'!$AH$35)&amp;"","")=""),AND(OR(ISNUMBER(SEARCH("nonblank",$AI$4)),ISNUMBER(SEARCH("&lt;&gt;",$AI$4))),IFERROR(('Final Calculation Sheet'!$AH$35)&amp;"","")&lt;&gt;""),AND(TRIM($AI$4)="",IFERROR(('Final Calculation Sheet'!$AH$35)&amp;"","")=""))))</f>
        <v/>
      </c>
      <c r="CU36">
        <f>IF($AF$4="",1,--(OR(SUMPRODUCT(--(TRIM(MID(SUBSTITUTE(SUBSTITUTE($AF$4,"/",","),",",REPT(" ",99)),(ROW($1:$8)-1)*99+1,99))&lt;&gt;""),--ISNUMBER(SEARCH(TRIM(MID(SUBSTITUTE(SUBSTITUTE($AF$4,"/",","),",",REPT(" ",99)),(ROW($1:$8)-1)*99+1,99)),IFERROR((IF('Final Calculation Sheet'!$AD$35&lt;=5,"SETTLED","OUTSTANDING"))&amp;"",""))))&gt;0,AND(ISNUMBER(SEARCH("blank",$AF$4)),NOT(ISNUMBER(SEARCH("nonblank",$AF$4))),IFERROR((IF('Final Calculation Sheet'!$AD$35&lt;=5,"SETTLED","OUTSTANDING"))&amp;"","")=""),AND(OR(ISNUMBER(SEARCH("nonblank",$AF$4)),ISNUMBER(SEARCH("&lt;&gt;",$AF$4))),IFERROR((IF('Final Calculation Sheet'!$AD$35&lt;=5,"SETTLED","OUTSTANDING"))&amp;"","")&lt;&gt;""),AND(TRIM($AF$4)="",IFERROR((IF('Final Calculation Sheet'!$AD$35&lt;=5,"SETTLED","OUTSTANDING"))&amp;"","")=""))))</f>
        <v/>
      </c>
    </row>
    <row r="37" ht="15" customHeight="1" s="137">
      <c r="A37" s="67">
        <f>IF($BJ36&gt;0,INDEX($BA$5:$BA$41,MATCH(36,$BB$5:$BB$41,0)),IF(OR($BI36=1,$BL36=1,$BH36&gt;0),"∑",""))</f>
        <v/>
      </c>
      <c r="B37" s="76">
        <f>IF($BJ36&gt;0,IF(INDEX('Final Calculation Sheet'!$F$4:$F$40,$BJ36-3)="","",INDEX('Final Calculation Sheet'!$F$4:$F$40,$BJ36-3)),"")</f>
        <v/>
      </c>
      <c r="C37" s="76">
        <f>IF($BJ36&gt;0,IF(INDEX('Final Calculation Sheet'!$G$4:$G$40,$BJ36-3)="","",INDEX('Final Calculation Sheet'!$G$4:$G$40,$BJ36-3)),IF(OR($BI36=1,$BL36=1,$BH36&gt;0),IF($BI36=1,37,IF($BL36=1,37-INDEX($BD$4:$BD$13,10),INDEX($BD$4:$BD$13,$BH36)))&amp;" lot(s)",""))</f>
        <v/>
      </c>
      <c r="D37" s="80">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80">
        <f>IF($BJ36&gt;0,IF(INDEX('Final Calculation Sheet'!$D$4:$D$40,$BJ36-3)="","",INDEX('Final Calculation Sheet'!$D$4:$D$40,$BJ36-3)),IF(OR($BI36=1,$BL36=1,$BH36&gt;0),"–",""))</f>
        <v/>
      </c>
      <c r="F37" s="80">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80">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G37" s="70">
        <f>IF($BJ36&gt;0,IF(INDEX('Final Calculation Sheet'!$AF$4:$AF$40,$BJ36-3)="","",INDEX('Final Calculation Sheet'!$AF$4:$AF$40,$BJ36-3)),IF(OR($BI36=1,$BL36=1,$BH36&gt;0),"–",""))</f>
        <v/>
      </c>
      <c r="AH37" s="74">
        <f>IF($BJ36&gt;0,IF(INDEX('Final Calculation Sheet'!$AG$4:$AG$40,$BJ36-3)="","",INDEX('Final Calculation Sheet'!$AG$4:$AG$40,$BJ36-3)),IF(OR($BI36=1,$BL36=1,$BH36&gt;0),"–",""))</f>
        <v/>
      </c>
      <c r="AI37" s="70">
        <f>IF($BJ36&gt;0,IF(INDEX('Final Calculation Sheet'!$AH$4:$AH$40,$BJ36-3)="","",INDEX('Final Calculation Sheet'!$AH$4:$AH$40,$BJ36-3)),IF(OR($BI36=1,$BL36=1,$BH36&gt;0),"–",""))</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IF($CW$3="",1,--(OR(SUMPRODUCT(--(TRIM(MID(SUBSTITUTE(SUBSTITUTE($CW$3,"/",","),",",REPT(" ",99)),(ROW($1:$8)-1)*99+1,99))&lt;&gt;""),--ISNUMBER(SEARCH(TRIM(MID(SUBSTITUTE(SUBSTITUTE($CW$3,"/",","),",",REPT(" ",99)),(ROW($1:$8)-1)*99+1,99)),IFERROR(('Final Calculation Sheet'!$G$36)&amp;"",""))))&gt;0,AND(ISNUMBER(SEARCH("blank",$CW$3)),NOT(ISNUMBER(SEARCH("nonblank",$CW$3))),IFERROR(('Final Calculation Sheet'!$G$36)&amp;"","")=""),AND(OR(ISNUMBER(SEARCH("nonblank",$CW$3)),ISNUMBER(SEARCH("&lt;&gt;",$CW$3))),IFERROR(('Final Calculation Sheet'!$G$36)&amp;"","")&lt;&gt;""),AND(TRIM($CW$3)="",IFERROR(('Final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S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T37">
        <f>IF($AI$4="",1,--(OR(SUMPRODUCT(--(TRIM(MID(SUBSTITUTE(SUBSTITUTE($AI$4,"/",","),",",REPT(" ",99)),(ROW($1:$8)-1)*99+1,99))&lt;&gt;""),--ISNUMBER(SEARCH(TRIM(MID(SUBSTITUTE(SUBSTITUTE($AI$4,"/",","),",",REPT(" ",99)),(ROW($1:$8)-1)*99+1,99)),IFERROR(('Final Calculation Sheet'!$AH$36)&amp;"",""))))&gt;0,AND(ISNUMBER(SEARCH("blank",$AI$4)),NOT(ISNUMBER(SEARCH("nonblank",$AI$4))),IFERROR(('Final Calculation Sheet'!$AH$36)&amp;"","")=""),AND(OR(ISNUMBER(SEARCH("nonblank",$AI$4)),ISNUMBER(SEARCH("&lt;&gt;",$AI$4))),IFERROR(('Final Calculation Sheet'!$AH$36)&amp;"","")&lt;&gt;""),AND(TRIM($AI$4)="",IFERROR(('Final Calculation Sheet'!$AH$36)&amp;"","")=""))))</f>
        <v/>
      </c>
      <c r="CU37">
        <f>IF($AF$4="",1,--(OR(SUMPRODUCT(--(TRIM(MID(SUBSTITUTE(SUBSTITUTE($AF$4,"/",","),",",REPT(" ",99)),(ROW($1:$8)-1)*99+1,99))&lt;&gt;""),--ISNUMBER(SEARCH(TRIM(MID(SUBSTITUTE(SUBSTITUTE($AF$4,"/",","),",",REPT(" ",99)),(ROW($1:$8)-1)*99+1,99)),IFERROR((IF('Final Calculation Sheet'!$AD$36&lt;=5,"SETTLED","OUTSTANDING"))&amp;"",""))))&gt;0,AND(ISNUMBER(SEARCH("blank",$AF$4)),NOT(ISNUMBER(SEARCH("nonblank",$AF$4))),IFERROR((IF('Final Calculation Sheet'!$AD$36&lt;=5,"SETTLED","OUTSTANDING"))&amp;"","")=""),AND(OR(ISNUMBER(SEARCH("nonblank",$AF$4)),ISNUMBER(SEARCH("&lt;&gt;",$AF$4))),IFERROR((IF('Final Calculation Sheet'!$AD$36&lt;=5,"SETTLED","OUTSTANDING"))&amp;"","")&lt;&gt;""),AND(TRIM($AF$4)="",IFERROR((IF('Final Calculation Sheet'!$AD$36&lt;=5,"SETTLED","OUTSTANDING"))&amp;"","")=""))))</f>
        <v/>
      </c>
    </row>
    <row r="38" ht="15" customHeight="1" s="137">
      <c r="A38" s="67">
        <f>IF($BJ37&gt;0,INDEX($BA$5:$BA$41,MATCH(37,$BB$5:$BB$41,0)),IF(OR($BI37=1,$BL37=1,$BH37&gt;0),"∑",""))</f>
        <v/>
      </c>
      <c r="B38" s="76">
        <f>IF($BJ37&gt;0,IF(INDEX('Final Calculation Sheet'!$F$4:$F$40,$BJ37-3)="","",INDEX('Final Calculation Sheet'!$F$4:$F$40,$BJ37-3)),"")</f>
        <v/>
      </c>
      <c r="C38" s="76">
        <f>IF($BJ37&gt;0,IF(INDEX('Final Calculation Sheet'!$G$4:$G$40,$BJ37-3)="","",INDEX('Final Calculation Sheet'!$G$4:$G$40,$BJ37-3)),IF(OR($BI37=1,$BL37=1,$BH37&gt;0),IF($BI37=1,37,IF($BL37=1,37-INDEX($BD$4:$BD$13,10),INDEX($BD$4:$BD$13,$BH37)))&amp;" lot(s)",""))</f>
        <v/>
      </c>
      <c r="D38" s="80">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80">
        <f>IF($BJ37&gt;0,IF(INDEX('Final Calculation Sheet'!$D$4:$D$40,$BJ37-3)="","",INDEX('Final Calculation Sheet'!$D$4:$D$40,$BJ37-3)),IF(OR($BI37=1,$BL37=1,$BH37&gt;0),"–",""))</f>
        <v/>
      </c>
      <c r="F38" s="80">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80">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G38" s="70">
        <f>IF($BJ37&gt;0,IF(INDEX('Final Calculation Sheet'!$AF$4:$AF$40,$BJ37-3)="","",INDEX('Final Calculation Sheet'!$AF$4:$AF$40,$BJ37-3)),IF(OR($BI37=1,$BL37=1,$BH37&gt;0),"–",""))</f>
        <v/>
      </c>
      <c r="AH38" s="74">
        <f>IF($BJ37&gt;0,IF(INDEX('Final Calculation Sheet'!$AG$4:$AG$40,$BJ37-3)="","",INDEX('Final Calculation Sheet'!$AG$4:$AG$40,$BJ37-3)),IF(OR($BI37=1,$BL37=1,$BH37&gt;0),"–",""))</f>
        <v/>
      </c>
      <c r="AI38" s="70">
        <f>IF($BJ37&gt;0,IF(INDEX('Final Calculation Sheet'!$AH$4:$AH$40,$BJ37-3)="","",INDEX('Final Calculation Sheet'!$AH$4:$AH$40,$BJ37-3)),IF(OR($BI37=1,$BL37=1,$BH37&gt;0),"–",""))</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IF($CW$3="",1,--(OR(SUMPRODUCT(--(TRIM(MID(SUBSTITUTE(SUBSTITUTE($CW$3,"/",","),",",REPT(" ",99)),(ROW($1:$8)-1)*99+1,99))&lt;&gt;""),--ISNUMBER(SEARCH(TRIM(MID(SUBSTITUTE(SUBSTITUTE($CW$3,"/",","),",",REPT(" ",99)),(ROW($1:$8)-1)*99+1,99)),IFERROR(('Final Calculation Sheet'!$G$37)&amp;"",""))))&gt;0,AND(ISNUMBER(SEARCH("blank",$CW$3)),NOT(ISNUMBER(SEARCH("nonblank",$CW$3))),IFERROR(('Final Calculation Sheet'!$G$37)&amp;"","")=""),AND(OR(ISNUMBER(SEARCH("nonblank",$CW$3)),ISNUMBER(SEARCH("&lt;&gt;",$CW$3))),IFERROR(('Final Calculation Sheet'!$G$37)&amp;"","")&lt;&gt;""),AND(TRIM($CW$3)="",IFERROR(('Final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S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T38">
        <f>IF($AI$4="",1,--(OR(SUMPRODUCT(--(TRIM(MID(SUBSTITUTE(SUBSTITUTE($AI$4,"/",","),",",REPT(" ",99)),(ROW($1:$8)-1)*99+1,99))&lt;&gt;""),--ISNUMBER(SEARCH(TRIM(MID(SUBSTITUTE(SUBSTITUTE($AI$4,"/",","),",",REPT(" ",99)),(ROW($1:$8)-1)*99+1,99)),IFERROR(('Final Calculation Sheet'!$AH$37)&amp;"",""))))&gt;0,AND(ISNUMBER(SEARCH("blank",$AI$4)),NOT(ISNUMBER(SEARCH("nonblank",$AI$4))),IFERROR(('Final Calculation Sheet'!$AH$37)&amp;"","")=""),AND(OR(ISNUMBER(SEARCH("nonblank",$AI$4)),ISNUMBER(SEARCH("&lt;&gt;",$AI$4))),IFERROR(('Final Calculation Sheet'!$AH$37)&amp;"","")&lt;&gt;""),AND(TRIM($AI$4)="",IFERROR(('Final Calculation Sheet'!$AH$37)&amp;"","")=""))))</f>
        <v/>
      </c>
      <c r="CU38">
        <f>IF($AF$4="",1,--(OR(SUMPRODUCT(--(TRIM(MID(SUBSTITUTE(SUBSTITUTE($AF$4,"/",","),",",REPT(" ",99)),(ROW($1:$8)-1)*99+1,99))&lt;&gt;""),--ISNUMBER(SEARCH(TRIM(MID(SUBSTITUTE(SUBSTITUTE($AF$4,"/",","),",",REPT(" ",99)),(ROW($1:$8)-1)*99+1,99)),IFERROR((IF('Final Calculation Sheet'!$AD$37&lt;=5,"SETTLED","OUTSTANDING"))&amp;"",""))))&gt;0,AND(ISNUMBER(SEARCH("blank",$AF$4)),NOT(ISNUMBER(SEARCH("nonblank",$AF$4))),IFERROR((IF('Final Calculation Sheet'!$AD$37&lt;=5,"SETTLED","OUTSTANDING"))&amp;"","")=""),AND(OR(ISNUMBER(SEARCH("nonblank",$AF$4)),ISNUMBER(SEARCH("&lt;&gt;",$AF$4))),IFERROR((IF('Final Calculation Sheet'!$AD$37&lt;=5,"SETTLED","OUTSTANDING"))&amp;"","")&lt;&gt;""),AND(TRIM($AF$4)="",IFERROR((IF('Final Calculation Sheet'!$AD$37&lt;=5,"SETTLED","OUTSTANDING"))&amp;"","")=""))))</f>
        <v/>
      </c>
    </row>
    <row r="39" ht="15" customHeight="1" s="137">
      <c r="A39" s="67">
        <f>IF($BJ38&gt;0,INDEX($BA$5:$BA$41,MATCH(38,$BB$5:$BB$41,0)),IF(OR($BI38=1,$BL38=1,$BH38&gt;0),"∑",""))</f>
        <v/>
      </c>
      <c r="B39" s="76">
        <f>IF($BJ38&gt;0,IF(INDEX('Final Calculation Sheet'!$F$4:$F$40,$BJ38-3)="","",INDEX('Final Calculation Sheet'!$F$4:$F$40,$BJ38-3)),"")</f>
        <v/>
      </c>
      <c r="C39" s="76">
        <f>IF($BJ38&gt;0,IF(INDEX('Final Calculation Sheet'!$G$4:$G$40,$BJ38-3)="","",INDEX('Final Calculation Sheet'!$G$4:$G$40,$BJ38-3)),IF(OR($BI38=1,$BL38=1,$BH38&gt;0),IF($BI38=1,37,IF($BL38=1,37-INDEX($BD$4:$BD$13,10),INDEX($BD$4:$BD$13,$BH38)))&amp;" lot(s)",""))</f>
        <v/>
      </c>
      <c r="D39" s="80">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80">
        <f>IF($BJ38&gt;0,IF(INDEX('Final Calculation Sheet'!$D$4:$D$40,$BJ38-3)="","",INDEX('Final Calculation Sheet'!$D$4:$D$40,$BJ38-3)),IF(OR($BI38=1,$BL38=1,$BH38&gt;0),"–",""))</f>
        <v/>
      </c>
      <c r="F39" s="80">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80">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G39" s="70">
        <f>IF($BJ38&gt;0,IF(INDEX('Final Calculation Sheet'!$AF$4:$AF$40,$BJ38-3)="","",INDEX('Final Calculation Sheet'!$AF$4:$AF$40,$BJ38-3)),IF(OR($BI38=1,$BL38=1,$BH38&gt;0),"–",""))</f>
        <v/>
      </c>
      <c r="AH39" s="74">
        <f>IF($BJ38&gt;0,IF(INDEX('Final Calculation Sheet'!$AG$4:$AG$40,$BJ38-3)="","",INDEX('Final Calculation Sheet'!$AG$4:$AG$40,$BJ38-3)),IF(OR($BI38=1,$BL38=1,$BH38&gt;0),"–",""))</f>
        <v/>
      </c>
      <c r="AI39" s="70">
        <f>IF($BJ38&gt;0,IF(INDEX('Final Calculation Sheet'!$AH$4:$AH$40,$BJ38-3)="","",INDEX('Final Calculation Sheet'!$AH$4:$AH$40,$BJ38-3)),IF(OR($BI38=1,$BL38=1,$BH38&gt;0),"–",""))</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IF($CW$3="",1,--(OR(SUMPRODUCT(--(TRIM(MID(SUBSTITUTE(SUBSTITUTE($CW$3,"/",","),",",REPT(" ",99)),(ROW($1:$8)-1)*99+1,99))&lt;&gt;""),--ISNUMBER(SEARCH(TRIM(MID(SUBSTITUTE(SUBSTITUTE($CW$3,"/",","),",",REPT(" ",99)),(ROW($1:$8)-1)*99+1,99)),IFERROR(('Final Calculation Sheet'!$G$38)&amp;"",""))))&gt;0,AND(ISNUMBER(SEARCH("blank",$CW$3)),NOT(ISNUMBER(SEARCH("nonblank",$CW$3))),IFERROR(('Final Calculation Sheet'!$G$38)&amp;"","")=""),AND(OR(ISNUMBER(SEARCH("nonblank",$CW$3)),ISNUMBER(SEARCH("&lt;&gt;",$CW$3))),IFERROR(('Final Calculation Sheet'!$G$38)&amp;"","")&lt;&gt;""),AND(TRIM($CW$3)="",IFERROR(('Final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S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T39">
        <f>IF($AI$4="",1,--(OR(SUMPRODUCT(--(TRIM(MID(SUBSTITUTE(SUBSTITUTE($AI$4,"/",","),",",REPT(" ",99)),(ROW($1:$8)-1)*99+1,99))&lt;&gt;""),--ISNUMBER(SEARCH(TRIM(MID(SUBSTITUTE(SUBSTITUTE($AI$4,"/",","),",",REPT(" ",99)),(ROW($1:$8)-1)*99+1,99)),IFERROR(('Final Calculation Sheet'!$AH$38)&amp;"",""))))&gt;0,AND(ISNUMBER(SEARCH("blank",$AI$4)),NOT(ISNUMBER(SEARCH("nonblank",$AI$4))),IFERROR(('Final Calculation Sheet'!$AH$38)&amp;"","")=""),AND(OR(ISNUMBER(SEARCH("nonblank",$AI$4)),ISNUMBER(SEARCH("&lt;&gt;",$AI$4))),IFERROR(('Final Calculation Sheet'!$AH$38)&amp;"","")&lt;&gt;""),AND(TRIM($AI$4)="",IFERROR(('Final Calculation Sheet'!$AH$38)&amp;"","")=""))))</f>
        <v/>
      </c>
      <c r="CU39">
        <f>IF($AF$4="",1,--(OR(SUMPRODUCT(--(TRIM(MID(SUBSTITUTE(SUBSTITUTE($AF$4,"/",","),",",REPT(" ",99)),(ROW($1:$8)-1)*99+1,99))&lt;&gt;""),--ISNUMBER(SEARCH(TRIM(MID(SUBSTITUTE(SUBSTITUTE($AF$4,"/",","),",",REPT(" ",99)),(ROW($1:$8)-1)*99+1,99)),IFERROR((IF('Final Calculation Sheet'!$AD$38&lt;=5,"SETTLED","OUTSTANDING"))&amp;"",""))))&gt;0,AND(ISNUMBER(SEARCH("blank",$AF$4)),NOT(ISNUMBER(SEARCH("nonblank",$AF$4))),IFERROR((IF('Final Calculation Sheet'!$AD$38&lt;=5,"SETTLED","OUTSTANDING"))&amp;"","")=""),AND(OR(ISNUMBER(SEARCH("nonblank",$AF$4)),ISNUMBER(SEARCH("&lt;&gt;",$AF$4))),IFERROR((IF('Final Calculation Sheet'!$AD$38&lt;=5,"SETTLED","OUTSTANDING"))&amp;"","")&lt;&gt;""),AND(TRIM($AF$4)="",IFERROR((IF('Final Calculation Sheet'!$AD$38&lt;=5,"SETTLED","OUTSTANDING"))&amp;"","")=""))))</f>
        <v/>
      </c>
    </row>
    <row r="40" ht="15" customHeight="1" s="137">
      <c r="A40" s="67">
        <f>IF($BJ39&gt;0,INDEX($BA$5:$BA$41,MATCH(39,$BB$5:$BB$41,0)),IF(OR($BI39=1,$BL39=1,$BH39&gt;0),"∑",""))</f>
        <v/>
      </c>
      <c r="B40" s="76">
        <f>IF($BJ39&gt;0,IF(INDEX('Final Calculation Sheet'!$F$4:$F$40,$BJ39-3)="","",INDEX('Final Calculation Sheet'!$F$4:$F$40,$BJ39-3)),"")</f>
        <v/>
      </c>
      <c r="C40" s="76">
        <f>IF($BJ39&gt;0,IF(INDEX('Final Calculation Sheet'!$G$4:$G$40,$BJ39-3)="","",INDEX('Final Calculation Sheet'!$G$4:$G$40,$BJ39-3)),IF(OR($BI39=1,$BL39=1,$BH39&gt;0),IF($BI39=1,37,IF($BL39=1,37-INDEX($BD$4:$BD$13,10),INDEX($BD$4:$BD$13,$BH39)))&amp;" lot(s)",""))</f>
        <v/>
      </c>
      <c r="D40" s="80">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80">
        <f>IF($BJ39&gt;0,IF(INDEX('Final Calculation Sheet'!$D$4:$D$40,$BJ39-3)="","",INDEX('Final Calculation Sheet'!$D$4:$D$40,$BJ39-3)),IF(OR($BI39=1,$BL39=1,$BH39&gt;0),"–",""))</f>
        <v/>
      </c>
      <c r="F40" s="80">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80">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G40" s="70">
        <f>IF($BJ39&gt;0,IF(INDEX('Final Calculation Sheet'!$AF$4:$AF$40,$BJ39-3)="","",INDEX('Final Calculation Sheet'!$AF$4:$AF$40,$BJ39-3)),IF(OR($BI39=1,$BL39=1,$BH39&gt;0),"–",""))</f>
        <v/>
      </c>
      <c r="AH40" s="74">
        <f>IF($BJ39&gt;0,IF(INDEX('Final Calculation Sheet'!$AG$4:$AG$40,$BJ39-3)="","",INDEX('Final Calculation Sheet'!$AG$4:$AG$40,$BJ39-3)),IF(OR($BI39=1,$BL39=1,$BH39&gt;0),"–",""))</f>
        <v/>
      </c>
      <c r="AI40" s="70">
        <f>IF($BJ39&gt;0,IF(INDEX('Final Calculation Sheet'!$AH$4:$AH$40,$BJ39-3)="","",INDEX('Final Calculation Sheet'!$AH$4:$AH$40,$BJ39-3)),IF(OR($BI39=1,$BL39=1,$BH39&gt;0),"–",""))</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IF($CW$3="",1,--(OR(SUMPRODUCT(--(TRIM(MID(SUBSTITUTE(SUBSTITUTE($CW$3,"/",","),",",REPT(" ",99)),(ROW($1:$8)-1)*99+1,99))&lt;&gt;""),--ISNUMBER(SEARCH(TRIM(MID(SUBSTITUTE(SUBSTITUTE($CW$3,"/",","),",",REPT(" ",99)),(ROW($1:$8)-1)*99+1,99)),IFERROR(('Final Calculation Sheet'!$G$39)&amp;"",""))))&gt;0,AND(ISNUMBER(SEARCH("blank",$CW$3)),NOT(ISNUMBER(SEARCH("nonblank",$CW$3))),IFERROR(('Final Calculation Sheet'!$G$39)&amp;"","")=""),AND(OR(ISNUMBER(SEARCH("nonblank",$CW$3)),ISNUMBER(SEARCH("&lt;&gt;",$CW$3))),IFERROR(('Final Calculation Sheet'!$G$39)&amp;"","")&lt;&gt;""),AND(TRIM($CW$3)="",IFERROR(('Final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S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T40">
        <f>IF($AI$4="",1,--(OR(SUMPRODUCT(--(TRIM(MID(SUBSTITUTE(SUBSTITUTE($AI$4,"/",","),",",REPT(" ",99)),(ROW($1:$8)-1)*99+1,99))&lt;&gt;""),--ISNUMBER(SEARCH(TRIM(MID(SUBSTITUTE(SUBSTITUTE($AI$4,"/",","),",",REPT(" ",99)),(ROW($1:$8)-1)*99+1,99)),IFERROR(('Final Calculation Sheet'!$AH$39)&amp;"",""))))&gt;0,AND(ISNUMBER(SEARCH("blank",$AI$4)),NOT(ISNUMBER(SEARCH("nonblank",$AI$4))),IFERROR(('Final Calculation Sheet'!$AH$39)&amp;"","")=""),AND(OR(ISNUMBER(SEARCH("nonblank",$AI$4)),ISNUMBER(SEARCH("&lt;&gt;",$AI$4))),IFERROR(('Final Calculation Sheet'!$AH$39)&amp;"","")&lt;&gt;""),AND(TRIM($AI$4)="",IFERROR(('Final Calculation Sheet'!$AH$39)&amp;"","")=""))))</f>
        <v/>
      </c>
      <c r="CU40">
        <f>IF($AF$4="",1,--(OR(SUMPRODUCT(--(TRIM(MID(SUBSTITUTE(SUBSTITUTE($AF$4,"/",","),",",REPT(" ",99)),(ROW($1:$8)-1)*99+1,99))&lt;&gt;""),--ISNUMBER(SEARCH(TRIM(MID(SUBSTITUTE(SUBSTITUTE($AF$4,"/",","),",",REPT(" ",99)),(ROW($1:$8)-1)*99+1,99)),IFERROR((IF('Final Calculation Sheet'!$AD$39&lt;=5,"SETTLED","OUTSTANDING"))&amp;"",""))))&gt;0,AND(ISNUMBER(SEARCH("blank",$AF$4)),NOT(ISNUMBER(SEARCH("nonblank",$AF$4))),IFERROR((IF('Final Calculation Sheet'!$AD$39&lt;=5,"SETTLED","OUTSTANDING"))&amp;"","")=""),AND(OR(ISNUMBER(SEARCH("nonblank",$AF$4)),ISNUMBER(SEARCH("&lt;&gt;",$AF$4))),IFERROR((IF('Final Calculation Sheet'!$AD$39&lt;=5,"SETTLED","OUTSTANDING"))&amp;"","")&lt;&gt;""),AND(TRIM($AF$4)="",IFERROR((IF('Final Calculation Sheet'!$AD$39&lt;=5,"SETTLED","OUTSTANDING"))&amp;"","")=""))))</f>
        <v/>
      </c>
    </row>
    <row r="41" ht="15" customHeight="1" s="137">
      <c r="A41" s="67">
        <f>IF($BJ40&gt;0,INDEX($BA$5:$BA$41,MATCH(40,$BB$5:$BB$41,0)),IF(OR($BI40=1,$BL40=1,$BH40&gt;0),"∑",""))</f>
        <v/>
      </c>
      <c r="B41" s="76">
        <f>IF($BJ40&gt;0,IF(INDEX('Final Calculation Sheet'!$F$4:$F$40,$BJ40-3)="","",INDEX('Final Calculation Sheet'!$F$4:$F$40,$BJ40-3)),"")</f>
        <v/>
      </c>
      <c r="C41" s="76">
        <f>IF($BJ40&gt;0,IF(INDEX('Final Calculation Sheet'!$G$4:$G$40,$BJ40-3)="","",INDEX('Final Calculation Sheet'!$G$4:$G$40,$BJ40-3)),IF(OR($BI40=1,$BL40=1,$BH40&gt;0),IF($BI40=1,37,IF($BL40=1,37-INDEX($BD$4:$BD$13,10),INDEX($BD$4:$BD$13,$BH40)))&amp;" lot(s)",""))</f>
        <v/>
      </c>
      <c r="D41" s="80">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80">
        <f>IF($BJ40&gt;0,IF(INDEX('Final Calculation Sheet'!$D$4:$D$40,$BJ40-3)="","",INDEX('Final Calculation Sheet'!$D$4:$D$40,$BJ40-3)),IF(OR($BI40=1,$BL40=1,$BH40&gt;0),"–",""))</f>
        <v/>
      </c>
      <c r="F41" s="80">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80">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G41" s="70">
        <f>IF($BJ40&gt;0,IF(INDEX('Final Calculation Sheet'!$AF$4:$AF$40,$BJ40-3)="","",INDEX('Final Calculation Sheet'!$AF$4:$AF$40,$BJ40-3)),IF(OR($BI40=1,$BL40=1,$BH40&gt;0),"–",""))</f>
        <v/>
      </c>
      <c r="AH41" s="74">
        <f>IF($BJ40&gt;0,IF(INDEX('Final Calculation Sheet'!$AG$4:$AG$40,$BJ40-3)="","",INDEX('Final Calculation Sheet'!$AG$4:$AG$40,$BJ40-3)),IF(OR($BI40=1,$BL40=1,$BH40&gt;0),"–",""))</f>
        <v/>
      </c>
      <c r="AI41" s="70">
        <f>IF($BJ40&gt;0,IF(INDEX('Final Calculation Sheet'!$AH$4:$AH$40,$BJ40-3)="","",INDEX('Final Calculation Sheet'!$AH$4:$AH$40,$BJ40-3)),IF(OR($BI40=1,$BL40=1,$BH40&gt;0),"–",""))</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IF($CW$3="",1,--(OR(SUMPRODUCT(--(TRIM(MID(SUBSTITUTE(SUBSTITUTE($CW$3,"/",","),",",REPT(" ",99)),(ROW($1:$8)-1)*99+1,99))&lt;&gt;""),--ISNUMBER(SEARCH(TRIM(MID(SUBSTITUTE(SUBSTITUTE($CW$3,"/",","),",",REPT(" ",99)),(ROW($1:$8)-1)*99+1,99)),IFERROR(('Final Calculation Sheet'!$G$40)&amp;"",""))))&gt;0,AND(ISNUMBER(SEARCH("blank",$CW$3)),NOT(ISNUMBER(SEARCH("nonblank",$CW$3))),IFERROR(('Final Calculation Sheet'!$G$40)&amp;"","")=""),AND(OR(ISNUMBER(SEARCH("nonblank",$CW$3)),ISNUMBER(SEARCH("&lt;&gt;",$CW$3))),IFERROR(('Final Calculation Sheet'!$G$40)&amp;"","")&lt;&gt;""),AND(TRIM($CW$3)="",IFERROR(('Final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S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T41">
        <f>IF($AI$4="",1,--(OR(SUMPRODUCT(--(TRIM(MID(SUBSTITUTE(SUBSTITUTE($AI$4,"/",","),",",REPT(" ",99)),(ROW($1:$8)-1)*99+1,99))&lt;&gt;""),--ISNUMBER(SEARCH(TRIM(MID(SUBSTITUTE(SUBSTITUTE($AI$4,"/",","),",",REPT(" ",99)),(ROW($1:$8)-1)*99+1,99)),IFERROR(('Final Calculation Sheet'!$AH$40)&amp;"",""))))&gt;0,AND(ISNUMBER(SEARCH("blank",$AI$4)),NOT(ISNUMBER(SEARCH("nonblank",$AI$4))),IFERROR(('Final Calculation Sheet'!$AH$40)&amp;"","")=""),AND(OR(ISNUMBER(SEARCH("nonblank",$AI$4)),ISNUMBER(SEARCH("&lt;&gt;",$AI$4))),IFERROR(('Final Calculation Sheet'!$AH$40)&amp;"","")&lt;&gt;""),AND(TRIM($AI$4)="",IFERROR(('Final Calculation Sheet'!$AH$40)&amp;"","")=""))))</f>
        <v/>
      </c>
      <c r="CU41">
        <f>IF($AF$4="",1,--(OR(SUMPRODUCT(--(TRIM(MID(SUBSTITUTE(SUBSTITUTE($AF$4,"/",","),",",REPT(" ",99)),(ROW($1:$8)-1)*99+1,99))&lt;&gt;""),--ISNUMBER(SEARCH(TRIM(MID(SUBSTITUTE(SUBSTITUTE($AF$4,"/",","),",",REPT(" ",99)),(ROW($1:$8)-1)*99+1,99)),IFERROR((IF('Final Calculation Sheet'!$AD$40&lt;=5,"SETTLED","OUTSTANDING"))&amp;"",""))))&gt;0,AND(ISNUMBER(SEARCH("blank",$AF$4)),NOT(ISNUMBER(SEARCH("nonblank",$AF$4))),IFERROR((IF('Final Calculation Sheet'!$AD$40&lt;=5,"SETTLED","OUTSTANDING"))&amp;"","")=""),AND(OR(ISNUMBER(SEARCH("nonblank",$AF$4)),ISNUMBER(SEARCH("&lt;&gt;",$AF$4))),IFERROR((IF('Final Calculation Sheet'!$AD$40&lt;=5,"SETTLED","OUTSTANDING"))&amp;"","")&lt;&gt;""),AND(TRIM($AF$4)="",IFERROR((IF('Final Calculation Sheet'!$AD$40&lt;=5,"SETTLED","OUTSTANDING"))&amp;"","")=""))))</f>
        <v/>
      </c>
    </row>
    <row r="42" ht="15" customHeight="1" s="137">
      <c r="A42" s="67">
        <f>IF($BJ41&gt;0,INDEX($BA$5:$BA$41,MATCH(41,$BB$5:$BB$41,0)),IF(OR($BI41=1,$BL41=1,$BH41&gt;0),"∑",""))</f>
        <v/>
      </c>
      <c r="B42" s="76">
        <f>IF($BJ41&gt;0,IF(INDEX('Final Calculation Sheet'!$F$4:$F$40,$BJ41-3)="","",INDEX('Final Calculation Sheet'!$F$4:$F$40,$BJ41-3)),"")</f>
        <v/>
      </c>
      <c r="C42" s="76">
        <f>IF($BJ41&gt;0,IF(INDEX('Final Calculation Sheet'!$G$4:$G$40,$BJ41-3)="","",INDEX('Final Calculation Sheet'!$G$4:$G$40,$BJ41-3)),IF(OR($BI41=1,$BL41=1,$BH41&gt;0),IF($BI41=1,37,IF($BL41=1,37-INDEX($BD$4:$BD$13,10),INDEX($BD$4:$BD$13,$BH41)))&amp;" lot(s)",""))</f>
        <v/>
      </c>
      <c r="D42" s="80">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80">
        <f>IF($BJ41&gt;0,IF(INDEX('Final Calculation Sheet'!$D$4:$D$40,$BJ41-3)="","",INDEX('Final Calculation Sheet'!$D$4:$D$40,$BJ41-3)),IF(OR($BI41=1,$BL41=1,$BH41&gt;0),"–",""))</f>
        <v/>
      </c>
      <c r="F42" s="80">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80">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AG42" s="70">
        <f>IF($BJ41&gt;0,IF(INDEX('Final Calculation Sheet'!$AF$4:$AF$40,$BJ41-3)="","",INDEX('Final Calculation Sheet'!$AF$4:$AF$40,$BJ41-3)),IF(OR($BI41=1,$BL41=1,$BH41&gt;0),"–",""))</f>
        <v/>
      </c>
      <c r="AH42" s="74">
        <f>IF($BJ41&gt;0,IF(INDEX('Final Calculation Sheet'!$AG$4:$AG$40,$BJ41-3)="","",INDEX('Final Calculation Sheet'!$AG$4:$AG$40,$BJ41-3)),IF(OR($BI41=1,$BL41=1,$BH41&gt;0),"–",""))</f>
        <v/>
      </c>
      <c r="AI42" s="70">
        <f>IF($BJ41&gt;0,IF(INDEX('Final Calculation Sheet'!$AH$4:$AH$40,$BJ41-3)="","",INDEX('Final Calculation Sheet'!$AH$4:$AH$40,$BJ41-3)),IF(OR($BI41=1,$BL41=1,$BH41&gt;0),"–",""))</f>
        <v/>
      </c>
      <c r="BH42">
        <f>IFERROR(MATCH(42,$BF$4:$BF$13,0),0)</f>
        <v/>
      </c>
      <c r="BI42">
        <f>IF(42=$BG$5,1,0)</f>
        <v/>
      </c>
      <c r="BJ42">
        <f>IF(OR($BH42&gt;0,$BI42=1,$BL42=1),0,IFERROR(INDEX($BC$5:$BC$41,MATCH(42,$BB$5:$BB$41,0)),0))</f>
        <v/>
      </c>
      <c r="BK42">
        <f>IF($BJ42&gt;0,IF(INDEX($AZ$5:$AZ$41,MATCH(42,$BB$5:$BB$41,0))=10,1,0),IF($BH42=10,1,0))</f>
        <v/>
      </c>
      <c r="BL42">
        <f>IF(42=$BG$4,1,0)</f>
        <v/>
      </c>
    </row>
    <row r="43" ht="15" customHeight="1" s="137">
      <c r="A43" s="67">
        <f>IF($BJ42&gt;0,INDEX($BA$5:$BA$41,MATCH(42,$BB$5:$BB$41,0)),IF(OR($BI42=1,$BL42=1,$BH42&gt;0),"∑",""))</f>
        <v/>
      </c>
      <c r="B43" s="76">
        <f>IF($BJ42&gt;0,IF(INDEX('Final Calculation Sheet'!$F$4:$F$40,$BJ42-3)="","",INDEX('Final Calculation Sheet'!$F$4:$F$40,$BJ42-3)),"")</f>
        <v/>
      </c>
      <c r="C43" s="76">
        <f>IF($BJ42&gt;0,IF(INDEX('Final Calculation Sheet'!$G$4:$G$40,$BJ42-3)="","",INDEX('Final Calculation Sheet'!$G$4:$G$40,$BJ42-3)),IF(OR($BI42=1,$BL42=1,$BH42&gt;0),IF($BI42=1,37,IF($BL42=1,37-INDEX($BD$4:$BD$13,10),INDEX($BD$4:$BD$13,$BH42)))&amp;" lot(s)",""))</f>
        <v/>
      </c>
      <c r="D43" s="80">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80">
        <f>IF($BJ42&gt;0,IF(INDEX('Final Calculation Sheet'!$D$4:$D$40,$BJ42-3)="","",INDEX('Final Calculation Sheet'!$D$4:$D$40,$BJ42-3)),IF(OR($BI42=1,$BL42=1,$BH42&gt;0),"–",""))</f>
        <v/>
      </c>
      <c r="F43" s="80">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80">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AG43" s="70">
        <f>IF($BJ42&gt;0,IF(INDEX('Final Calculation Sheet'!$AF$4:$AF$40,$BJ42-3)="","",INDEX('Final Calculation Sheet'!$AF$4:$AF$40,$BJ42-3)),IF(OR($BI42=1,$BL42=1,$BH42&gt;0),"–",""))</f>
        <v/>
      </c>
      <c r="AH43" s="74">
        <f>IF($BJ42&gt;0,IF(INDEX('Final Calculation Sheet'!$AG$4:$AG$40,$BJ42-3)="","",INDEX('Final Calculation Sheet'!$AG$4:$AG$40,$BJ42-3)),IF(OR($BI42=1,$BL42=1,$BH42&gt;0),"–",""))</f>
        <v/>
      </c>
      <c r="AI43" s="70">
        <f>IF($BJ42&gt;0,IF(INDEX('Final Calculation Sheet'!$AH$4:$AH$40,$BJ42-3)="","",INDEX('Final Calculation Sheet'!$AH$4:$AH$40,$BJ42-3)),IF(OR($BI42=1,$BL42=1,$BH42&gt;0),"–",""))</f>
        <v/>
      </c>
      <c r="BH43">
        <f>IFERROR(MATCH(43,$BF$4:$BF$13,0),0)</f>
        <v/>
      </c>
      <c r="BI43">
        <f>IF(43=$BG$5,1,0)</f>
        <v/>
      </c>
      <c r="BJ43">
        <f>IF(OR($BH43&gt;0,$BI43=1,$BL43=1),0,IFERROR(INDEX($BC$5:$BC$41,MATCH(43,$BB$5:$BB$41,0)),0))</f>
        <v/>
      </c>
      <c r="BK43">
        <f>IF($BJ43&gt;0,IF(INDEX($AZ$5:$AZ$41,MATCH(43,$BB$5:$BB$41,0))=10,1,0),IF($BH43=10,1,0))</f>
        <v/>
      </c>
      <c r="BL43">
        <f>IF(43=$BG$4,1,0)</f>
        <v/>
      </c>
    </row>
    <row r="44" ht="15" customHeight="1" s="137">
      <c r="A44" s="67">
        <f>IF($BJ43&gt;0,INDEX($BA$5:$BA$41,MATCH(43,$BB$5:$BB$41,0)),IF(OR($BI43=1,$BL43=1,$BH43&gt;0),"∑",""))</f>
        <v/>
      </c>
      <c r="B44" s="76">
        <f>IF($BJ43&gt;0,IF(INDEX('Final Calculation Sheet'!$F$4:$F$40,$BJ43-3)="","",INDEX('Final Calculation Sheet'!$F$4:$F$40,$BJ43-3)),"")</f>
        <v/>
      </c>
      <c r="C44" s="76">
        <f>IF($BJ43&gt;0,IF(INDEX('Final Calculation Sheet'!$G$4:$G$40,$BJ43-3)="","",INDEX('Final Calculation Sheet'!$G$4:$G$40,$BJ43-3)),IF(OR($BI43=1,$BL43=1,$BH43&gt;0),IF($BI43=1,37,IF($BL43=1,37-INDEX($BD$4:$BD$13,10),INDEX($BD$4:$BD$13,$BH43)))&amp;" lot(s)",""))</f>
        <v/>
      </c>
      <c r="D44" s="80">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80">
        <f>IF($BJ43&gt;0,IF(INDEX('Final Calculation Sheet'!$D$4:$D$40,$BJ43-3)="","",INDEX('Final Calculation Sheet'!$D$4:$D$40,$BJ43-3)),IF(OR($BI43=1,$BL43=1,$BH43&gt;0),"–",""))</f>
        <v/>
      </c>
      <c r="F44" s="80">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80">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AG44" s="70">
        <f>IF($BJ43&gt;0,IF(INDEX('Final Calculation Sheet'!$AF$4:$AF$40,$BJ43-3)="","",INDEX('Final Calculation Sheet'!$AF$4:$AF$40,$BJ43-3)),IF(OR($BI43=1,$BL43=1,$BH43&gt;0),"–",""))</f>
        <v/>
      </c>
      <c r="AH44" s="74">
        <f>IF($BJ43&gt;0,IF(INDEX('Final Calculation Sheet'!$AG$4:$AG$40,$BJ43-3)="","",INDEX('Final Calculation Sheet'!$AG$4:$AG$40,$BJ43-3)),IF(OR($BI43=1,$BL43=1,$BH43&gt;0),"–",""))</f>
        <v/>
      </c>
      <c r="AI44" s="70">
        <f>IF($BJ43&gt;0,IF(INDEX('Final Calculation Sheet'!$AH$4:$AH$40,$BJ43-3)="","",INDEX('Final Calculation Sheet'!$AH$4:$AH$40,$BJ43-3)),IF(OR($BI43=1,$BL43=1,$BH43&gt;0),"–",""))</f>
        <v/>
      </c>
      <c r="BH44">
        <f>IFERROR(MATCH(44,$BF$4:$BF$13,0),0)</f>
        <v/>
      </c>
      <c r="BI44">
        <f>IF(44=$BG$5,1,0)</f>
        <v/>
      </c>
      <c r="BJ44">
        <f>IF(OR($BH44&gt;0,$BI44=1,$BL44=1),0,IFERROR(INDEX($BC$5:$BC$41,MATCH(44,$BB$5:$BB$41,0)),0))</f>
        <v/>
      </c>
      <c r="BK44">
        <f>IF($BJ44&gt;0,IF(INDEX($AZ$5:$AZ$41,MATCH(44,$BB$5:$BB$41,0))=10,1,0),IF($BH44=10,1,0))</f>
        <v/>
      </c>
      <c r="BL44">
        <f>IF(44=$BG$4,1,0)</f>
        <v/>
      </c>
    </row>
    <row r="45" ht="15" customHeight="1" s="137">
      <c r="A45" s="67">
        <f>IF($BJ44&gt;0,INDEX($BA$5:$BA$41,MATCH(44,$BB$5:$BB$41,0)),IF(OR($BI44=1,$BL44=1,$BH44&gt;0),"∑",""))</f>
        <v/>
      </c>
      <c r="B45" s="76">
        <f>IF($BJ44&gt;0,IF(INDEX('Final Calculation Sheet'!$F$4:$F$40,$BJ44-3)="","",INDEX('Final Calculation Sheet'!$F$4:$F$40,$BJ44-3)),"")</f>
        <v/>
      </c>
      <c r="C45" s="76">
        <f>IF($BJ44&gt;0,IF(INDEX('Final Calculation Sheet'!$G$4:$G$40,$BJ44-3)="","",INDEX('Final Calculation Sheet'!$G$4:$G$40,$BJ44-3)),IF(OR($BI44=1,$BL44=1,$BH44&gt;0),IF($BI44=1,37,IF($BL44=1,37-INDEX($BD$4:$BD$13,10),INDEX($BD$4:$BD$13,$BH44)))&amp;" lot(s)",""))</f>
        <v/>
      </c>
      <c r="D45" s="80">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80">
        <f>IF($BJ44&gt;0,IF(INDEX('Final Calculation Sheet'!$D$4:$D$40,$BJ44-3)="","",INDEX('Final Calculation Sheet'!$D$4:$D$40,$BJ44-3)),IF(OR($BI44=1,$BL44=1,$BH44&gt;0),"–",""))</f>
        <v/>
      </c>
      <c r="F45" s="80">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80">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AG45" s="70">
        <f>IF($BJ44&gt;0,IF(INDEX('Final Calculation Sheet'!$AF$4:$AF$40,$BJ44-3)="","",INDEX('Final Calculation Sheet'!$AF$4:$AF$40,$BJ44-3)),IF(OR($BI44=1,$BL44=1,$BH44&gt;0),"–",""))</f>
        <v/>
      </c>
      <c r="AH45" s="74">
        <f>IF($BJ44&gt;0,IF(INDEX('Final Calculation Sheet'!$AG$4:$AG$40,$BJ44-3)="","",INDEX('Final Calculation Sheet'!$AG$4:$AG$40,$BJ44-3)),IF(OR($BI44=1,$BL44=1,$BH44&gt;0),"–",""))</f>
        <v/>
      </c>
      <c r="AI45" s="70">
        <f>IF($BJ44&gt;0,IF(INDEX('Final Calculation Sheet'!$AH$4:$AH$40,$BJ44-3)="","",INDEX('Final Calculation Sheet'!$AH$4:$AH$40,$BJ44-3)),IF(OR($BI44=1,$BL44=1,$BH44&gt;0),"–",""))</f>
        <v/>
      </c>
      <c r="BH45">
        <f>IFERROR(MATCH(45,$BF$4:$BF$13,0),0)</f>
        <v/>
      </c>
      <c r="BI45">
        <f>IF(45=$BG$5,1,0)</f>
        <v/>
      </c>
      <c r="BJ45">
        <f>IF(OR($BH45&gt;0,$BI45=1,$BL45=1),0,IFERROR(INDEX($BC$5:$BC$41,MATCH(45,$BB$5:$BB$41,0)),0))</f>
        <v/>
      </c>
      <c r="BK45">
        <f>IF($BJ45&gt;0,IF(INDEX($AZ$5:$AZ$41,MATCH(45,$BB$5:$BB$41,0))=10,1,0),IF($BH45=10,1,0))</f>
        <v/>
      </c>
      <c r="BL45">
        <f>IF(45=$BG$4,1,0)</f>
        <v/>
      </c>
    </row>
    <row r="46" ht="15" customHeight="1" s="137">
      <c r="A46" s="67">
        <f>IF($BJ45&gt;0,INDEX($BA$5:$BA$41,MATCH(45,$BB$5:$BB$41,0)),IF(OR($BI45=1,$BL45=1,$BH45&gt;0),"∑",""))</f>
        <v/>
      </c>
      <c r="B46" s="76">
        <f>IF($BJ45&gt;0,IF(INDEX('Final Calculation Sheet'!$F$4:$F$40,$BJ45-3)="","",INDEX('Final Calculation Sheet'!$F$4:$F$40,$BJ45-3)),"")</f>
        <v/>
      </c>
      <c r="C46" s="76">
        <f>IF($BJ45&gt;0,IF(INDEX('Final Calculation Sheet'!$G$4:$G$40,$BJ45-3)="","",INDEX('Final Calculation Sheet'!$G$4:$G$40,$BJ45-3)),IF(OR($BI45=1,$BL45=1,$BH45&gt;0),IF($BI45=1,37,IF($BL45=1,37-INDEX($BD$4:$BD$13,10),INDEX($BD$4:$BD$13,$BH45)))&amp;" lot(s)",""))</f>
        <v/>
      </c>
      <c r="D46" s="80">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80">
        <f>IF($BJ45&gt;0,IF(INDEX('Final Calculation Sheet'!$D$4:$D$40,$BJ45-3)="","",INDEX('Final Calculation Sheet'!$D$4:$D$40,$BJ45-3)),IF(OR($BI45=1,$BL45=1,$BH45&gt;0),"–",""))</f>
        <v/>
      </c>
      <c r="F46" s="80">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80">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AG46" s="70">
        <f>IF($BJ45&gt;0,IF(INDEX('Final Calculation Sheet'!$AF$4:$AF$40,$BJ45-3)="","",INDEX('Final Calculation Sheet'!$AF$4:$AF$40,$BJ45-3)),IF(OR($BI45=1,$BL45=1,$BH45&gt;0),"–",""))</f>
        <v/>
      </c>
      <c r="AH46" s="74">
        <f>IF($BJ45&gt;0,IF(INDEX('Final Calculation Sheet'!$AG$4:$AG$40,$BJ45-3)="","",INDEX('Final Calculation Sheet'!$AG$4:$AG$40,$BJ45-3)),IF(OR($BI45=1,$BL45=1,$BH45&gt;0),"–",""))</f>
        <v/>
      </c>
      <c r="AI46" s="70">
        <f>IF($BJ45&gt;0,IF(INDEX('Final Calculation Sheet'!$AH$4:$AH$40,$BJ45-3)="","",INDEX('Final Calculation Sheet'!$AH$4:$AH$40,$BJ45-3)),IF(OR($BI45=1,$BL45=1,$BH45&gt;0),"–",""))</f>
        <v/>
      </c>
      <c r="BH46">
        <f>IFERROR(MATCH(46,$BF$4:$BF$13,0),0)</f>
        <v/>
      </c>
      <c r="BI46">
        <f>IF(46=$BG$5,1,0)</f>
        <v/>
      </c>
      <c r="BJ46">
        <f>IF(OR($BH46&gt;0,$BI46=1,$BL46=1),0,IFERROR(INDEX($BC$5:$BC$41,MATCH(46,$BB$5:$BB$41,0)),0))</f>
        <v/>
      </c>
      <c r="BK46">
        <f>IF($BJ46&gt;0,IF(INDEX($AZ$5:$AZ$41,MATCH(46,$BB$5:$BB$41,0))=10,1,0),IF($BH46=10,1,0))</f>
        <v/>
      </c>
      <c r="BL46">
        <f>IF(46=$BG$4,1,0)</f>
        <v/>
      </c>
    </row>
    <row r="47" ht="15" customHeight="1" s="137">
      <c r="A47" s="67">
        <f>IF($BJ46&gt;0,INDEX($BA$5:$BA$41,MATCH(46,$BB$5:$BB$41,0)),IF(OR($BI46=1,$BL46=1,$BH46&gt;0),"∑",""))</f>
        <v/>
      </c>
      <c r="B47" s="76">
        <f>IF($BJ46&gt;0,IF(INDEX('Final Calculation Sheet'!$F$4:$F$40,$BJ46-3)="","",INDEX('Final Calculation Sheet'!$F$4:$F$40,$BJ46-3)),"")</f>
        <v/>
      </c>
      <c r="C47" s="76">
        <f>IF($BJ46&gt;0,IF(INDEX('Final Calculation Sheet'!$G$4:$G$40,$BJ46-3)="","",INDEX('Final Calculation Sheet'!$G$4:$G$40,$BJ46-3)),IF(OR($BI46=1,$BL46=1,$BH46&gt;0),IF($BI46=1,37,IF($BL46=1,37-INDEX($BD$4:$BD$13,10),INDEX($BD$4:$BD$13,$BH46)))&amp;" lot(s)",""))</f>
        <v/>
      </c>
      <c r="D47" s="80">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80">
        <f>IF($BJ46&gt;0,IF(INDEX('Final Calculation Sheet'!$D$4:$D$40,$BJ46-3)="","",INDEX('Final Calculation Sheet'!$D$4:$D$40,$BJ46-3)),IF(OR($BI46=1,$BL46=1,$BH46&gt;0),"–",""))</f>
        <v/>
      </c>
      <c r="F47" s="80">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80">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AG47" s="70">
        <f>IF($BJ46&gt;0,IF(INDEX('Final Calculation Sheet'!$AF$4:$AF$40,$BJ46-3)="","",INDEX('Final Calculation Sheet'!$AF$4:$AF$40,$BJ46-3)),IF(OR($BI46=1,$BL46=1,$BH46&gt;0),"–",""))</f>
        <v/>
      </c>
      <c r="AH47" s="74">
        <f>IF($BJ46&gt;0,IF(INDEX('Final Calculation Sheet'!$AG$4:$AG$40,$BJ46-3)="","",INDEX('Final Calculation Sheet'!$AG$4:$AG$40,$BJ46-3)),IF(OR($BI46=1,$BL46=1,$BH46&gt;0),"–",""))</f>
        <v/>
      </c>
      <c r="AI47" s="70">
        <f>IF($BJ46&gt;0,IF(INDEX('Final Calculation Sheet'!$AH$4:$AH$40,$BJ46-3)="","",INDEX('Final Calculation Sheet'!$AH$4:$AH$40,$BJ46-3)),IF(OR($BI46=1,$BL46=1,$BH46&gt;0),"–",""))</f>
        <v/>
      </c>
      <c r="BH47">
        <f>IFERROR(MATCH(47,$BF$4:$BF$13,0),0)</f>
        <v/>
      </c>
      <c r="BI47">
        <f>IF(47=$BG$5,1,0)</f>
        <v/>
      </c>
      <c r="BJ47">
        <f>IF(OR($BH47&gt;0,$BI47=1,$BL47=1),0,IFERROR(INDEX($BC$5:$BC$41,MATCH(47,$BB$5:$BB$41,0)),0))</f>
        <v/>
      </c>
      <c r="BK47">
        <f>IF($BJ47&gt;0,IF(INDEX($AZ$5:$AZ$41,MATCH(47,$BB$5:$BB$41,0))=10,1,0),IF($BH47=10,1,0))</f>
        <v/>
      </c>
      <c r="BL47">
        <f>IF(47=$BG$4,1,0)</f>
        <v/>
      </c>
    </row>
    <row r="48" ht="15" customHeight="1" s="137">
      <c r="A48" s="67">
        <f>IF($BJ47&gt;0,INDEX($BA$5:$BA$41,MATCH(47,$BB$5:$BB$41,0)),IF(OR($BI47=1,$BL47=1,$BH47&gt;0),"∑",""))</f>
        <v/>
      </c>
      <c r="B48" s="76">
        <f>IF($BJ47&gt;0,IF(INDEX('Final Calculation Sheet'!$F$4:$F$40,$BJ47-3)="","",INDEX('Final Calculation Sheet'!$F$4:$F$40,$BJ47-3)),"")</f>
        <v/>
      </c>
      <c r="C48" s="76">
        <f>IF($BJ47&gt;0,IF(INDEX('Final Calculation Sheet'!$G$4:$G$40,$BJ47-3)="","",INDEX('Final Calculation Sheet'!$G$4:$G$40,$BJ47-3)),IF(OR($BI47=1,$BL47=1,$BH47&gt;0),IF($BI47=1,37,IF($BL47=1,37-INDEX($BD$4:$BD$13,10),INDEX($BD$4:$BD$13,$BH47)))&amp;" lot(s)",""))</f>
        <v/>
      </c>
      <c r="D48" s="80">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80">
        <f>IF($BJ47&gt;0,IF(INDEX('Final Calculation Sheet'!$D$4:$D$40,$BJ47-3)="","",INDEX('Final Calculation Sheet'!$D$4:$D$40,$BJ47-3)),IF(OR($BI47=1,$BL47=1,$BH47&gt;0),"–",""))</f>
        <v/>
      </c>
      <c r="F48" s="80">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80">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AG48" s="70">
        <f>IF($BJ47&gt;0,IF(INDEX('Final Calculation Sheet'!$AF$4:$AF$40,$BJ47-3)="","",INDEX('Final Calculation Sheet'!$AF$4:$AF$40,$BJ47-3)),IF(OR($BI47=1,$BL47=1,$BH47&gt;0),"–",""))</f>
        <v/>
      </c>
      <c r="AH48" s="74">
        <f>IF($BJ47&gt;0,IF(INDEX('Final Calculation Sheet'!$AG$4:$AG$40,$BJ47-3)="","",INDEX('Final Calculation Sheet'!$AG$4:$AG$40,$BJ47-3)),IF(OR($BI47=1,$BL47=1,$BH47&gt;0),"–",""))</f>
        <v/>
      </c>
      <c r="AI48" s="70">
        <f>IF($BJ47&gt;0,IF(INDEX('Final Calculation Sheet'!$AH$4:$AH$40,$BJ47-3)="","",INDEX('Final Calculation Sheet'!$AH$4:$AH$40,$BJ47-3)),IF(OR($BI47=1,$BL47=1,$BH47&gt;0),"–",""))</f>
        <v/>
      </c>
      <c r="BH48">
        <f>IFERROR(MATCH(48,$BF$4:$BF$13,0),0)</f>
        <v/>
      </c>
      <c r="BI48">
        <f>IF(48=$BG$5,1,0)</f>
        <v/>
      </c>
      <c r="BJ48">
        <f>IF(OR($BH48&gt;0,$BI48=1,$BL48=1),0,IFERROR(INDEX($BC$5:$BC$41,MATCH(48,$BB$5:$BB$41,0)),0))</f>
        <v/>
      </c>
      <c r="BK48">
        <f>IF($BJ48&gt;0,IF(INDEX($AZ$5:$AZ$41,MATCH(48,$BB$5:$BB$41,0))=10,1,0),IF($BH48=10,1,0))</f>
        <v/>
      </c>
      <c r="BL48">
        <f>IF(48=$BG$4,1,0)</f>
        <v/>
      </c>
    </row>
    <row r="49" ht="15" customHeight="1" s="137">
      <c r="A49" s="67">
        <f>IF($BJ48&gt;0,INDEX($BA$5:$BA$41,MATCH(48,$BB$5:$BB$41,0)),IF(OR($BI48=1,$BL48=1,$BH48&gt;0),"∑",""))</f>
        <v/>
      </c>
      <c r="B49" s="76">
        <f>IF($BJ48&gt;0,IF(INDEX('Final Calculation Sheet'!$F$4:$F$40,$BJ48-3)="","",INDEX('Final Calculation Sheet'!$F$4:$F$40,$BJ48-3)),"")</f>
        <v/>
      </c>
      <c r="C49" s="76">
        <f>IF($BJ48&gt;0,IF(INDEX('Final Calculation Sheet'!$G$4:$G$40,$BJ48-3)="","",INDEX('Final Calculation Sheet'!$G$4:$G$40,$BJ48-3)),IF(OR($BI48=1,$BL48=1,$BH48&gt;0),IF($BI48=1,37,IF($BL48=1,37-INDEX($BD$4:$BD$13,10),INDEX($BD$4:$BD$13,$BH48)))&amp;" lot(s)",""))</f>
        <v/>
      </c>
      <c r="D49" s="80">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80">
        <f>IF($BJ48&gt;0,IF(INDEX('Final Calculation Sheet'!$D$4:$D$40,$BJ48-3)="","",INDEX('Final Calculation Sheet'!$D$4:$D$40,$BJ48-3)),IF(OR($BI48=1,$BL48=1,$BH48&gt;0),"–",""))</f>
        <v/>
      </c>
      <c r="F49" s="80">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80">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AG49" s="70">
        <f>IF($BJ48&gt;0,IF(INDEX('Final Calculation Sheet'!$AF$4:$AF$40,$BJ48-3)="","",INDEX('Final Calculation Sheet'!$AF$4:$AF$40,$BJ48-3)),IF(OR($BI48=1,$BL48=1,$BH48&gt;0),"–",""))</f>
        <v/>
      </c>
      <c r="AH49" s="74">
        <f>IF($BJ48&gt;0,IF(INDEX('Final Calculation Sheet'!$AG$4:$AG$40,$BJ48-3)="","",INDEX('Final Calculation Sheet'!$AG$4:$AG$40,$BJ48-3)),IF(OR($BI48=1,$BL48=1,$BH48&gt;0),"–",""))</f>
        <v/>
      </c>
      <c r="AI49" s="70">
        <f>IF($BJ48&gt;0,IF(INDEX('Final Calculation Sheet'!$AH$4:$AH$40,$BJ48-3)="","",INDEX('Final Calculation Sheet'!$AH$4:$AH$40,$BJ48-3)),IF(OR($BI48=1,$BL48=1,$BH48&gt;0),"–",""))</f>
        <v/>
      </c>
      <c r="BH49">
        <f>IFERROR(MATCH(49,$BF$4:$BF$13,0),0)</f>
        <v/>
      </c>
      <c r="BI49">
        <f>IF(49=$BG$5,1,0)</f>
        <v/>
      </c>
      <c r="BJ49">
        <f>IF(OR($BH49&gt;0,$BI49=1,$BL49=1),0,IFERROR(INDEX($BC$5:$BC$41,MATCH(49,$BB$5:$BB$41,0)),0))</f>
        <v/>
      </c>
      <c r="BK49">
        <f>IF($BJ49&gt;0,IF(INDEX($AZ$5:$AZ$41,MATCH(49,$BB$5:$BB$41,0))=10,1,0),IF($BH49=10,1,0))</f>
        <v/>
      </c>
      <c r="BL49">
        <f>IF(49=$BG$4,1,0)</f>
        <v/>
      </c>
    </row>
    <row r="50" ht="15" customHeight="1" s="137">
      <c r="A50" s="67">
        <f>IF($BJ49&gt;0,INDEX($BA$5:$BA$41,MATCH(49,$BB$5:$BB$41,0)),IF(OR($BI49=1,$BL49=1,$BH49&gt;0),"∑",""))</f>
        <v/>
      </c>
      <c r="B50" s="76">
        <f>IF($BJ49&gt;0,IF(INDEX('Final Calculation Sheet'!$F$4:$F$40,$BJ49-3)="","",INDEX('Final Calculation Sheet'!$F$4:$F$40,$BJ49-3)),"")</f>
        <v/>
      </c>
      <c r="C50" s="76">
        <f>IF($BJ49&gt;0,IF(INDEX('Final Calculation Sheet'!$G$4:$G$40,$BJ49-3)="","",INDEX('Final Calculation Sheet'!$G$4:$G$40,$BJ49-3)),IF(OR($BI49=1,$BL49=1,$BH49&gt;0),IF($BI49=1,37,IF($BL49=1,37-INDEX($BD$4:$BD$13,10),INDEX($BD$4:$BD$13,$BH49)))&amp;" lot(s)",""))</f>
        <v/>
      </c>
      <c r="D50" s="80">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80">
        <f>IF($BJ49&gt;0,IF(INDEX('Final Calculation Sheet'!$D$4:$D$40,$BJ49-3)="","",INDEX('Final Calculation Sheet'!$D$4:$D$40,$BJ49-3)),IF(OR($BI49=1,$BL49=1,$BH49&gt;0),"–",""))</f>
        <v/>
      </c>
      <c r="F50" s="80">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80">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AG50" s="70">
        <f>IF($BJ49&gt;0,IF(INDEX('Final Calculation Sheet'!$AF$4:$AF$40,$BJ49-3)="","",INDEX('Final Calculation Sheet'!$AF$4:$AF$40,$BJ49-3)),IF(OR($BI49=1,$BL49=1,$BH49&gt;0),"–",""))</f>
        <v/>
      </c>
      <c r="AH50" s="74">
        <f>IF($BJ49&gt;0,IF(INDEX('Final Calculation Sheet'!$AG$4:$AG$40,$BJ49-3)="","",INDEX('Final Calculation Sheet'!$AG$4:$AG$40,$BJ49-3)),IF(OR($BI49=1,$BL49=1,$BH49&gt;0),"–",""))</f>
        <v/>
      </c>
      <c r="AI50" s="70">
        <f>IF($BJ49&gt;0,IF(INDEX('Final Calculation Sheet'!$AH$4:$AH$40,$BJ49-3)="","",INDEX('Final Calculation Sheet'!$AH$4:$AH$40,$BJ49-3)),IF(OR($BI49=1,$BL49=1,$BH49&gt;0),"–",""))</f>
        <v/>
      </c>
      <c r="BH50">
        <f>IFERROR(MATCH(50,$BF$4:$BF$13,0),0)</f>
        <v/>
      </c>
      <c r="BI50">
        <f>IF(50=$BG$5,1,0)</f>
        <v/>
      </c>
      <c r="BJ50">
        <f>IF(OR($BH50&gt;0,$BI50=1,$BL50=1),0,IFERROR(INDEX($BC$5:$BC$41,MATCH(50,$BB$5:$BB$41,0)),0))</f>
        <v/>
      </c>
      <c r="BK50">
        <f>IF($BJ50&gt;0,IF(INDEX($AZ$5:$AZ$41,MATCH(50,$BB$5:$BB$41,0))=10,1,0),IF($BH50=10,1,0))</f>
        <v/>
      </c>
      <c r="BL50">
        <f>IF(50=$BG$4,1,0)</f>
        <v/>
      </c>
    </row>
    <row r="51" ht="15" customHeight="1" s="137">
      <c r="A51" s="67">
        <f>IF($BJ50&gt;0,INDEX($BA$5:$BA$41,MATCH(50,$BB$5:$BB$41,0)),IF(OR($BI50=1,$BL50=1,$BH50&gt;0),"∑",""))</f>
        <v/>
      </c>
      <c r="B51" s="76">
        <f>IF($BJ50&gt;0,IF(INDEX('Final Calculation Sheet'!$F$4:$F$40,$BJ50-3)="","",INDEX('Final Calculation Sheet'!$F$4:$F$40,$BJ50-3)),"")</f>
        <v/>
      </c>
      <c r="C51" s="76">
        <f>IF($BJ50&gt;0,IF(INDEX('Final Calculation Sheet'!$G$4:$G$40,$BJ50-3)="","",INDEX('Final Calculation Sheet'!$G$4:$G$40,$BJ50-3)),IF(OR($BI50=1,$BL50=1,$BH50&gt;0),IF($BI50=1,37,IF($BL50=1,37-INDEX($BD$4:$BD$13,10),INDEX($BD$4:$BD$13,$BH50)))&amp;" lot(s)",""))</f>
        <v/>
      </c>
      <c r="D51" s="80">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80">
        <f>IF($BJ50&gt;0,IF(INDEX('Final Calculation Sheet'!$D$4:$D$40,$BJ50-3)="","",INDEX('Final Calculation Sheet'!$D$4:$D$40,$BJ50-3)),IF(OR($BI50=1,$BL50=1,$BH50&gt;0),"–",""))</f>
        <v/>
      </c>
      <c r="F51" s="80">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80">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AG51" s="70">
        <f>IF($BJ50&gt;0,IF(INDEX('Final Calculation Sheet'!$AF$4:$AF$40,$BJ50-3)="","",INDEX('Final Calculation Sheet'!$AF$4:$AF$40,$BJ50-3)),IF(OR($BI50=1,$BL50=1,$BH50&gt;0),"–",""))</f>
        <v/>
      </c>
      <c r="AH51" s="74">
        <f>IF($BJ50&gt;0,IF(INDEX('Final Calculation Sheet'!$AG$4:$AG$40,$BJ50-3)="","",INDEX('Final Calculation Sheet'!$AG$4:$AG$40,$BJ50-3)),IF(OR($BI50=1,$BL50=1,$BH50&gt;0),"–",""))</f>
        <v/>
      </c>
      <c r="AI51" s="70">
        <f>IF($BJ50&gt;0,IF(INDEX('Final Calculation Sheet'!$AH$4:$AH$40,$BJ50-3)="","",INDEX('Final Calculation Sheet'!$AH$4:$AH$40,$BJ50-3)),IF(OR($BI50=1,$BL50=1,$BH50&gt;0),"–",""))</f>
        <v/>
      </c>
      <c r="BH51">
        <f>IFERROR(MATCH(51,$BF$4:$BF$13,0),0)</f>
        <v/>
      </c>
      <c r="BI51">
        <f>IF(51=$BG$5,1,0)</f>
        <v/>
      </c>
      <c r="BJ51">
        <f>IF(OR($BH51&gt;0,$BI51=1,$BL51=1),0,IFERROR(INDEX($BC$5:$BC$41,MATCH(51,$BB$5:$BB$41,0)),0))</f>
        <v/>
      </c>
      <c r="BK51">
        <f>IF($BJ51&gt;0,IF(INDEX($AZ$5:$AZ$41,MATCH(51,$BB$5:$BB$41,0))=10,1,0),IF($BH51=10,1,0))</f>
        <v/>
      </c>
      <c r="BL51">
        <f>IF(51=$BG$4,1,0)</f>
        <v/>
      </c>
    </row>
    <row r="52" ht="15" customHeight="1" s="137">
      <c r="A52" s="67">
        <f>IF($BJ51&gt;0,INDEX($BA$5:$BA$41,MATCH(51,$BB$5:$BB$41,0)),IF(OR($BI51=1,$BL51=1,$BH51&gt;0),"∑",""))</f>
        <v/>
      </c>
      <c r="B52" s="76">
        <f>IF($BJ51&gt;0,IF(INDEX('Final Calculation Sheet'!$F$4:$F$40,$BJ51-3)="","",INDEX('Final Calculation Sheet'!$F$4:$F$40,$BJ51-3)),"")</f>
        <v/>
      </c>
      <c r="C52" s="76">
        <f>IF($BJ51&gt;0,IF(INDEX('Final Calculation Sheet'!$G$4:$G$40,$BJ51-3)="","",INDEX('Final Calculation Sheet'!$G$4:$G$40,$BJ51-3)),IF(OR($BI51=1,$BL51=1,$BH51&gt;0),IF($BI51=1,37,IF($BL51=1,37-INDEX($BD$4:$BD$13,10),INDEX($BD$4:$BD$13,$BH51)))&amp;" lot(s)",""))</f>
        <v/>
      </c>
      <c r="D52" s="80">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80">
        <f>IF($BJ51&gt;0,IF(INDEX('Final Calculation Sheet'!$D$4:$D$40,$BJ51-3)="","",INDEX('Final Calculation Sheet'!$D$4:$D$40,$BJ51-3)),IF(OR($BI51=1,$BL51=1,$BH51&gt;0),"–",""))</f>
        <v/>
      </c>
      <c r="F52" s="80">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80">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AG52" s="70">
        <f>IF($BJ51&gt;0,IF(INDEX('Final Calculation Sheet'!$AF$4:$AF$40,$BJ51-3)="","",INDEX('Final Calculation Sheet'!$AF$4:$AF$40,$BJ51-3)),IF(OR($BI51=1,$BL51=1,$BH51&gt;0),"–",""))</f>
        <v/>
      </c>
      <c r="AH52" s="74">
        <f>IF($BJ51&gt;0,IF(INDEX('Final Calculation Sheet'!$AG$4:$AG$40,$BJ51-3)="","",INDEX('Final Calculation Sheet'!$AG$4:$AG$40,$BJ51-3)),IF(OR($BI51=1,$BL51=1,$BH51&gt;0),"–",""))</f>
        <v/>
      </c>
      <c r="AI52" s="70">
        <f>IF($BJ51&gt;0,IF(INDEX('Final Calculation Sheet'!$AH$4:$AH$40,$BJ51-3)="","",INDEX('Final Calculation Sheet'!$AH$4:$AH$40,$BJ51-3)),IF(OR($BI51=1,$BL51=1,$BH51&gt;0),"–",""))</f>
        <v/>
      </c>
      <c r="BH52">
        <f>IFERROR(MATCH(52,$BF$4:$BF$13,0),0)</f>
        <v/>
      </c>
      <c r="BI52">
        <f>IF(52=$BG$5,1,0)</f>
        <v/>
      </c>
      <c r="BJ52">
        <f>IF(OR($BH52&gt;0,$BI52=1,$BL52=1),0,IFERROR(INDEX($BC$5:$BC$41,MATCH(52,$BB$5:$BB$41,0)),0))</f>
        <v/>
      </c>
      <c r="BK52">
        <f>IF($BJ52&gt;0,IF(INDEX($AZ$5:$AZ$41,MATCH(52,$BB$5:$BB$41,0))=10,1,0),IF($BH52=10,1,0))</f>
        <v/>
      </c>
      <c r="BL52">
        <f>IF(52=$BG$4,1,0)</f>
        <v/>
      </c>
    </row>
    <row r="53" ht="15" customHeight="1" s="137">
      <c r="A53" s="67">
        <f>IF($BJ52&gt;0,INDEX($BA$5:$BA$41,MATCH(52,$BB$5:$BB$41,0)),IF(OR($BI52=1,$BL52=1,$BH52&gt;0),"∑",""))</f>
        <v/>
      </c>
      <c r="B53" s="76">
        <f>IF($BJ52&gt;0,IF(INDEX('Final Calculation Sheet'!$F$4:$F$40,$BJ52-3)="","",INDEX('Final Calculation Sheet'!$F$4:$F$40,$BJ52-3)),"")</f>
        <v/>
      </c>
      <c r="C53" s="76">
        <f>IF($BJ52&gt;0,IF(INDEX('Final Calculation Sheet'!$G$4:$G$40,$BJ52-3)="","",INDEX('Final Calculation Sheet'!$G$4:$G$40,$BJ52-3)),IF(OR($BI52=1,$BL52=1,$BH52&gt;0),IF($BI52=1,37,IF($BL52=1,37-INDEX($BD$4:$BD$13,10),INDEX($BD$4:$BD$13,$BH52)))&amp;" lot(s)",""))</f>
        <v/>
      </c>
      <c r="D53" s="80">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80">
        <f>IF($BJ52&gt;0,IF(INDEX('Final Calculation Sheet'!$D$4:$D$40,$BJ52-3)="","",INDEX('Final Calculation Sheet'!$D$4:$D$40,$BJ52-3)),IF(OR($BI52=1,$BL52=1,$BH52&gt;0),"–",""))</f>
        <v/>
      </c>
      <c r="F53" s="80">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80">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AG53" s="70">
        <f>IF($BJ52&gt;0,IF(INDEX('Final Calculation Sheet'!$AF$4:$AF$40,$BJ52-3)="","",INDEX('Final Calculation Sheet'!$AF$4:$AF$40,$BJ52-3)),IF(OR($BI52=1,$BL52=1,$BH52&gt;0),"–",""))</f>
        <v/>
      </c>
      <c r="AH53" s="74">
        <f>IF($BJ52&gt;0,IF(INDEX('Final Calculation Sheet'!$AG$4:$AG$40,$BJ52-3)="","",INDEX('Final Calculation Sheet'!$AG$4:$AG$40,$BJ52-3)),IF(OR($BI52=1,$BL52=1,$BH52&gt;0),"–",""))</f>
        <v/>
      </c>
      <c r="AI53" s="70">
        <f>IF($BJ52&gt;0,IF(INDEX('Final Calculation Sheet'!$AH$4:$AH$40,$BJ52-3)="","",INDEX('Final Calculation Sheet'!$AH$4:$AH$40,$BJ52-3)),IF(OR($BI52=1,$BL52=1,$BH52&gt;0),"–",""))</f>
        <v/>
      </c>
      <c r="BH53">
        <f>IFERROR(MATCH(53,$BF$4:$BF$13,0),0)</f>
        <v/>
      </c>
      <c r="BI53">
        <f>IF(53=$BG$5,1,0)</f>
        <v/>
      </c>
      <c r="BJ53">
        <f>IF(OR($BH53&gt;0,$BI53=1,$BL53=1),0,IFERROR(INDEX($BC$5:$BC$41,MATCH(53,$BB$5:$BB$41,0)),0))</f>
        <v/>
      </c>
      <c r="BK53">
        <f>IF($BJ53&gt;0,IF(INDEX($AZ$5:$AZ$41,MATCH(53,$BB$5:$BB$41,0))=10,1,0),IF($BH53=10,1,0))</f>
        <v/>
      </c>
      <c r="BL53">
        <f>IF(53=$BG$4,1,0)</f>
        <v/>
      </c>
    </row>
    <row r="54" ht="15" customHeight="1" s="137">
      <c r="A54" s="67">
        <f>IF($BJ53&gt;0,INDEX($BA$5:$BA$41,MATCH(53,$BB$5:$BB$41,0)),IF(OR($BI53=1,$BL53=1,$BH53&gt;0),"∑",""))</f>
        <v/>
      </c>
      <c r="B54" s="76">
        <f>IF($BJ53&gt;0,IF(INDEX('Final Calculation Sheet'!$F$4:$F$40,$BJ53-3)="","",INDEX('Final Calculation Sheet'!$F$4:$F$40,$BJ53-3)),"")</f>
        <v/>
      </c>
      <c r="C54" s="76">
        <f>IF($BJ53&gt;0,IF(INDEX('Final Calculation Sheet'!$G$4:$G$40,$BJ53-3)="","",INDEX('Final Calculation Sheet'!$G$4:$G$40,$BJ53-3)),IF(OR($BI53=1,$BL53=1,$BH53&gt;0),IF($BI53=1,37,IF($BL53=1,37-INDEX($BD$4:$BD$13,10),INDEX($BD$4:$BD$13,$BH53)))&amp;" lot(s)",""))</f>
        <v/>
      </c>
      <c r="D54" s="80">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80">
        <f>IF($BJ53&gt;0,IF(INDEX('Final Calculation Sheet'!$D$4:$D$40,$BJ53-3)="","",INDEX('Final Calculation Sheet'!$D$4:$D$40,$BJ53-3)),IF(OR($BI53=1,$BL53=1,$BH53&gt;0),"–",""))</f>
        <v/>
      </c>
      <c r="F54" s="80">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80">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c r="AG54" s="70">
        <f>IF($BJ53&gt;0,IF(INDEX('Final Calculation Sheet'!$AF$4:$AF$40,$BJ53-3)="","",INDEX('Final Calculation Sheet'!$AF$4:$AF$40,$BJ53-3)),IF(OR($BI53=1,$BL53=1,$BH53&gt;0),"–",""))</f>
        <v/>
      </c>
      <c r="AH54" s="74">
        <f>IF($BJ53&gt;0,IF(INDEX('Final Calculation Sheet'!$AG$4:$AG$40,$BJ53-3)="","",INDEX('Final Calculation Sheet'!$AG$4:$AG$40,$BJ53-3)),IF(OR($BI53=1,$BL53=1,$BH53&gt;0),"–",""))</f>
        <v/>
      </c>
      <c r="AI54" s="70">
        <f>IF($BJ53&gt;0,IF(INDEX('Final Calculation Sheet'!$AH$4:$AH$40,$BJ53-3)="","",INDEX('Final Calculation Sheet'!$AH$4:$AH$40,$BJ53-3)),IF(OR($BI53=1,$BL53=1,$BH53&gt;0),"–",""))</f>
        <v/>
      </c>
    </row>
  </sheetData>
  <mergeCells count="4">
    <mergeCell ref="A2:AI2"/>
    <mergeCell ref="B3:D3"/>
    <mergeCell ref="I3:AI3"/>
    <mergeCell ref="A1:AI1"/>
  </mergeCells>
  <conditionalFormatting sqref="A6:AI54">
    <cfRule type="expression" priority="2" dxfId="50">
      <formula>AND($B$3&lt;&gt;"",$BK5=1,$BH5=0,$BI5=0)</formula>
    </cfRule>
    <cfRule type="expression" priority="3" dxfId="49">
      <formula>$BH5=10</formula>
    </cfRule>
    <cfRule type="expression" priority="4" dxfId="48">
      <formula>$BI5=1</formula>
    </cfRule>
    <cfRule type="expression" priority="5" dxfId="47">
      <formula>$BL5=1</formula>
    </cfRule>
    <cfRule type="expression" priority="6" dxfId="46">
      <formula>$BH5&gt;0</formula>
    </cfRule>
    <cfRule type="expression" priority="7" dxfId="3">
      <formula>AND($B$3&lt;&gt;"",$BJ5&gt;0,$BK5=0)</formula>
    </cfRule>
    <cfRule type="expression" priority="8" dxfId="44">
      <formula>AND($BJ5&gt;0,MOD($BJ5,2)=0)</formula>
    </cfRule>
    <cfRule type="expression" priority="12" dxfId="40">
      <formula>OR($BJ5&gt;0,$BH5&gt;0,$BI5=1,$BL5=1)</formula>
    </cfRule>
  </conditionalFormatting>
  <conditionalFormatting sqref="AE6:AE54">
    <cfRule type="cellIs" priority="9" operator="greaterThan" dxfId="0">
      <formula>5</formula>
    </cfRule>
  </conditionalFormatting>
  <conditionalFormatting sqref="AF6:AF54">
    <cfRule type="cellIs" priority="10" operator="equal" dxfId="2">
      <formula>"SETTLED"</formula>
    </cfRule>
    <cfRule type="cellIs" priority="11" operator="equal" dxfId="0">
      <formula>"OUTSTANDING"</formula>
    </cfRule>
  </conditionalFormatting>
  <dataValidations count="38">
    <dataValidation sqref="F3" showDropDown="0" showInputMessage="0" showErrorMessage="0" allowBlank="0" type="list">
      <formula1>$AO$4:$AO$9</formula1>
      <formula2>0</formula2>
    </dataValidation>
    <dataValidation sqref="B3" showDropDown="0" showInputMessage="0" showErrorMessage="0" allowBlank="0" type="list">
      <formula1>SUG_MAIN</formula1>
      <formula2>0</formula2>
    </dataValidation>
    <dataValidation sqref="A4" showDropDown="0" showInputMessage="0" showErrorMessage="0" allowBlank="0" type="list">
      <formula1>SUG_A</formula1>
      <formula2>0</formula2>
    </dataValidation>
    <dataValidation sqref="B4" showDropDown="0" showInputMessage="0" showErrorMessage="0" allowBlank="0" type="list">
      <formula1>SUG_B</formula1>
      <formula2>0</formula2>
    </dataValidation>
    <dataValidation sqref="C4" showDropDown="0" showInputMessage="0" showErrorMessage="0" allowBlank="0" type="list">
      <formula1>SUG_C</formula1>
      <formula2>0</formula2>
    </dataValidation>
    <dataValidation sqref="D4" showDropDown="0" showInputMessage="0" showErrorMessage="0" allowBlank="0" type="list">
      <formula1>SUG_D</formula1>
      <formula2>0</formula2>
    </dataValidation>
    <dataValidation sqref="E4" showDropDown="0" showInputMessage="0" showErrorMessage="0" allowBlank="0" type="list">
      <formula1>SUG_E</formula1>
      <formula2>0</formula2>
    </dataValidation>
    <dataValidation sqref="F4" showDropDown="0" showInputMessage="0" showErrorMessage="0" allowBlank="0" type="list">
      <formula1>SUG_F</formula1>
      <formula2>0</formula2>
    </dataValidation>
    <dataValidation sqref="G4" showDropDown="0" showInputMessage="0" showErrorMessage="0" allowBlank="0" type="list">
      <formula1>SUG_G</formula1>
      <formula2>0</formula2>
    </dataValidation>
    <dataValidation sqref="H4" showDropDown="0" showInputMessage="0" showErrorMessage="0" allowBlank="0" type="list">
      <formula1>SUG_H</formula1>
      <formula2>0</formula2>
    </dataValidation>
    <dataValidation sqref="I4" showDropDown="0" showInputMessage="0" showErrorMessage="0" allowBlank="0" type="list">
      <formula1>SUG_I</formula1>
      <formula2>0</formula2>
    </dataValidation>
    <dataValidation sqref="J4" showDropDown="0" showInputMessage="0" showErrorMessage="0" allowBlank="0" type="list">
      <formula1>SUG_J</formula1>
      <formula2>0</formula2>
    </dataValidation>
    <dataValidation sqref="K4" showDropDown="0" showInputMessage="0" showErrorMessage="0" allowBlank="0" type="list">
      <formula1>SUG_K</formula1>
      <formula2>0</formula2>
    </dataValidation>
    <dataValidation sqref="L4" showDropDown="0" showInputMessage="0" showErrorMessage="0" allowBlank="0" type="list">
      <formula1>SUG_L</formula1>
      <formula2>0</formula2>
    </dataValidation>
    <dataValidation sqref="M4" showDropDown="0" showInputMessage="0" showErrorMessage="0" allowBlank="0" type="list">
      <formula1>SUG_M</formula1>
      <formula2>0</formula2>
    </dataValidation>
    <dataValidation sqref="N4" showDropDown="0" showInputMessage="0" showErrorMessage="0" allowBlank="0" type="list">
      <formula1>SUG_N</formula1>
      <formula2>0</formula2>
    </dataValidation>
    <dataValidation sqref="O4" showDropDown="0" showInputMessage="0" showErrorMessage="0" allowBlank="0" type="list">
      <formula1>SUG_O</formula1>
      <formula2>0</formula2>
    </dataValidation>
    <dataValidation sqref="P4" showDropDown="0" showInputMessage="0" showErrorMessage="0" allowBlank="0" type="list">
      <formula1>SUG_P</formula1>
      <formula2>0</formula2>
    </dataValidation>
    <dataValidation sqref="Q4" showDropDown="0" showInputMessage="0" showErrorMessage="0" allowBlank="0" type="list">
      <formula1>SUG_Q</formula1>
      <formula2>0</formula2>
    </dataValidation>
    <dataValidation sqref="R4" showDropDown="0" showInputMessage="0" showErrorMessage="0" allowBlank="0" type="list">
      <formula1>SUG_R</formula1>
      <formula2>0</formula2>
    </dataValidation>
    <dataValidation sqref="S4" showDropDown="0" showInputMessage="0" showErrorMessage="0" allowBlank="0" type="list">
      <formula1>SUG_S</formula1>
      <formula2>0</formula2>
    </dataValidation>
    <dataValidation sqref="T4" showDropDown="0" showInputMessage="0" showErrorMessage="0" allowBlank="0" type="list">
      <formula1>SUG_T</formula1>
      <formula2>0</formula2>
    </dataValidation>
    <dataValidation sqref="U4" showDropDown="0" showInputMessage="0" showErrorMessage="0" allowBlank="0" type="list">
      <formula1>SUG_U</formula1>
      <formula2>0</formula2>
    </dataValidation>
    <dataValidation sqref="V4" showDropDown="0" showInputMessage="0" showErrorMessage="0" allowBlank="0" type="list">
      <formula1>SUG_V</formula1>
      <formula2>0</formula2>
    </dataValidation>
    <dataValidation sqref="W4" showDropDown="0" showInputMessage="0" showErrorMessage="0" allowBlank="0" type="list">
      <formula1>SUG_W</formula1>
      <formula2>0</formula2>
    </dataValidation>
    <dataValidation sqref="X4" showDropDown="0" showInputMessage="0" showErrorMessage="0" allowBlank="0" type="list">
      <formula1>SUG_X</formula1>
      <formula2>0</formula2>
    </dataValidation>
    <dataValidation sqref="Y4" showDropDown="0" showInputMessage="0" showErrorMessage="0" allowBlank="0" type="list">
      <formula1>SUG_Y</formula1>
      <formula2>0</formula2>
    </dataValidation>
    <dataValidation sqref="Z4" showDropDown="0" showInputMessage="0" showErrorMessage="0" allowBlank="0" type="list">
      <formula1>SUG_Z</formula1>
      <formula2>0</formula2>
    </dataValidation>
    <dataValidation sqref="AA4" showDropDown="0" showInputMessage="0" showErrorMessage="0" allowBlank="0" type="list">
      <formula1>SUG_AA</formula1>
      <formula2>0</formula2>
    </dataValidation>
    <dataValidation sqref="AB4" showDropDown="0" showInputMessage="0" showErrorMessage="0" allowBlank="0" type="list">
      <formula1>SUG_AB</formula1>
      <formula2>0</formula2>
    </dataValidation>
    <dataValidation sqref="AC4" showDropDown="0" showInputMessage="0" showErrorMessage="0" allowBlank="0" type="list">
      <formula1>SUG_AC</formula1>
      <formula2>0</formula2>
    </dataValidation>
    <dataValidation sqref="AD4" showDropDown="0" showInputMessage="0" showErrorMessage="0" allowBlank="0" type="list">
      <formula1>SUG_AD</formula1>
      <formula2>0</formula2>
    </dataValidation>
    <dataValidation sqref="AE4" showDropDown="0" showInputMessage="0" showErrorMessage="0" allowBlank="0" type="list">
      <formula1>SUG_AE</formula1>
      <formula2>0</formula2>
    </dataValidation>
    <dataValidation sqref="AG4" showDropDown="0" showInputMessage="0" showErrorMessage="0" allowBlank="0" type="list">
      <formula1>SUG_AF</formula1>
      <formula2>0</formula2>
    </dataValidation>
    <dataValidation sqref="AH4" showDropDown="0" showInputMessage="0" showErrorMessage="0" allowBlank="0" type="list">
      <formula1>SUG_AG</formula1>
      <formula2>0</formula2>
    </dataValidation>
    <dataValidation sqref="AI4" showDropDown="0" showInputMessage="0" showErrorMessage="0" allowBlank="0" type="list">
      <formula1>SUG_AH</formula1>
      <formula2>0</formula2>
    </dataValidation>
    <dataValidation sqref="AF4" showDropDown="0" showInputMessage="0" showErrorMessage="0" allowBlank="0" type="list">
      <formula1>SUG_AI</formula1>
      <formula2>0</formula2>
    </dataValidation>
    <dataValidation type="list" showDropDown="0" showInputMessage="0" showErrorMessage="0" allowBlank="0" sqref="D3">
      <formula1>SUG_C</formula1>
    </dataValidation>
  </dataValidation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codeName="Sheet3">
    <tabColor rgb="FF2E75B6"/>
    <outlinePr summaryBelow="1" summaryRight="1"/>
    <pageSetUpPr/>
  </sheetPr>
  <dimension ref="A1:EP95"/>
  <sheetViews>
    <sheetView zoomScaleNormal="100"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8.7109375" defaultRowHeight="15" outlineLevelRow="1"/>
  <cols>
    <col hidden="1" width="14.85546875" customWidth="1" style="137" min="1" max="1"/>
    <col width="10" customWidth="1" style="137" min="2" max="2"/>
    <col width="30" customWidth="1" style="137" min="3" max="3"/>
    <col outlineLevel="1" width="42" customWidth="1" style="137" min="4" max="4"/>
    <col outlineLevel="1" width="11.7109375" customWidth="1" style="137" min="5" max="5"/>
    <col outlineLevel="1" width="12" customWidth="1" style="137" min="6" max="6"/>
    <col outlineLevel="1" width="11" customWidth="1" style="137" min="7" max="7"/>
    <col outlineLevel="1" width="8.85546875" customWidth="1" style="137" min="8" max="8"/>
    <col width="10.28515625" customWidth="1" style="137" min="9" max="9"/>
    <col outlineLevel="1" width="8.85546875" customWidth="1" style="137" min="10" max="10"/>
    <col outlineLevel="1" width="13.42578125" customWidth="1" style="137" min="11" max="11"/>
    <col outlineLevel="1" width="13" customWidth="1" style="137" min="12" max="16"/>
    <col outlineLevel="1" width="13" customWidth="1" style="137" min="13" max="13"/>
    <col outlineLevel="1" width="13" customWidth="1" style="137" min="14" max="14"/>
    <col outlineLevel="1" width="13" customWidth="1" style="137" min="15" max="15"/>
    <col outlineLevel="1" width="13" customWidth="1" style="137" min="16" max="16"/>
    <col width="13.42578125" customWidth="1" style="137" min="17" max="19"/>
    <col outlineLevel="1" width="13" customWidth="1" style="137" min="18" max="18"/>
    <col width="13" customWidth="1" style="137" min="20" max="20"/>
    <col outlineLevel="1" width="13.42578125" customWidth="1" style="137" min="21" max="21"/>
    <col width="13.42578125" customWidth="1" style="137" min="22" max="22"/>
    <col width="13" customWidth="1" style="137" min="23" max="23"/>
    <col outlineLevel="1" width="13" customWidth="1" style="137" min="24" max="24"/>
    <col width="13" customWidth="1" style="137" min="25" max="26"/>
    <col outlineLevel="1" width="13" customWidth="1" style="137" min="27" max="27"/>
    <col width="13" customWidth="1" style="137" min="28" max="35"/>
    <col width="13" customWidth="1" style="137" min="32" max="32"/>
    <col width="13" customWidth="1" style="137" min="33" max="33"/>
    <col width="13" customWidth="1" style="137" min="34" max="34"/>
    <col width="13" customWidth="1" style="137" min="35" max="35"/>
    <col hidden="1" width="13" customWidth="1" style="137" min="36" max="106"/>
    <col hidden="1" width="13" customWidth="1" style="137" min="111" max="111"/>
    <col hidden="1" width="13" customWidth="1" style="137" min="112" max="112"/>
    <col hidden="1" width="13" customWidth="1" style="137" min="113" max="113"/>
    <col hidden="1" width="13" customWidth="1" style="137" min="114" max="114"/>
    <col hidden="1" width="13" customWidth="1" style="137" min="115" max="115"/>
    <col hidden="1" width="13" customWidth="1" style="137" min="116" max="116"/>
    <col hidden="1" width="13" customWidth="1" style="137" min="117" max="117"/>
    <col hidden="1" width="13" customWidth="1" style="137" min="118" max="118"/>
    <col hidden="1" width="13" customWidth="1" style="137" min="119" max="119"/>
    <col hidden="1" width="13" customWidth="1" style="137" min="120" max="120"/>
    <col hidden="1" width="13" customWidth="1" style="137" min="121" max="121"/>
    <col hidden="1" width="13" customWidth="1" style="137" min="122" max="122"/>
    <col hidden="1" width="13" customWidth="1" style="137" min="123" max="123"/>
    <col hidden="1" width="13" customWidth="1" style="137" min="124" max="124"/>
    <col hidden="1" width="13" customWidth="1" style="137" min="125" max="125"/>
    <col hidden="1" width="13" customWidth="1" style="137" min="126" max="126"/>
    <col hidden="1" width="13" customWidth="1" style="137" min="127" max="127"/>
    <col hidden="1" width="13" customWidth="1" style="137" min="128" max="128"/>
    <col hidden="1" width="13" customWidth="1" style="137" min="129" max="129"/>
    <col hidden="1" width="13" customWidth="1" style="137" min="130" max="130"/>
    <col hidden="1" width="13" customWidth="1" style="137" min="131" max="131"/>
    <col hidden="1" width="13" customWidth="1" style="137" min="132" max="132"/>
    <col hidden="1" width="13" customWidth="1" style="137" min="133" max="133"/>
    <col hidden="1" width="13" customWidth="1" style="137" min="134" max="134"/>
    <col hidden="1" width="13" customWidth="1" style="137" min="135" max="135"/>
    <col hidden="1" width="13" customWidth="1" style="137" min="136" max="136"/>
    <col hidden="1" width="13" customWidth="1" style="137" min="137" max="137"/>
    <col hidden="1" width="13" customWidth="1" style="137" min="138" max="138"/>
    <col hidden="1" width="13" customWidth="1" style="137" min="139" max="139"/>
    <col hidden="1" width="13" customWidth="1" style="137" min="140" max="140"/>
    <col hidden="1" width="13" customWidth="1" style="137" min="141" max="141"/>
    <col hidden="1" width="13" customWidth="1" style="137" min="142" max="142"/>
    <col hidden="1" width="13" customWidth="1" style="137" min="143" max="143"/>
    <col hidden="1" width="13" customWidth="1" style="137" min="144" max="144"/>
  </cols>
  <sheetData>
    <row r="1" ht="30" customHeight="1" s="137">
      <c r="A1" s="142" t="inlineStr">
        <is>
          <t>MSTC LIMITED  •  BUYER-WISE GROUPS   (each buyer’s lots in one block with a shaded ∑ subtotal beneath it, a blue TOTAL of every buyer and a green GRAND TOTAL cross-checked to the source at the foot)</t>
        </is>
      </c>
    </row>
    <row r="2" ht="43.5" customHeight="1" s="137">
      <c r="A2" s="143"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and above columns J:P to expand/collapse GST through Net Service Charge under Service charge to MSTC, and above column R to collapse GST TDS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  •  SEARCH DROPDOWNS — every yellow search cell has a cascading dropdown (same style as Live Search): click a search cell and press Alt+↓ to pick a value. Each list narrows to values still possible given your other yellow filters — pick a buyer and Lot No. only shows that buyer’s lots, and so on. Clear a cell to widen its list again.  •  MATCHED LOTS — as soon as any SEARCH box holds a value, the matching lots light up in yellow and are counted on the MATCHED LOTS bar (row 6), and the non-matching lots are greyed out; it re-checks on every keystroke, and clearing the SEARCH row puts the plain view back.  •  NARROWING DROPDOWNS — dropdowns cascade with your other filters (only values that still match remain); in newer Excel, typing a few letters further filters the list as you type, like Google. The highlight and MATCHED LOTS update live. Clear the cell for the full cascading list again.</t>
        </is>
      </c>
      <c r="EP2" s="0" t="inlineStr">
        <is>
          <t>▸ MATCHED LOTS  —  type in any yellow SEARCH box and the matching lots light up in yellow and are counted for you, with the non-matching lots greyed out in the blocks below.  Clear the SEARCH row and the plain view comes back.</t>
        </is>
      </c>
    </row>
    <row r="3" ht="21.75" customHeight="1" s="137">
      <c r="A3" s="59" t="inlineStr">
        <is>
          <t>BUYERS  ▸</t>
        </is>
      </c>
      <c r="B3" s="62">
        <f>SUMPRODUCT(1/COUNTIF('Final Calculation Sheet'!$G$4:$G$40,'Final Calculation Sheet'!$G$4:$G$40))</f>
        <v/>
      </c>
      <c r="C3" s="59" t="inlineStr">
        <is>
          <t>LOTS  ▸</t>
        </is>
      </c>
      <c r="D3" s="62">
        <f>COUNTA('Final Calculation Sheet'!$G$4:$G$40)</f>
        <v/>
      </c>
      <c r="DG3" t="inlineStr">
        <is>
          <t>BG match helper B</t>
        </is>
      </c>
      <c r="DH3" t="inlineStr">
        <is>
          <t>BG match helper C</t>
        </is>
      </c>
      <c r="DI3" t="inlineStr">
        <is>
          <t>BG match helper D</t>
        </is>
      </c>
      <c r="DJ3" t="inlineStr">
        <is>
          <t>BG match helper E</t>
        </is>
      </c>
      <c r="DK3" t="inlineStr">
        <is>
          <t>BG match helper F</t>
        </is>
      </c>
      <c r="DL3" t="inlineStr">
        <is>
          <t>BG match helper G</t>
        </is>
      </c>
      <c r="DM3" t="inlineStr">
        <is>
          <t>BG match helper H</t>
        </is>
      </c>
      <c r="DN3" t="inlineStr">
        <is>
          <t>BG match helper I</t>
        </is>
      </c>
      <c r="DO3" t="inlineStr">
        <is>
          <t>BG match helper J</t>
        </is>
      </c>
      <c r="DP3" t="inlineStr">
        <is>
          <t>BG match helper K</t>
        </is>
      </c>
      <c r="DQ3" t="inlineStr">
        <is>
          <t>BG match helper L</t>
        </is>
      </c>
      <c r="DR3" t="inlineStr">
        <is>
          <t>BG match helper M</t>
        </is>
      </c>
      <c r="DS3" t="inlineStr">
        <is>
          <t>BG match helper N</t>
        </is>
      </c>
      <c r="DT3" t="inlineStr">
        <is>
          <t>BG match helper O</t>
        </is>
      </c>
      <c r="DU3" t="inlineStr">
        <is>
          <t>BG match helper P</t>
        </is>
      </c>
      <c r="DV3" t="inlineStr">
        <is>
          <t>BG match helper Q</t>
        </is>
      </c>
      <c r="DW3" t="inlineStr">
        <is>
          <t>BG match helper R</t>
        </is>
      </c>
      <c r="DX3" t="inlineStr">
        <is>
          <t>BG match helper S</t>
        </is>
      </c>
      <c r="DY3" t="inlineStr">
        <is>
          <t>BG match helper T</t>
        </is>
      </c>
      <c r="DZ3" t="inlineStr">
        <is>
          <t>BG match helper U</t>
        </is>
      </c>
      <c r="EA3" t="inlineStr">
        <is>
          <t>BG match helper V</t>
        </is>
      </c>
      <c r="EB3" t="inlineStr">
        <is>
          <t>BG match helper W</t>
        </is>
      </c>
      <c r="EC3" t="inlineStr">
        <is>
          <t>BG match helper X</t>
        </is>
      </c>
      <c r="ED3" t="inlineStr">
        <is>
          <t>BG match helper Y</t>
        </is>
      </c>
      <c r="EE3" t="inlineStr">
        <is>
          <t>BG match helper Z</t>
        </is>
      </c>
      <c r="EF3" t="inlineStr">
        <is>
          <t>BG match helper AA</t>
        </is>
      </c>
      <c r="EG3" t="inlineStr">
        <is>
          <t>BG match helper AB</t>
        </is>
      </c>
      <c r="EH3" t="inlineStr">
        <is>
          <t>BG match helper AC</t>
        </is>
      </c>
      <c r="EI3" t="inlineStr">
        <is>
          <t>BG match helper AD</t>
        </is>
      </c>
      <c r="EJ3" t="inlineStr">
        <is>
          <t>BG match helper AE</t>
        </is>
      </c>
      <c r="EK3" t="inlineStr">
        <is>
          <t>BG match helper AF</t>
        </is>
      </c>
      <c r="EL3" t="inlineStr">
        <is>
          <t>BG match helper AG</t>
        </is>
      </c>
      <c r="EM3" t="inlineStr">
        <is>
          <t>BG match helper AH</t>
        </is>
      </c>
      <c r="EN3" t="inlineStr">
        <is>
          <t>BG match helper AI</t>
        </is>
      </c>
    </row>
    <row r="4" ht="18" customHeight="1" s="137">
      <c r="A4" s="77" t="inlineStr">
        <is>
          <t>SEARCH ▸</t>
        </is>
      </c>
      <c r="B4" s="78" t="n"/>
      <c r="C4" s="78" t="n"/>
      <c r="D4" s="78" t="n"/>
      <c r="E4" s="78" t="n"/>
      <c r="F4" s="78" t="n"/>
      <c r="G4" s="78" t="n"/>
      <c r="H4" s="78" t="n"/>
      <c r="I4" s="78" t="n"/>
      <c r="J4" s="78" t="n"/>
      <c r="K4" s="78" t="n"/>
      <c r="L4" s="78" t="n"/>
      <c r="M4" s="78" t="n"/>
      <c r="N4" s="78" t="n"/>
      <c r="O4" s="78" t="n"/>
      <c r="P4" s="78" t="n"/>
      <c r="Q4" s="78" t="n"/>
      <c r="R4" s="78" t="n"/>
      <c r="S4" s="78" t="n"/>
      <c r="T4" s="78" t="n"/>
      <c r="U4" s="78" t="n"/>
      <c r="V4" s="78" t="n"/>
      <c r="W4" s="78" t="n"/>
      <c r="X4" s="78" t="n"/>
      <c r="Y4" s="78" t="n"/>
      <c r="Z4" s="78" t="n"/>
      <c r="AA4" s="78" t="n"/>
      <c r="AB4" s="78" t="n"/>
      <c r="AC4" s="78" t="n"/>
      <c r="AD4" s="78" t="n"/>
      <c r="AE4" s="78" t="n"/>
      <c r="AF4" s="78" t="n"/>
      <c r="AG4" s="78" t="n"/>
      <c r="AH4" s="78" t="n"/>
      <c r="AI4" s="78" t="n"/>
    </row>
    <row r="5" ht="43.5" customHeight="1" s="137">
      <c r="A5" s="64" t="inlineStr">
        <is>
          <t>#</t>
        </is>
      </c>
      <c r="B5" s="64" t="inlineStr">
        <is>
          <t>Lot No.</t>
        </is>
      </c>
      <c r="C5" s="64" t="inlineStr">
        <is>
          <t>Buyer</t>
        </is>
      </c>
      <c r="D5" s="64" t="inlineStr">
        <is>
          <t>Lot Name</t>
        </is>
      </c>
      <c r="E5" s="64" t="inlineStr">
        <is>
          <t>Bid Sheet</t>
        </is>
      </c>
      <c r="F5" s="64" t="inlineStr">
        <is>
          <t>Quantity</t>
        </is>
      </c>
      <c r="G5" s="64" t="inlineStr">
        <is>
          <t>Unit</t>
        </is>
      </c>
      <c r="H5" s="64" t="inlineStr">
        <is>
          <t>Rate</t>
        </is>
      </c>
      <c r="I5" s="64" t="inlineStr">
        <is>
          <t>Mat. Value</t>
        </is>
      </c>
      <c r="J5" s="64" t="inlineStr">
        <is>
          <t>GST</t>
        </is>
      </c>
      <c r="K5" s="64" t="inlineStr">
        <is>
          <t>Mat. Value + GST</t>
        </is>
      </c>
      <c r="L5" s="64" t="inlineStr">
        <is>
          <t>TCS</t>
        </is>
      </c>
      <c r="M5" s="64" t="inlineStr">
        <is>
          <t>TDS u/s 194(O)</t>
        </is>
      </c>
      <c r="N5" s="64" t="inlineStr">
        <is>
          <t>Service Charge to MSTC</t>
        </is>
      </c>
      <c r="O5" s="64" t="inlineStr">
        <is>
          <t>TDS u/s 194(H)</t>
        </is>
      </c>
      <c r="P5" s="64" t="inlineStr">
        <is>
          <t>Net Service Charge (post TDS 194H)</t>
        </is>
      </c>
      <c r="Q5" s="64" t="inlineStr">
        <is>
          <t>Service charge to MSTC</t>
        </is>
      </c>
      <c r="R5" s="64" t="inlineStr">
        <is>
          <t>GST TDS Rate</t>
        </is>
      </c>
      <c r="S5" s="64" t="inlineStr">
        <is>
          <t>GST TDS</t>
        </is>
      </c>
      <c r="T5" s="64" t="inlineStr">
        <is>
          <t>Total Receivables in Cash</t>
        </is>
      </c>
      <c r="U5" s="64" t="inlineStr">
        <is>
          <t>Security Deposit (Expected)</t>
        </is>
      </c>
      <c r="V5" s="64" t="inlineStr">
        <is>
          <t>Security Deposit (Received)</t>
        </is>
      </c>
      <c r="W5" s="64" t="inlineStr">
        <is>
          <t>Date of Receipt (col V)</t>
        </is>
      </c>
      <c r="X5" s="64" t="inlineStr">
        <is>
          <t>Final Payment (Expected)</t>
        </is>
      </c>
      <c r="Y5" s="64" t="inlineStr">
        <is>
          <t>Final Payment (Received)</t>
        </is>
      </c>
      <c r="Z5" s="64" t="inlineStr">
        <is>
          <t>Date of Receipt (col Y)</t>
        </is>
      </c>
      <c r="AA5" s="64" t="inlineStr">
        <is>
          <t>LPP Expected</t>
        </is>
      </c>
      <c r="AB5" s="64" t="inlineStr">
        <is>
          <t>LPP Received</t>
        </is>
      </c>
      <c r="AC5" s="64" t="inlineStr">
        <is>
          <t>Date of Recepit of LPP</t>
        </is>
      </c>
      <c r="AD5" s="64" t="inlineStr">
        <is>
          <t>Total Received</t>
        </is>
      </c>
      <c r="AE5" s="64" t="inlineStr">
        <is>
          <t>Outstanding</t>
        </is>
      </c>
      <c r="AF5" s="64" t="inlineStr">
        <is>
          <t>Payment Status</t>
        </is>
      </c>
      <c r="AG5" s="64" t="inlineStr">
        <is>
          <t>Invoice No.</t>
        </is>
      </c>
      <c r="AH5" s="64" t="inlineStr">
        <is>
          <t>SAP Document</t>
        </is>
      </c>
      <c r="AI5" s="64" t="inlineStr">
        <is>
          <t>Doc./Invoice Date</t>
        </is>
      </c>
    </row>
    <row r="6">
      <c r="A6" s="117" t="inlineStr">
        <is>
          <t>▸ MATCHED LOTS</t>
        </is>
      </c>
      <c r="B6" s="117" t="n"/>
      <c r="C6" s="117" t="str">
        <f>IF(COUNTIF($B$4:$AI$4,"&lt;&gt;")=0,$EP$2,"▶ MATCHED LOTS  —  "&amp;SUM($AJ$7:$AJ$56)&amp;" of 37 lot(s) match   ·   non-matching lots are greyed out in the blocks below")</f>
        <v>▸ MATCHED LOTS  —  type in any yellow SEARCH box and the matching lots light up in yellow and are counted for you, with the non-matching lots greyed out in the blocks below.  Clear the SEARCH row and the plain view comes back.</v>
      </c>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row>
    <row r="7" outlineLevel="1" ht="15" customHeight="1" s="137">
      <c r="A7" s="67" t="n">
        <v>1</v>
      </c>
      <c r="B7" s="76">
        <f>IF('Final Calculation Sheet'!$F$4="","",'Final Calculation Sheet'!$F$4)</f>
        <v/>
      </c>
      <c r="C7" s="76">
        <f>IF('Final Calculation Sheet'!$G$4="","",'Final Calculation Sheet'!$G$4)</f>
        <v/>
      </c>
      <c r="D7" s="80">
        <f>IF('Final Calculation Sheet'!$B$4="","",'Final Calculation Sheet'!$B$4)</f>
        <v/>
      </c>
      <c r="E7" s="80">
        <f>IF('Final Calculation Sheet'!$D$4="","",'Final Calculation Sheet'!$D$4)</f>
        <v/>
      </c>
      <c r="F7" s="80">
        <f>IF('Final Calculation Sheet'!$A$4="","",'Final Calculation Sheet'!$A$4)</f>
        <v/>
      </c>
      <c r="G7" s="80">
        <f>IF('Final Calculation Sheet'!$E$4="","",'Final Calculation Sheet'!$E$4)</f>
        <v/>
      </c>
      <c r="H7" s="70">
        <f>IF('Final Calculation Sheet'!$C$4="","",'Final Calculation Sheet'!$C$4)</f>
        <v/>
      </c>
      <c r="I7" s="70">
        <f>IF('Final Calculation Sheet'!$H$4="","",'Final Calculation Sheet'!$H$4)</f>
        <v/>
      </c>
      <c r="J7" s="70">
        <f>IF('Final Calculation Sheet'!$I$4="","",'Final Calculation Sheet'!$I$4)</f>
        <v/>
      </c>
      <c r="K7" s="70">
        <f>IF('Final Calculation Sheet'!$J$4="","",'Final Calculation Sheet'!$J$4)</f>
        <v/>
      </c>
      <c r="L7" s="70">
        <f>IF('Final Calculation Sheet'!$K$4="","",'Final Calculation Sheet'!$K$4)</f>
        <v/>
      </c>
      <c r="M7" s="70">
        <f>IF('Final Calculation Sheet'!$L$4="","",'Final Calculation Sheet'!$L$4)</f>
        <v/>
      </c>
      <c r="N7" s="70">
        <f>IF('Final Calculation Sheet'!$M$4="","",'Final Calculation Sheet'!$M$4)</f>
        <v/>
      </c>
      <c r="O7" s="71">
        <f>IF('Final Calculation Sheet'!$N$4="","",'Final Calculation Sheet'!$N$4)</f>
        <v/>
      </c>
      <c r="P7" s="70">
        <f>IF('Final Calculation Sheet'!$O$4="","",'Final Calculation Sheet'!$O$4)</f>
        <v/>
      </c>
      <c r="Q7" s="70">
        <f>IF('Final Calculation Sheet'!$P$4="","",'Final Calculation Sheet'!$P$4)</f>
        <v/>
      </c>
      <c r="R7" s="72">
        <f>IF('Final Calculation Sheet'!$Q$4="","",'Final Calculation Sheet'!$Q$4)</f>
        <v/>
      </c>
      <c r="S7" s="70">
        <f>IF('Final Calculation Sheet'!$R$4="","",'Final Calculation Sheet'!$R$4)</f>
        <v/>
      </c>
      <c r="T7" s="70">
        <f>IF('Final Calculation Sheet'!$S$4="","",'Final Calculation Sheet'!$S$4)</f>
        <v/>
      </c>
      <c r="U7" s="70">
        <f>IF('Final Calculation Sheet'!$T$4="","",'Final Calculation Sheet'!$T$4)</f>
        <v/>
      </c>
      <c r="V7" s="73">
        <f>IF('Final Calculation Sheet'!$U$4="","",'Final Calculation Sheet'!$U$4)</f>
        <v/>
      </c>
      <c r="W7" s="70">
        <f>IF('Final Calculation Sheet'!$V$4="","",'Final Calculation Sheet'!$V$4)</f>
        <v/>
      </c>
      <c r="X7" s="70">
        <f>IF('Final Calculation Sheet'!$W$4="","",'Final Calculation Sheet'!$W$4)</f>
        <v/>
      </c>
      <c r="Y7" s="70">
        <f>IF('Final Calculation Sheet'!$X$4="","",'Final Calculation Sheet'!$X$4)</f>
        <v/>
      </c>
      <c r="Z7" s="70">
        <f>IF('Final Calculation Sheet'!$Y$4="","",'Final Calculation Sheet'!$Y$4)</f>
        <v/>
      </c>
      <c r="AA7" s="70">
        <f>IF('Final Calculation Sheet'!$Z$4="","",'Final Calculation Sheet'!$Z$4)</f>
        <v/>
      </c>
      <c r="AB7" s="70">
        <f>IF('Final Calculation Sheet'!$AA$4="","",'Final Calculation Sheet'!$AA$4)</f>
        <v/>
      </c>
      <c r="AC7" s="70">
        <f>IF('Final Calculation Sheet'!$AB$4="","",'Final Calculation Sheet'!$AB$4)</f>
        <v/>
      </c>
      <c r="AD7" s="70">
        <f>IF('Final Calculation Sheet'!$AC$4="","",'Final Calculation Sheet'!$AC$4)</f>
        <v/>
      </c>
      <c r="AE7" s="70">
        <f>IF('Final Calculation Sheet'!$AD$4="","",'Final Calculation Sheet'!$AD$4)</f>
        <v/>
      </c>
      <c r="AF7" s="75">
        <f>IF('Final Calculation Sheet'!$AD$4="","",IF('Final Calculation Sheet'!$AD$4&lt;=5,"SETTLED","OUTSTANDING"))</f>
        <v/>
      </c>
      <c r="AG7" s="70">
        <f>IF('Final Calculation Sheet'!$AF$4="","",'Final Calculation Sheet'!$AF$4)</f>
        <v/>
      </c>
      <c r="AH7" s="74">
        <f>IF('Final Calculation Sheet'!$AG$4="","",'Final Calculation Sheet'!$AG$4)</f>
        <v/>
      </c>
      <c r="AI7" s="70">
        <f>IF('Final Calculation Sheet'!$AH$4="","",'Final Calculation Sheet'!$AH$4)</f>
        <v/>
      </c>
      <c r="AJ7">
        <f>IF(AND(IF($B$4="",TRUE(),IF($B$4="(blank)",'Final Calculation Sheet'!$F$4="",IF($B$4="(nonblank)",'Final Calculation Sheet'!$F$4&lt;&gt;"",ISNUMBER(SEARCH($B$4,'Final Calculation Sheet'!$F$4))))),IF($C$4="",TRUE(),IF($C$4="(blank)",'Final Calculation Sheet'!$G$4="",IF($C$4="(nonblank)",'Final Calculation Sheet'!$G$4&lt;&gt;"",ISNUMBER(SEARCH($C$4,'Final Calculation Sheet'!$G$4))))),IF($D$4="",TRUE(),IF($D$4="(blank)",'Final Calculation Sheet'!$B$4="",IF($D$4="(nonblank)",'Final Calculation Sheet'!$B$4&lt;&gt;"",ISNUMBER(SEARCH($D$4,'Final Calculation Sheet'!$B$4))))),IF($E$4="",TRUE(),IF($E$4="(blank)",'Final Calculation Sheet'!$D$4="",IF($E$4="(nonblank)",'Final Calculation Sheet'!$D$4&lt;&gt;"",ISNUMBER(SEARCH($E$4,'Final Calculation Sheet'!$D$4))))),IF($F$4="",TRUE(),IF($F$4="(blank)",'Final Calculation Sheet'!$A$4="",IF($F$4="(nonblank)",'Final Calculation Sheet'!$A$4&lt;&gt;"",ISNUMBER(SEARCH($F$4,'Final Calculation Sheet'!$A$4))))),IF($G$4="",TRUE(),IF($G$4="(blank)",'Final Calculation Sheet'!$E$4="",IF($G$4="(nonblank)",'Final Calculation Sheet'!$E$4&lt;&gt;"",ISNUMBER(SEARCH($G$4,'Final Calculation Sheet'!$E$4))))),IF($H$4="",TRUE(),IF($H$4="(blank)",'Final Calculation Sheet'!$C$4="",IF($H$4="(nonblank)",'Final Calculation Sheet'!$C$4&lt;&gt;"",ISNUMBER(SEARCH($H$4,'Final Calculation Sheet'!$C$4))))),IF($I$4="",TRUE(),IF($I$4="(blank)",'Final Calculation Sheet'!$H$4="",IF($I$4="(nonblank)",'Final Calculation Sheet'!$H$4&lt;&gt;"",ISNUMBER(SEARCH($I$4,'Final Calculation Sheet'!$H$4))))),IF($J$4="",TRUE(),IF($J$4="(blank)",'Final Calculation Sheet'!$I$4="",IF($J$4="(nonblank)",'Final Calculation Sheet'!$I$4&lt;&gt;"",ISNUMBER(SEARCH($J$4,'Final Calculation Sheet'!$I$4))))),IF($K$4="",TRUE(),IF($K$4="(blank)",'Final Calculation Sheet'!$J$4="",IF($K$4="(nonblank)",'Final Calculation Sheet'!$J$4&lt;&gt;"",ISNUMBER(SEARCH($K$4,'Final Calculation Sheet'!$J$4))))),IF($L$4="",TRUE(),IF($L$4="(blank)",'Final Calculation Sheet'!$K$4="",IF($L$4="(nonblank)",'Final Calculation Sheet'!$K$4&lt;&gt;"",ISNUMBER(SEARCH($L$4,'Final Calculation Sheet'!$K$4))))),IF($M$4="",TRUE(),IF($M$4="(blank)",'Final Calculation Sheet'!$L$4="",IF($M$4="(nonblank)",'Final Calculation Sheet'!$L$4&lt;&gt;"",ISNUMBER(SEARCH($M$4,'Final Calculation Sheet'!$L$4))))),IF($N$4="",TRUE(),IF($N$4="(blank)",'Final Calculation Sheet'!$M$4="",IF($N$4="(nonblank)",'Final Calculation Sheet'!$M$4&lt;&gt;"",ISNUMBER(SEARCH($N$4,'Final Calculation Sheet'!$M$4))))),IF($O$4="",TRUE(),IF($O$4="(blank)",'Final Calculation Sheet'!$N$4="",IF($O$4="(nonblank)",'Final Calculation Sheet'!$N$4&lt;&gt;"",ISNUMBER(SEARCH($O$4,'Final Calculation Sheet'!$N$4))))),IF($P$4="",TRUE(),IF($P$4="(blank)",'Final Calculation Sheet'!$O$4="",IF($P$4="(nonblank)",'Final Calculation Sheet'!$O$4&lt;&gt;"",ISNUMBER(SEARCH($P$4,'Final Calculation Sheet'!$O$4))))),IF($Q$4="",TRUE(),IF($Q$4="(blank)",'Final Calculation Sheet'!$P$4="",IF($Q$4="(nonblank)",'Final Calculation Sheet'!$P$4&lt;&gt;"",ISNUMBER(SEARCH($Q$4,'Final Calculation Sheet'!$P$4))))),IF($R$4="",TRUE(),IF($R$4="(blank)",'Final Calculation Sheet'!$Q$4="",IF($R$4="(nonblank)",'Final Calculation Sheet'!$Q$4&lt;&gt;"",ISNUMBER(SEARCH($R$4,'Final Calculation Sheet'!$Q$4))))),IF($S$4="",TRUE(),IF($S$4="(blank)",'Final Calculation Sheet'!$R$4="",IF($S$4="(nonblank)",'Final Calculation Sheet'!$R$4&lt;&gt;"",ISNUMBER(SEARCH($S$4,'Final Calculation Sheet'!$R$4))))),IF($T$4="",TRUE(),IF($T$4="(blank)",'Final Calculation Sheet'!$S$4="",IF($T$4="(nonblank)",'Final Calculation Sheet'!$S$4&lt;&gt;"",ISNUMBER(SEARCH($T$4,'Final Calculation Sheet'!$S$4))))),IF($U$4="",TRUE(),IF($U$4="(blank)",'Final Calculation Sheet'!$T$4="",IF($U$4="(nonblank)",'Final Calculation Sheet'!$T$4&lt;&gt;"",ISNUMBER(SEARCH($U$4,'Final Calculation Sheet'!$T$4))))),IF($V$4="",TRUE(),IF($V$4="(blank)",'Final Calculation Sheet'!$U$4="",IF($V$4="(nonblank)",'Final Calculation Sheet'!$U$4&lt;&gt;"",ISNUMBER(SEARCH($V$4,'Final Calculation Sheet'!$U$4))))),IF($W$4="",TRUE(),IF($W$4="(blank)",'Final Calculation Sheet'!$V$4="",IF($W$4="(nonblank)",'Final Calculation Sheet'!$V$4&lt;&gt;"",ISNUMBER(SEARCH($W$4,'Final Calculation Sheet'!$V$4))))),IF($X$4="",TRUE(),IF($X$4="(blank)",'Final Calculation Sheet'!$W$4="",IF($X$4="(nonblank)",'Final Calculation Sheet'!$W$4&lt;&gt;"",ISNUMBER(SEARCH($X$4,'Final Calculation Sheet'!$W$4))))),IF($Y$4="",TRUE(),IF($Y$4="(blank)",'Final Calculation Sheet'!$X$4="",IF($Y$4="(nonblank)",'Final Calculation Sheet'!$X$4&lt;&gt;"",ISNUMBER(SEARCH($Y$4,'Final Calculation Sheet'!$X$4))))),IF($Z$4="",TRUE(),IF($Z$4="(blank)",'Final Calculation Sheet'!$Y$4="",IF($Z$4="(nonblank)",'Final Calculation Sheet'!$Y$4&lt;&gt;"",ISNUMBER(SEARCH($Z$4,'Final Calculation Sheet'!$Y$4))))),IF($AA$4="",TRUE(),IF($AA$4="(blank)",'Final Calculation Sheet'!$Z$4="",IF($AA$4="(nonblank)",'Final Calculation Sheet'!$Z$4&lt;&gt;"",ISNUMBER(SEARCH($AA$4,'Final Calculation Sheet'!$Z$4))))),IF($AB$4="",TRUE(),IF($AB$4="(blank)",'Final Calculation Sheet'!$AA$4="",IF($AB$4="(nonblank)",'Final Calculation Sheet'!$AA$4&lt;&gt;"",ISNUMBER(SEARCH($AB$4,'Final Calculation Sheet'!$AA$4))))),IF($AC$4="",TRUE(),IF($AC$4="(blank)",'Final Calculation Sheet'!$AB$4="",IF($AC$4="(nonblank)",'Final Calculation Sheet'!$AB$4&lt;&gt;"",ISNUMBER(SEARCH($AC$4,'Final Calculation Sheet'!$AB$4))))),IF($AD$4="",TRUE(),IF($AD$4="(blank)",'Final Calculation Sheet'!$AC$4="",IF($AD$4="(nonblank)",'Final Calculation Sheet'!$AC$4&lt;&gt;"",ISNUMBER(SEARCH($AD$4,'Final Calculation Sheet'!$AC$4))))),IF($AE$4="",TRUE(),IF($AE$4="(blank)",'Final Calculation Sheet'!$AD$4="",IF($AE$4="(nonblank)",'Final Calculation Sheet'!$AD$4&lt;&gt;"",ISNUMBER(SEARCH($AE$4,'Final Calculation Sheet'!$AD$4))))),IF($AG$4="",TRUE(),IF($AG$4="(blank)",'Final Calculation Sheet'!$AF$4="",IF($AG$4="(nonblank)",'Final Calculation Sheet'!$AF$4&lt;&gt;"",ISNUMBER(SEARCH($AG$4,'Final Calculation Sheet'!$AF$4))))),IF($AH$4="",TRUE(),IF($AH$4="(blank)",'Final Calculation Sheet'!$AG$4="",IF($AH$4="(nonblank)",'Final Calculation Sheet'!$AG$4&lt;&gt;"",ISNUMBER(SEARCH($AH$4,'Final Calculation Sheet'!$AG$4))))),IF($AI$4="",TRUE(),IF($AI$4="(blank)",'Final Calculation Sheet'!$AH$4="",IF($AI$4="(nonblank)",'Final Calculation Sheet'!$AH$4&lt;&gt;"",ISNUMBER(SEARCH($AI$4,'Final Calculation Sheet'!$AH$4))))),IF($AF$4="",TRUE(),IF($AF$4="(blank)",IF('Final Calculation Sheet'!$AD$4&lt;=5,"SETTLED","OUTSTANDING")="",IF($AF$4="(nonblank)",IF('Final Calculation Sheet'!$AD$4&lt;=5,"SETTLED","OUTSTANDING")&lt;&gt;"",ISNUMBER(SEARCH($AF$4,IF('Final Calculation Sheet'!$AD$4&lt;=5,"SETTLED","OUTSTANDING"))))))),1,0)</f>
      </c>
      <c r="AK7">
        <f>IF(AJ7=1,COUNTIF(AJ$7:AJ7,1),"")</f>
        <v/>
      </c>
    </row>
    <row r="8" ht="15" customHeight="1" s="137">
      <c r="A8" s="81" t="inlineStr">
        <is>
          <t>∑</t>
        </is>
      </c>
      <c r="B8" s="83" t="n"/>
      <c r="C8" s="83">
        <f>ROWS($C$7:$C$7)&amp;" lot(s)"</f>
        <v/>
      </c>
      <c r="D8" s="83" t="inlineStr">
        <is>
          <t>SUBTOTAL — AL HAMD TRADE CORPORATION</t>
        </is>
      </c>
      <c r="E8" s="83" t="inlineStr">
        <is>
          <t>–</t>
        </is>
      </c>
      <c r="F8" s="83">
        <f>SUM(F7:F7)</f>
        <v/>
      </c>
      <c r="G8" s="83" t="inlineStr">
        <is>
          <t>–</t>
        </is>
      </c>
      <c r="H8" s="84" t="inlineStr">
        <is>
          <t>–</t>
        </is>
      </c>
      <c r="I8" s="84">
        <f>SUM(I7:I7)</f>
        <v/>
      </c>
      <c r="J8" s="84">
        <f>SUM(J7:J7)</f>
        <v/>
      </c>
      <c r="K8" s="84">
        <f>SUM(K7:K7)</f>
        <v/>
      </c>
      <c r="L8" s="84">
        <f>SUM(L7:L7)</f>
        <v/>
      </c>
      <c r="M8" s="84">
        <f>SUM(M7:M7)</f>
        <v/>
      </c>
      <c r="N8" s="84">
        <f>SUM(N7:N7)</f>
        <v/>
      </c>
      <c r="O8" s="85">
        <f>SUM(O7:O7)</f>
        <v/>
      </c>
      <c r="P8" s="84">
        <f>SUM(P7:P7)</f>
        <v/>
      </c>
      <c r="Q8" s="84">
        <f>SUM(Q7:Q7)</f>
        <v/>
      </c>
      <c r="R8" s="86" t="inlineStr">
        <is>
          <t>–</t>
        </is>
      </c>
      <c r="S8" s="84">
        <f>SUM(S7:S7)</f>
        <v/>
      </c>
      <c r="T8" s="84">
        <f>SUM(T7:T7)</f>
        <v/>
      </c>
      <c r="U8" s="84">
        <f>SUM(U7:U7)</f>
        <v/>
      </c>
      <c r="V8" s="87">
        <f>SUM(V7:V7)</f>
        <v/>
      </c>
      <c r="W8" s="84" t="inlineStr">
        <is>
          <t>–</t>
        </is>
      </c>
      <c r="X8" s="84">
        <f>SUM(X7:X7)</f>
        <v/>
      </c>
      <c r="Y8" s="84">
        <f>SUM(Y7:Y7)</f>
        <v/>
      </c>
      <c r="Z8" s="84" t="inlineStr">
        <is>
          <t>–</t>
        </is>
      </c>
      <c r="AA8" s="84">
        <f>SUM(AA7:AA7)</f>
        <v/>
      </c>
      <c r="AB8" s="84">
        <f>SUM(AB7:AB7)</f>
        <v/>
      </c>
      <c r="AC8" s="84" t="inlineStr">
        <is>
          <t>–</t>
        </is>
      </c>
      <c r="AD8" s="84">
        <f>SUM(AD7:AD7)</f>
        <v/>
      </c>
      <c r="AE8" s="84">
        <f>SUM(AE7:AE7)</f>
        <v/>
      </c>
      <c r="AF8" s="89">
        <f>IF(AE8&lt;=5,"SETTLED","OUTSTANDING")</f>
        <v/>
      </c>
      <c r="AG8" s="84" t="inlineStr">
        <is>
          <t>–</t>
        </is>
      </c>
      <c r="AH8" s="88" t="inlineStr">
        <is>
          <t>–</t>
        </is>
      </c>
      <c r="AI8" s="84" t="inlineStr">
        <is>
          <t>–</t>
        </is>
      </c>
    </row>
    <row r="9" outlineLevel="1" ht="15" customHeight="1" s="137">
      <c r="A9" s="67" t="n">
        <v>1</v>
      </c>
      <c r="B9" s="76">
        <f>IF('Final Calculation Sheet'!$F$6="","",'Final Calculation Sheet'!$F$6)</f>
        <v/>
      </c>
      <c r="C9" s="76">
        <f>IF('Final Calculation Sheet'!$G$6="","",'Final Calculation Sheet'!$G$6)</f>
        <v/>
      </c>
      <c r="D9" s="80">
        <f>IF('Final Calculation Sheet'!$B$6="","",'Final Calculation Sheet'!$B$6)</f>
        <v/>
      </c>
      <c r="E9" s="80">
        <f>IF('Final Calculation Sheet'!$D$6="","",'Final Calculation Sheet'!$D$6)</f>
        <v/>
      </c>
      <c r="F9" s="80">
        <f>IF('Final Calculation Sheet'!$A$6="","",'Final Calculation Sheet'!$A$6)</f>
        <v/>
      </c>
      <c r="G9" s="80">
        <f>IF('Final Calculation Sheet'!$E$6="","",'Final Calculation Sheet'!$E$6)</f>
        <v/>
      </c>
      <c r="H9" s="70">
        <f>IF('Final Calculation Sheet'!$C$6="","",'Final Calculation Sheet'!$C$6)</f>
        <v/>
      </c>
      <c r="I9" s="70">
        <f>IF('Final Calculation Sheet'!$H$6="","",'Final Calculation Sheet'!$H$6)</f>
        <v/>
      </c>
      <c r="J9" s="70">
        <f>IF('Final Calculation Sheet'!$I$6="","",'Final Calculation Sheet'!$I$6)</f>
        <v/>
      </c>
      <c r="K9" s="70">
        <f>IF('Final Calculation Sheet'!$J$6="","",'Final Calculation Sheet'!$J$6)</f>
        <v/>
      </c>
      <c r="L9" s="70">
        <f>IF('Final Calculation Sheet'!$K$6="","",'Final Calculation Sheet'!$K$6)</f>
        <v/>
      </c>
      <c r="M9" s="70">
        <f>IF('Final Calculation Sheet'!$L$6="","",'Final Calculation Sheet'!$L$6)</f>
        <v/>
      </c>
      <c r="N9" s="70">
        <f>IF('Final Calculation Sheet'!$M$6="","",'Final Calculation Sheet'!$M$6)</f>
        <v/>
      </c>
      <c r="O9" s="71">
        <f>IF('Final Calculation Sheet'!$N$6="","",'Final Calculation Sheet'!$N$6)</f>
        <v/>
      </c>
      <c r="P9" s="70">
        <f>IF('Final Calculation Sheet'!$O$6="","",'Final Calculation Sheet'!$O$6)</f>
        <v/>
      </c>
      <c r="Q9" s="70">
        <f>IF('Final Calculation Sheet'!$P$6="","",'Final Calculation Sheet'!$P$6)</f>
        <v/>
      </c>
      <c r="R9" s="72">
        <f>IF('Final Calculation Sheet'!$Q$6="","",'Final Calculation Sheet'!$Q$6)</f>
        <v/>
      </c>
      <c r="S9" s="70">
        <f>IF('Final Calculation Sheet'!$R$6="","",'Final Calculation Sheet'!$R$6)</f>
        <v/>
      </c>
      <c r="T9" s="70">
        <f>IF('Final Calculation Sheet'!$S$6="","",'Final Calculation Sheet'!$S$6)</f>
        <v/>
      </c>
      <c r="U9" s="70">
        <f>IF('Final Calculation Sheet'!$T$6="","",'Final Calculation Sheet'!$T$6)</f>
        <v/>
      </c>
      <c r="V9" s="73">
        <f>IF('Final Calculation Sheet'!$U$6="","",'Final Calculation Sheet'!$U$6)</f>
        <v/>
      </c>
      <c r="W9" s="70">
        <f>IF('Final Calculation Sheet'!$V$6="","",'Final Calculation Sheet'!$V$6)</f>
        <v/>
      </c>
      <c r="X9" s="70">
        <f>IF('Final Calculation Sheet'!$W$6="","",'Final Calculation Sheet'!$W$6)</f>
        <v/>
      </c>
      <c r="Y9" s="70">
        <f>IF('Final Calculation Sheet'!$X$6="","",'Final Calculation Sheet'!$X$6)</f>
        <v/>
      </c>
      <c r="Z9" s="70">
        <f>IF('Final Calculation Sheet'!$Y$6="","",'Final Calculation Sheet'!$Y$6)</f>
        <v/>
      </c>
      <c r="AA9" s="70">
        <f>IF('Final Calculation Sheet'!$Z$6="","",'Final Calculation Sheet'!$Z$6)</f>
        <v/>
      </c>
      <c r="AB9" s="70">
        <f>IF('Final Calculation Sheet'!$AA$6="","",'Final Calculation Sheet'!$AA$6)</f>
        <v/>
      </c>
      <c r="AC9" s="70">
        <f>IF('Final Calculation Sheet'!$AB$6="","",'Final Calculation Sheet'!$AB$6)</f>
        <v/>
      </c>
      <c r="AD9" s="70">
        <f>IF('Final Calculation Sheet'!$AC$6="","",'Final Calculation Sheet'!$AC$6)</f>
        <v/>
      </c>
      <c r="AE9" s="70">
        <f>IF('Final Calculation Sheet'!$AD$6="","",'Final Calculation Sheet'!$AD$6)</f>
        <v/>
      </c>
      <c r="AF9" s="75">
        <f>IF('Final Calculation Sheet'!$AD$6="","",IF('Final Calculation Sheet'!$AD$6&lt;=5,"SETTLED","OUTSTANDING"))</f>
        <v/>
      </c>
      <c r="AG9" s="70">
        <f>IF('Final Calculation Sheet'!$AF$6="","",'Final Calculation Sheet'!$AF$6)</f>
        <v/>
      </c>
      <c r="AH9" s="74">
        <f>IF('Final Calculation Sheet'!$AG$6="","",'Final Calculation Sheet'!$AG$6)</f>
        <v/>
      </c>
      <c r="AI9" s="70">
        <f>IF('Final Calculation Sheet'!$AH$6="","",'Final Calculation Sheet'!$AH$6)</f>
        <v/>
      </c>
      <c r="AJ9">
        <f>IF(AND(IF($B$4="",TRUE(),IF($B$4="(blank)",'Final Calculation Sheet'!$F$6="",IF($B$4="(nonblank)",'Final Calculation Sheet'!$F$6&lt;&gt;"",ISNUMBER(SEARCH($B$4,'Final Calculation Sheet'!$F$6))))),IF($C$4="",TRUE(),IF($C$4="(blank)",'Final Calculation Sheet'!$G$6="",IF($C$4="(nonblank)",'Final Calculation Sheet'!$G$6&lt;&gt;"",ISNUMBER(SEARCH($C$4,'Final Calculation Sheet'!$G$6))))),IF($D$4="",TRUE(),IF($D$4="(blank)",'Final Calculation Sheet'!$B$6="",IF($D$4="(nonblank)",'Final Calculation Sheet'!$B$6&lt;&gt;"",ISNUMBER(SEARCH($D$4,'Final Calculation Sheet'!$B$6))))),IF($E$4="",TRUE(),IF($E$4="(blank)",'Final Calculation Sheet'!$D$6="",IF($E$4="(nonblank)",'Final Calculation Sheet'!$D$6&lt;&gt;"",ISNUMBER(SEARCH($E$4,'Final Calculation Sheet'!$D$6))))),IF($F$4="",TRUE(),IF($F$4="(blank)",'Final Calculation Sheet'!$A$6="",IF($F$4="(nonblank)",'Final Calculation Sheet'!$A$6&lt;&gt;"",ISNUMBER(SEARCH($F$4,'Final Calculation Sheet'!$A$6))))),IF($G$4="",TRUE(),IF($G$4="(blank)",'Final Calculation Sheet'!$E$6="",IF($G$4="(nonblank)",'Final Calculation Sheet'!$E$6&lt;&gt;"",ISNUMBER(SEARCH($G$4,'Final Calculation Sheet'!$E$6))))),IF($H$4="",TRUE(),IF($H$4="(blank)",'Final Calculation Sheet'!$C$6="",IF($H$4="(nonblank)",'Final Calculation Sheet'!$C$6&lt;&gt;"",ISNUMBER(SEARCH($H$4,'Final Calculation Sheet'!$C$6))))),IF($I$4="",TRUE(),IF($I$4="(blank)",'Final Calculation Sheet'!$H$6="",IF($I$4="(nonblank)",'Final Calculation Sheet'!$H$6&lt;&gt;"",ISNUMBER(SEARCH($I$4,'Final Calculation Sheet'!$H$6))))),IF($J$4="",TRUE(),IF($J$4="(blank)",'Final Calculation Sheet'!$I$6="",IF($J$4="(nonblank)",'Final Calculation Sheet'!$I$6&lt;&gt;"",ISNUMBER(SEARCH($J$4,'Final Calculation Sheet'!$I$6))))),IF($K$4="",TRUE(),IF($K$4="(blank)",'Final Calculation Sheet'!$J$6="",IF($K$4="(nonblank)",'Final Calculation Sheet'!$J$6&lt;&gt;"",ISNUMBER(SEARCH($K$4,'Final Calculation Sheet'!$J$6))))),IF($L$4="",TRUE(),IF($L$4="(blank)",'Final Calculation Sheet'!$K$6="",IF($L$4="(nonblank)",'Final Calculation Sheet'!$K$6&lt;&gt;"",ISNUMBER(SEARCH($L$4,'Final Calculation Sheet'!$K$6))))),IF($M$4="",TRUE(),IF($M$4="(blank)",'Final Calculation Sheet'!$L$6="",IF($M$4="(nonblank)",'Final Calculation Sheet'!$L$6&lt;&gt;"",ISNUMBER(SEARCH($M$4,'Final Calculation Sheet'!$L$6))))),IF($N$4="",TRUE(),IF($N$4="(blank)",'Final Calculation Sheet'!$M$6="",IF($N$4="(nonblank)",'Final Calculation Sheet'!$M$6&lt;&gt;"",ISNUMBER(SEARCH($N$4,'Final Calculation Sheet'!$M$6))))),IF($O$4="",TRUE(),IF($O$4="(blank)",'Final Calculation Sheet'!$N$6="",IF($O$4="(nonblank)",'Final Calculation Sheet'!$N$6&lt;&gt;"",ISNUMBER(SEARCH($O$4,'Final Calculation Sheet'!$N$6))))),IF($P$4="",TRUE(),IF($P$4="(blank)",'Final Calculation Sheet'!$O$6="",IF($P$4="(nonblank)",'Final Calculation Sheet'!$O$6&lt;&gt;"",ISNUMBER(SEARCH($P$4,'Final Calculation Sheet'!$O$6))))),IF($Q$4="",TRUE(),IF($Q$4="(blank)",'Final Calculation Sheet'!$P$6="",IF($Q$4="(nonblank)",'Final Calculation Sheet'!$P$6&lt;&gt;"",ISNUMBER(SEARCH($Q$4,'Final Calculation Sheet'!$P$6))))),IF($R$4="",TRUE(),IF($R$4="(blank)",'Final Calculation Sheet'!$Q$6="",IF($R$4="(nonblank)",'Final Calculation Sheet'!$Q$6&lt;&gt;"",ISNUMBER(SEARCH($R$4,'Final Calculation Sheet'!$Q$6))))),IF($S$4="",TRUE(),IF($S$4="(blank)",'Final Calculation Sheet'!$R$6="",IF($S$4="(nonblank)",'Final Calculation Sheet'!$R$6&lt;&gt;"",ISNUMBER(SEARCH($S$4,'Final Calculation Sheet'!$R$6))))),IF($T$4="",TRUE(),IF($T$4="(blank)",'Final Calculation Sheet'!$S$6="",IF($T$4="(nonblank)",'Final Calculation Sheet'!$S$6&lt;&gt;"",ISNUMBER(SEARCH($T$4,'Final Calculation Sheet'!$S$6))))),IF($U$4="",TRUE(),IF($U$4="(blank)",'Final Calculation Sheet'!$T$6="",IF($U$4="(nonblank)",'Final Calculation Sheet'!$T$6&lt;&gt;"",ISNUMBER(SEARCH($U$4,'Final Calculation Sheet'!$T$6))))),IF($V$4="",TRUE(),IF($V$4="(blank)",'Final Calculation Sheet'!$U$6="",IF($V$4="(nonblank)",'Final Calculation Sheet'!$U$6&lt;&gt;"",ISNUMBER(SEARCH($V$4,'Final Calculation Sheet'!$U$6))))),IF($W$4="",TRUE(),IF($W$4="(blank)",'Final Calculation Sheet'!$V$6="",IF($W$4="(nonblank)",'Final Calculation Sheet'!$V$6&lt;&gt;"",ISNUMBER(SEARCH($W$4,'Final Calculation Sheet'!$V$6))))),IF($X$4="",TRUE(),IF($X$4="(blank)",'Final Calculation Sheet'!$W$6="",IF($X$4="(nonblank)",'Final Calculation Sheet'!$W$6&lt;&gt;"",ISNUMBER(SEARCH($X$4,'Final Calculation Sheet'!$W$6))))),IF($Y$4="",TRUE(),IF($Y$4="(blank)",'Final Calculation Sheet'!$X$6="",IF($Y$4="(nonblank)",'Final Calculation Sheet'!$X$6&lt;&gt;"",ISNUMBER(SEARCH($Y$4,'Final Calculation Sheet'!$X$6))))),IF($Z$4="",TRUE(),IF($Z$4="(blank)",'Final Calculation Sheet'!$Y$6="",IF($Z$4="(nonblank)",'Final Calculation Sheet'!$Y$6&lt;&gt;"",ISNUMBER(SEARCH($Z$4,'Final Calculation Sheet'!$Y$6))))),IF($AA$4="",TRUE(),IF($AA$4="(blank)",'Final Calculation Sheet'!$Z$6="",IF($AA$4="(nonblank)",'Final Calculation Sheet'!$Z$6&lt;&gt;"",ISNUMBER(SEARCH($AA$4,'Final Calculation Sheet'!$Z$6))))),IF($AB$4="",TRUE(),IF($AB$4="(blank)",'Final Calculation Sheet'!$AA$6="",IF($AB$4="(nonblank)",'Final Calculation Sheet'!$AA$6&lt;&gt;"",ISNUMBER(SEARCH($AB$4,'Final Calculation Sheet'!$AA$6))))),IF($AC$4="",TRUE(),IF($AC$4="(blank)",'Final Calculation Sheet'!$AB$6="",IF($AC$4="(nonblank)",'Final Calculation Sheet'!$AB$6&lt;&gt;"",ISNUMBER(SEARCH($AC$4,'Final Calculation Sheet'!$AB$6))))),IF($AD$4="",TRUE(),IF($AD$4="(blank)",'Final Calculation Sheet'!$AC$6="",IF($AD$4="(nonblank)",'Final Calculation Sheet'!$AC$6&lt;&gt;"",ISNUMBER(SEARCH($AD$4,'Final Calculation Sheet'!$AC$6))))),IF($AE$4="",TRUE(),IF($AE$4="(blank)",'Final Calculation Sheet'!$AD$6="",IF($AE$4="(nonblank)",'Final Calculation Sheet'!$AD$6&lt;&gt;"",ISNUMBER(SEARCH($AE$4,'Final Calculation Sheet'!$AD$6))))),IF($AG$4="",TRUE(),IF($AG$4="(blank)",'Final Calculation Sheet'!$AF$6="",IF($AG$4="(nonblank)",'Final Calculation Sheet'!$AF$6&lt;&gt;"",ISNUMBER(SEARCH($AG$4,'Final Calculation Sheet'!$AF$6))))),IF($AH$4="",TRUE(),IF($AH$4="(blank)",'Final Calculation Sheet'!$AG$6="",IF($AH$4="(nonblank)",'Final Calculation Sheet'!$AG$6&lt;&gt;"",ISNUMBER(SEARCH($AH$4,'Final Calculation Sheet'!$AG$6))))),IF($AI$4="",TRUE(),IF($AI$4="(blank)",'Final Calculation Sheet'!$AH$6="",IF($AI$4="(nonblank)",'Final Calculation Sheet'!$AH$6&lt;&gt;"",ISNUMBER(SEARCH($AI$4,'Final Calculation Sheet'!$AH$6))))),IF($AF$4="",TRUE(),IF($AF$4="(blank)",IF('Final Calculation Sheet'!$AD$6&lt;=5,"SETTLED","OUTSTANDING")="",IF($AF$4="(nonblank)",IF('Final Calculation Sheet'!$AD$6&lt;=5,"SETTLED","OUTSTANDING")&lt;&gt;"",ISNUMBER(SEARCH($AF$4,IF('Final Calculation Sheet'!$AD$6&lt;=5,"SETTLED","OUTSTANDING"))))))),1,0)</f>
      </c>
      <c r="AK9">
        <f>IF(AJ9=1,COUNTIF(AJ$7:AJ9,1),"")</f>
        <v/>
      </c>
    </row>
    <row r="10" outlineLevel="1" ht="15" customHeight="1" s="137">
      <c r="A10" s="90" t="n">
        <v>2</v>
      </c>
      <c r="B10" s="92">
        <f>IF('Final Calculation Sheet'!$F$7="","",'Final Calculation Sheet'!$F$7)</f>
        <v/>
      </c>
      <c r="C10" s="92">
        <f>IF('Final Calculation Sheet'!$G$7="","",'Final Calculation Sheet'!$G$7)</f>
        <v/>
      </c>
      <c r="D10" s="94">
        <f>IF('Final Calculation Sheet'!$B$7="","",'Final Calculation Sheet'!$B$7)</f>
        <v/>
      </c>
      <c r="E10" s="94">
        <f>IF('Final Calculation Sheet'!$D$7="","",'Final Calculation Sheet'!$D$7)</f>
        <v/>
      </c>
      <c r="F10" s="94">
        <f>IF('Final Calculation Sheet'!$A$7="","",'Final Calculation Sheet'!$A$7)</f>
        <v/>
      </c>
      <c r="G10" s="94">
        <f>IF('Final Calculation Sheet'!$E$7="","",'Final Calculation Sheet'!$E$7)</f>
        <v/>
      </c>
      <c r="H10" s="95">
        <f>IF('Final Calculation Sheet'!$C$7="","",'Final Calculation Sheet'!$C$7)</f>
        <v/>
      </c>
      <c r="I10" s="95">
        <f>IF('Final Calculation Sheet'!$H$7="","",'Final Calculation Sheet'!$H$7)</f>
        <v/>
      </c>
      <c r="J10" s="95">
        <f>IF('Final Calculation Sheet'!$I$7="","",'Final Calculation Sheet'!$I$7)</f>
        <v/>
      </c>
      <c r="K10" s="95">
        <f>IF('Final Calculation Sheet'!$J$7="","",'Final Calculation Sheet'!$J$7)</f>
        <v/>
      </c>
      <c r="L10" s="95">
        <f>IF('Final Calculation Sheet'!$K$7="","",'Final Calculation Sheet'!$K$7)</f>
        <v/>
      </c>
      <c r="M10" s="95">
        <f>IF('Final Calculation Sheet'!$L$7="","",'Final Calculation Sheet'!$L$7)</f>
        <v/>
      </c>
      <c r="N10" s="95">
        <f>IF('Final Calculation Sheet'!$M$7="","",'Final Calculation Sheet'!$M$7)</f>
        <v/>
      </c>
      <c r="O10" s="96">
        <f>IF('Final Calculation Sheet'!$N$7="","",'Final Calculation Sheet'!$N$7)</f>
        <v/>
      </c>
      <c r="P10" s="95">
        <f>IF('Final Calculation Sheet'!$O$7="","",'Final Calculation Sheet'!$O$7)</f>
        <v/>
      </c>
      <c r="Q10" s="95">
        <f>IF('Final Calculation Sheet'!$P$7="","",'Final Calculation Sheet'!$P$7)</f>
        <v/>
      </c>
      <c r="R10" s="97">
        <f>IF('Final Calculation Sheet'!$Q$7="","",'Final Calculation Sheet'!$Q$7)</f>
        <v/>
      </c>
      <c r="S10" s="95">
        <f>IF('Final Calculation Sheet'!$R$7="","",'Final Calculation Sheet'!$R$7)</f>
        <v/>
      </c>
      <c r="T10" s="95">
        <f>IF('Final Calculation Sheet'!$S$7="","",'Final Calculation Sheet'!$S$7)</f>
        <v/>
      </c>
      <c r="U10" s="95">
        <f>IF('Final Calculation Sheet'!$T$7="","",'Final Calculation Sheet'!$T$7)</f>
        <v/>
      </c>
      <c r="V10" s="98">
        <f>IF('Final Calculation Sheet'!$U$7="","",'Final Calculation Sheet'!$U$7)</f>
        <v/>
      </c>
      <c r="W10" s="95">
        <f>IF('Final Calculation Sheet'!$V$7="","",'Final Calculation Sheet'!$V$7)</f>
        <v/>
      </c>
      <c r="X10" s="95">
        <f>IF('Final Calculation Sheet'!$W$7="","",'Final Calculation Sheet'!$W$7)</f>
        <v/>
      </c>
      <c r="Y10" s="95">
        <f>IF('Final Calculation Sheet'!$X$7="","",'Final Calculation Sheet'!$X$7)</f>
        <v/>
      </c>
      <c r="Z10" s="95">
        <f>IF('Final Calculation Sheet'!$Y$7="","",'Final Calculation Sheet'!$Y$7)</f>
        <v/>
      </c>
      <c r="AA10" s="95">
        <f>IF('Final Calculation Sheet'!$Z$7="","",'Final Calculation Sheet'!$Z$7)</f>
        <v/>
      </c>
      <c r="AB10" s="95">
        <f>IF('Final Calculation Sheet'!$AA$7="","",'Final Calculation Sheet'!$AA$7)</f>
        <v/>
      </c>
      <c r="AC10" s="95">
        <f>IF('Final Calculation Sheet'!$AB$7="","",'Final Calculation Sheet'!$AB$7)</f>
        <v/>
      </c>
      <c r="AD10" s="95">
        <f>IF('Final Calculation Sheet'!$AC$7="","",'Final Calculation Sheet'!$AC$7)</f>
        <v/>
      </c>
      <c r="AE10" s="95">
        <f>IF('Final Calculation Sheet'!$AD$7="","",'Final Calculation Sheet'!$AD$7)</f>
        <v/>
      </c>
      <c r="AF10" s="100">
        <f>IF('Final Calculation Sheet'!$AD$7="","",IF('Final Calculation Sheet'!$AD$7&lt;=5,"SETTLED","OUTSTANDING"))</f>
        <v/>
      </c>
      <c r="AG10" s="95">
        <f>IF('Final Calculation Sheet'!$AF$7="","",'Final Calculation Sheet'!$AF$7)</f>
        <v/>
      </c>
      <c r="AH10" s="99">
        <f>IF('Final Calculation Sheet'!$AG$7="","",'Final Calculation Sheet'!$AG$7)</f>
        <v/>
      </c>
      <c r="AI10" s="95">
        <f>IF('Final Calculation Sheet'!$AH$7="","",'Final Calculation Sheet'!$AH$7)</f>
        <v/>
      </c>
      <c r="AJ10">
        <f>IF(AND(IF($B$4="",TRUE(),IF($B$4="(blank)",'Final Calculation Sheet'!$F$7="",IF($B$4="(nonblank)",'Final Calculation Sheet'!$F$7&lt;&gt;"",ISNUMBER(SEARCH($B$4,'Final Calculation Sheet'!$F$7))))),IF($C$4="",TRUE(),IF($C$4="(blank)",'Final Calculation Sheet'!$G$7="",IF($C$4="(nonblank)",'Final Calculation Sheet'!$G$7&lt;&gt;"",ISNUMBER(SEARCH($C$4,'Final Calculation Sheet'!$G$7))))),IF($D$4="",TRUE(),IF($D$4="(blank)",'Final Calculation Sheet'!$B$7="",IF($D$4="(nonblank)",'Final Calculation Sheet'!$B$7&lt;&gt;"",ISNUMBER(SEARCH($D$4,'Final Calculation Sheet'!$B$7))))),IF($E$4="",TRUE(),IF($E$4="(blank)",'Final Calculation Sheet'!$D$7="",IF($E$4="(nonblank)",'Final Calculation Sheet'!$D$7&lt;&gt;"",ISNUMBER(SEARCH($E$4,'Final Calculation Sheet'!$D$7))))),IF($F$4="",TRUE(),IF($F$4="(blank)",'Final Calculation Sheet'!$A$7="",IF($F$4="(nonblank)",'Final Calculation Sheet'!$A$7&lt;&gt;"",ISNUMBER(SEARCH($F$4,'Final Calculation Sheet'!$A$7))))),IF($G$4="",TRUE(),IF($G$4="(blank)",'Final Calculation Sheet'!$E$7="",IF($G$4="(nonblank)",'Final Calculation Sheet'!$E$7&lt;&gt;"",ISNUMBER(SEARCH($G$4,'Final Calculation Sheet'!$E$7))))),IF($H$4="",TRUE(),IF($H$4="(blank)",'Final Calculation Sheet'!$C$7="",IF($H$4="(nonblank)",'Final Calculation Sheet'!$C$7&lt;&gt;"",ISNUMBER(SEARCH($H$4,'Final Calculation Sheet'!$C$7))))),IF($I$4="",TRUE(),IF($I$4="(blank)",'Final Calculation Sheet'!$H$7="",IF($I$4="(nonblank)",'Final Calculation Sheet'!$H$7&lt;&gt;"",ISNUMBER(SEARCH($I$4,'Final Calculation Sheet'!$H$7))))),IF($J$4="",TRUE(),IF($J$4="(blank)",'Final Calculation Sheet'!$I$7="",IF($J$4="(nonblank)",'Final Calculation Sheet'!$I$7&lt;&gt;"",ISNUMBER(SEARCH($J$4,'Final Calculation Sheet'!$I$7))))),IF($K$4="",TRUE(),IF($K$4="(blank)",'Final Calculation Sheet'!$J$7="",IF($K$4="(nonblank)",'Final Calculation Sheet'!$J$7&lt;&gt;"",ISNUMBER(SEARCH($K$4,'Final Calculation Sheet'!$J$7))))),IF($L$4="",TRUE(),IF($L$4="(blank)",'Final Calculation Sheet'!$K$7="",IF($L$4="(nonblank)",'Final Calculation Sheet'!$K$7&lt;&gt;"",ISNUMBER(SEARCH($L$4,'Final Calculation Sheet'!$K$7))))),IF($M$4="",TRUE(),IF($M$4="(blank)",'Final Calculation Sheet'!$L$7="",IF($M$4="(nonblank)",'Final Calculation Sheet'!$L$7&lt;&gt;"",ISNUMBER(SEARCH($M$4,'Final Calculation Sheet'!$L$7))))),IF($N$4="",TRUE(),IF($N$4="(blank)",'Final Calculation Sheet'!$M$7="",IF($N$4="(nonblank)",'Final Calculation Sheet'!$M$7&lt;&gt;"",ISNUMBER(SEARCH($N$4,'Final Calculation Sheet'!$M$7))))),IF($O$4="",TRUE(),IF($O$4="(blank)",'Final Calculation Sheet'!$N$7="",IF($O$4="(nonblank)",'Final Calculation Sheet'!$N$7&lt;&gt;"",ISNUMBER(SEARCH($O$4,'Final Calculation Sheet'!$N$7))))),IF($P$4="",TRUE(),IF($P$4="(blank)",'Final Calculation Sheet'!$O$7="",IF($P$4="(nonblank)",'Final Calculation Sheet'!$O$7&lt;&gt;"",ISNUMBER(SEARCH($P$4,'Final Calculation Sheet'!$O$7))))),IF($Q$4="",TRUE(),IF($Q$4="(blank)",'Final Calculation Sheet'!$P$7="",IF($Q$4="(nonblank)",'Final Calculation Sheet'!$P$7&lt;&gt;"",ISNUMBER(SEARCH($Q$4,'Final Calculation Sheet'!$P$7))))),IF($R$4="",TRUE(),IF($R$4="(blank)",'Final Calculation Sheet'!$Q$7="",IF($R$4="(nonblank)",'Final Calculation Sheet'!$Q$7&lt;&gt;"",ISNUMBER(SEARCH($R$4,'Final Calculation Sheet'!$Q$7))))),IF($S$4="",TRUE(),IF($S$4="(blank)",'Final Calculation Sheet'!$R$7="",IF($S$4="(nonblank)",'Final Calculation Sheet'!$R$7&lt;&gt;"",ISNUMBER(SEARCH($S$4,'Final Calculation Sheet'!$R$7))))),IF($T$4="",TRUE(),IF($T$4="(blank)",'Final Calculation Sheet'!$S$7="",IF($T$4="(nonblank)",'Final Calculation Sheet'!$S$7&lt;&gt;"",ISNUMBER(SEARCH($T$4,'Final Calculation Sheet'!$S$7))))),IF($U$4="",TRUE(),IF($U$4="(blank)",'Final Calculation Sheet'!$T$7="",IF($U$4="(nonblank)",'Final Calculation Sheet'!$T$7&lt;&gt;"",ISNUMBER(SEARCH($U$4,'Final Calculation Sheet'!$T$7))))),IF($V$4="",TRUE(),IF($V$4="(blank)",'Final Calculation Sheet'!$U$7="",IF($V$4="(nonblank)",'Final Calculation Sheet'!$U$7&lt;&gt;"",ISNUMBER(SEARCH($V$4,'Final Calculation Sheet'!$U$7))))),IF($W$4="",TRUE(),IF($W$4="(blank)",'Final Calculation Sheet'!$V$7="",IF($W$4="(nonblank)",'Final Calculation Sheet'!$V$7&lt;&gt;"",ISNUMBER(SEARCH($W$4,'Final Calculation Sheet'!$V$7))))),IF($X$4="",TRUE(),IF($X$4="(blank)",'Final Calculation Sheet'!$W$7="",IF($X$4="(nonblank)",'Final Calculation Sheet'!$W$7&lt;&gt;"",ISNUMBER(SEARCH($X$4,'Final Calculation Sheet'!$W$7))))),IF($Y$4="",TRUE(),IF($Y$4="(blank)",'Final Calculation Sheet'!$X$7="",IF($Y$4="(nonblank)",'Final Calculation Sheet'!$X$7&lt;&gt;"",ISNUMBER(SEARCH($Y$4,'Final Calculation Sheet'!$X$7))))),IF($Z$4="",TRUE(),IF($Z$4="(blank)",'Final Calculation Sheet'!$Y$7="",IF($Z$4="(nonblank)",'Final Calculation Sheet'!$Y$7&lt;&gt;"",ISNUMBER(SEARCH($Z$4,'Final Calculation Sheet'!$Y$7))))),IF($AA$4="",TRUE(),IF($AA$4="(blank)",'Final Calculation Sheet'!$Z$7="",IF($AA$4="(nonblank)",'Final Calculation Sheet'!$Z$7&lt;&gt;"",ISNUMBER(SEARCH($AA$4,'Final Calculation Sheet'!$Z$7))))),IF($AB$4="",TRUE(),IF($AB$4="(blank)",'Final Calculation Sheet'!$AA$7="",IF($AB$4="(nonblank)",'Final Calculation Sheet'!$AA$7&lt;&gt;"",ISNUMBER(SEARCH($AB$4,'Final Calculation Sheet'!$AA$7))))),IF($AC$4="",TRUE(),IF($AC$4="(blank)",'Final Calculation Sheet'!$AB$7="",IF($AC$4="(nonblank)",'Final Calculation Sheet'!$AB$7&lt;&gt;"",ISNUMBER(SEARCH($AC$4,'Final Calculation Sheet'!$AB$7))))),IF($AD$4="",TRUE(),IF($AD$4="(blank)",'Final Calculation Sheet'!$AC$7="",IF($AD$4="(nonblank)",'Final Calculation Sheet'!$AC$7&lt;&gt;"",ISNUMBER(SEARCH($AD$4,'Final Calculation Sheet'!$AC$7))))),IF($AE$4="",TRUE(),IF($AE$4="(blank)",'Final Calculation Sheet'!$AD$7="",IF($AE$4="(nonblank)",'Final Calculation Sheet'!$AD$7&lt;&gt;"",ISNUMBER(SEARCH($AE$4,'Final Calculation Sheet'!$AD$7))))),IF($AG$4="",TRUE(),IF($AG$4="(blank)",'Final Calculation Sheet'!$AF$7="",IF($AG$4="(nonblank)",'Final Calculation Sheet'!$AF$7&lt;&gt;"",ISNUMBER(SEARCH($AG$4,'Final Calculation Sheet'!$AF$7))))),IF($AH$4="",TRUE(),IF($AH$4="(blank)",'Final Calculation Sheet'!$AG$7="",IF($AH$4="(nonblank)",'Final Calculation Sheet'!$AG$7&lt;&gt;"",ISNUMBER(SEARCH($AH$4,'Final Calculation Sheet'!$AG$7))))),IF($AI$4="",TRUE(),IF($AI$4="(blank)",'Final Calculation Sheet'!$AH$7="",IF($AI$4="(nonblank)",'Final Calculation Sheet'!$AH$7&lt;&gt;"",ISNUMBER(SEARCH($AI$4,'Final Calculation Sheet'!$AH$7))))),IF($AF$4="",TRUE(),IF($AF$4="(blank)",IF('Final Calculation Sheet'!$AD$7&lt;=5,"SETTLED","OUTSTANDING")="",IF($AF$4="(nonblank)",IF('Final Calculation Sheet'!$AD$7&lt;=5,"SETTLED","OUTSTANDING")&lt;&gt;"",ISNUMBER(SEARCH($AF$4,IF('Final Calculation Sheet'!$AD$7&lt;=5,"SETTLED","OUTSTANDING"))))))),1,0)</f>
      </c>
      <c r="AK10">
        <f>IF(AJ10=1,COUNTIF(AJ$7:AJ10,1),"")</f>
        <v/>
      </c>
    </row>
    <row r="11" ht="15" customHeight="1" s="137">
      <c r="A11" s="81" t="inlineStr">
        <is>
          <t>∑</t>
        </is>
      </c>
      <c r="B11" s="83" t="n"/>
      <c r="C11" s="83">
        <f>ROWS($C$9:$C$10)&amp;" lot(s)"</f>
        <v/>
      </c>
      <c r="D11" s="83" t="inlineStr">
        <is>
          <t>SUBTOTAL — F R KHANS ENTERPRISES</t>
        </is>
      </c>
      <c r="E11" s="83" t="inlineStr">
        <is>
          <t>–</t>
        </is>
      </c>
      <c r="F11" s="83">
        <f>SUM(F9:F10)</f>
        <v/>
      </c>
      <c r="G11" s="83" t="inlineStr">
        <is>
          <t>–</t>
        </is>
      </c>
      <c r="H11" s="84" t="inlineStr">
        <is>
          <t>–</t>
        </is>
      </c>
      <c r="I11" s="84">
        <f>SUM(I9:I10)</f>
        <v/>
      </c>
      <c r="J11" s="84">
        <f>SUM(J9:J10)</f>
        <v/>
      </c>
      <c r="K11" s="84">
        <f>SUM(K9:K10)</f>
        <v/>
      </c>
      <c r="L11" s="84">
        <f>SUM(L9:L10)</f>
        <v/>
      </c>
      <c r="M11" s="84">
        <f>SUM(M9:M10)</f>
        <v/>
      </c>
      <c r="N11" s="84">
        <f>SUM(N9:N10)</f>
        <v/>
      </c>
      <c r="O11" s="85">
        <f>SUM(O9:O10)</f>
        <v/>
      </c>
      <c r="P11" s="84">
        <f>SUM(P9:P10)</f>
        <v/>
      </c>
      <c r="Q11" s="84">
        <f>SUM(Q9:Q10)</f>
        <v/>
      </c>
      <c r="R11" s="86" t="inlineStr">
        <is>
          <t>–</t>
        </is>
      </c>
      <c r="S11" s="84">
        <f>SUM(S9:S10)</f>
        <v/>
      </c>
      <c r="T11" s="84">
        <f>SUM(T9:T10)</f>
        <v/>
      </c>
      <c r="U11" s="84">
        <f>SUM(U9:U10)</f>
        <v/>
      </c>
      <c r="V11" s="87">
        <f>SUM(V9:V10)</f>
        <v/>
      </c>
      <c r="W11" s="84" t="inlineStr">
        <is>
          <t>–</t>
        </is>
      </c>
      <c r="X11" s="84">
        <f>SUM(X9:X10)</f>
        <v/>
      </c>
      <c r="Y11" s="84">
        <f>SUM(Y9:Y10)</f>
        <v/>
      </c>
      <c r="Z11" s="84" t="inlineStr">
        <is>
          <t>–</t>
        </is>
      </c>
      <c r="AA11" s="84">
        <f>SUM(AA9:AA10)</f>
        <v/>
      </c>
      <c r="AB11" s="84">
        <f>SUM(AB9:AB10)</f>
        <v/>
      </c>
      <c r="AC11" s="84" t="inlineStr">
        <is>
          <t>–</t>
        </is>
      </c>
      <c r="AD11" s="84">
        <f>SUM(AD9:AD10)</f>
        <v/>
      </c>
      <c r="AE11" s="84">
        <f>SUM(AE9:AE10)</f>
        <v/>
      </c>
      <c r="AF11" s="89">
        <f>IF(AE11&lt;=5,"SETTLED","OUTSTANDING")</f>
        <v/>
      </c>
      <c r="AG11" s="84" t="inlineStr">
        <is>
          <t>–</t>
        </is>
      </c>
      <c r="AH11" s="88" t="inlineStr">
        <is>
          <t>–</t>
        </is>
      </c>
      <c r="AI11" s="84" t="inlineStr">
        <is>
          <t>–</t>
        </is>
      </c>
    </row>
    <row r="12" outlineLevel="1" ht="15" customHeight="1" s="137">
      <c r="A12" s="67" t="n">
        <v>1</v>
      </c>
      <c r="B12" s="76">
        <f>IF('Final Calculation Sheet'!$F$15="","",'Final Calculation Sheet'!$F$15)</f>
        <v/>
      </c>
      <c r="C12" s="76">
        <f>IF('Final Calculation Sheet'!$G$15="","",'Final Calculation Sheet'!$G$15)</f>
        <v/>
      </c>
      <c r="D12" s="80">
        <f>IF('Final Calculation Sheet'!$B$15="","",'Final Calculation Sheet'!$B$15)</f>
        <v/>
      </c>
      <c r="E12" s="80">
        <f>IF('Final Calculation Sheet'!$D$15="","",'Final Calculation Sheet'!$D$15)</f>
        <v/>
      </c>
      <c r="F12" s="80">
        <f>IF('Final Calculation Sheet'!$A$15="","",'Final Calculation Sheet'!$A$15)</f>
        <v/>
      </c>
      <c r="G12" s="80">
        <f>IF('Final Calculation Sheet'!$E$15="","",'Final Calculation Sheet'!$E$15)</f>
        <v/>
      </c>
      <c r="H12" s="70">
        <f>IF('Final Calculation Sheet'!$C$15="","",'Final Calculation Sheet'!$C$15)</f>
        <v/>
      </c>
      <c r="I12" s="70">
        <f>IF('Final Calculation Sheet'!$H$15="","",'Final Calculation Sheet'!$H$15)</f>
        <v/>
      </c>
      <c r="J12" s="70">
        <f>IF('Final Calculation Sheet'!$I$15="","",'Final Calculation Sheet'!$I$15)</f>
        <v/>
      </c>
      <c r="K12" s="70">
        <f>IF('Final Calculation Sheet'!$J$15="","",'Final Calculation Sheet'!$J$15)</f>
        <v/>
      </c>
      <c r="L12" s="70">
        <f>IF('Final Calculation Sheet'!$K$15="","",'Final Calculation Sheet'!$K$15)</f>
        <v/>
      </c>
      <c r="M12" s="70">
        <f>IF('Final Calculation Sheet'!$L$15="","",'Final Calculation Sheet'!$L$15)</f>
        <v/>
      </c>
      <c r="N12" s="70">
        <f>IF('Final Calculation Sheet'!$M$15="","",'Final Calculation Sheet'!$M$15)</f>
        <v/>
      </c>
      <c r="O12" s="71">
        <f>IF('Final Calculation Sheet'!$N$15="","",'Final Calculation Sheet'!$N$15)</f>
        <v/>
      </c>
      <c r="P12" s="70">
        <f>IF('Final Calculation Sheet'!$O$15="","",'Final Calculation Sheet'!$O$15)</f>
        <v/>
      </c>
      <c r="Q12" s="70">
        <f>IF('Final Calculation Sheet'!$P$15="","",'Final Calculation Sheet'!$P$15)</f>
        <v/>
      </c>
      <c r="R12" s="72">
        <f>IF('Final Calculation Sheet'!$Q$15="","",'Final Calculation Sheet'!$Q$15)</f>
        <v/>
      </c>
      <c r="S12" s="70">
        <f>IF('Final Calculation Sheet'!$R$15="","",'Final Calculation Sheet'!$R$15)</f>
        <v/>
      </c>
      <c r="T12" s="70">
        <f>IF('Final Calculation Sheet'!$S$15="","",'Final Calculation Sheet'!$S$15)</f>
        <v/>
      </c>
      <c r="U12" s="70">
        <f>IF('Final Calculation Sheet'!$T$15="","",'Final Calculation Sheet'!$T$15)</f>
        <v/>
      </c>
      <c r="V12" s="73">
        <f>IF('Final Calculation Sheet'!$U$15="","",'Final Calculation Sheet'!$U$15)</f>
        <v/>
      </c>
      <c r="W12" s="70">
        <f>IF('Final Calculation Sheet'!$V$15="","",'Final Calculation Sheet'!$V$15)</f>
        <v/>
      </c>
      <c r="X12" s="70">
        <f>IF('Final Calculation Sheet'!$W$15="","",'Final Calculation Sheet'!$W$15)</f>
        <v/>
      </c>
      <c r="Y12" s="70">
        <f>IF('Final Calculation Sheet'!$X$15="","",'Final Calculation Sheet'!$X$15)</f>
        <v/>
      </c>
      <c r="Z12" s="70">
        <f>IF('Final Calculation Sheet'!$Y$15="","",'Final Calculation Sheet'!$Y$15)</f>
        <v/>
      </c>
      <c r="AA12" s="70">
        <f>IF('Final Calculation Sheet'!$Z$15="","",'Final Calculation Sheet'!$Z$15)</f>
        <v/>
      </c>
      <c r="AB12" s="70">
        <f>IF('Final Calculation Sheet'!$AA$15="","",'Final Calculation Sheet'!$AA$15)</f>
        <v/>
      </c>
      <c r="AC12" s="70">
        <f>IF('Final Calculation Sheet'!$AB$15="","",'Final Calculation Sheet'!$AB$15)</f>
        <v/>
      </c>
      <c r="AD12" s="70">
        <f>IF('Final Calculation Sheet'!$AC$15="","",'Final Calculation Sheet'!$AC$15)</f>
        <v/>
      </c>
      <c r="AE12" s="70">
        <f>IF('Final Calculation Sheet'!$AD$15="","",'Final Calculation Sheet'!$AD$15)</f>
        <v/>
      </c>
      <c r="AF12" s="75">
        <f>IF('Final Calculation Sheet'!$AD$15="","",IF('Final Calculation Sheet'!$AD$15&lt;=5,"SETTLED","OUTSTANDING"))</f>
        <v/>
      </c>
      <c r="AG12" s="70">
        <f>IF('Final Calculation Sheet'!$AF$15="","",'Final Calculation Sheet'!$AF$15)</f>
        <v/>
      </c>
      <c r="AH12" s="74">
        <f>IF('Final Calculation Sheet'!$AG$15="","",'Final Calculation Sheet'!$AG$15)</f>
        <v/>
      </c>
      <c r="AI12" s="70">
        <f>IF('Final Calculation Sheet'!$AH$15="","",'Final Calculation Sheet'!$AH$15)</f>
        <v/>
      </c>
      <c r="AJ12">
        <f>IF(AND(IF($B$4="",TRUE(),IF($B$4="(blank)",'Final Calculation Sheet'!$F$15="",IF($B$4="(nonblank)",'Final Calculation Sheet'!$F$15&lt;&gt;"",ISNUMBER(SEARCH($B$4,'Final Calculation Sheet'!$F$15))))),IF($C$4="",TRUE(),IF($C$4="(blank)",'Final Calculation Sheet'!$G$15="",IF($C$4="(nonblank)",'Final Calculation Sheet'!$G$15&lt;&gt;"",ISNUMBER(SEARCH($C$4,'Final Calculation Sheet'!$G$15))))),IF($D$4="",TRUE(),IF($D$4="(blank)",'Final Calculation Sheet'!$B$15="",IF($D$4="(nonblank)",'Final Calculation Sheet'!$B$15&lt;&gt;"",ISNUMBER(SEARCH($D$4,'Final Calculation Sheet'!$B$15))))),IF($E$4="",TRUE(),IF($E$4="(blank)",'Final Calculation Sheet'!$D$15="",IF($E$4="(nonblank)",'Final Calculation Sheet'!$D$15&lt;&gt;"",ISNUMBER(SEARCH($E$4,'Final Calculation Sheet'!$D$15))))),IF($F$4="",TRUE(),IF($F$4="(blank)",'Final Calculation Sheet'!$A$15="",IF($F$4="(nonblank)",'Final Calculation Sheet'!$A$15&lt;&gt;"",ISNUMBER(SEARCH($F$4,'Final Calculation Sheet'!$A$15))))),IF($G$4="",TRUE(),IF($G$4="(blank)",'Final Calculation Sheet'!$E$15="",IF($G$4="(nonblank)",'Final Calculation Sheet'!$E$15&lt;&gt;"",ISNUMBER(SEARCH($G$4,'Final Calculation Sheet'!$E$15))))),IF($H$4="",TRUE(),IF($H$4="(blank)",'Final Calculation Sheet'!$C$15="",IF($H$4="(nonblank)",'Final Calculation Sheet'!$C$15&lt;&gt;"",ISNUMBER(SEARCH($H$4,'Final Calculation Sheet'!$C$15))))),IF($I$4="",TRUE(),IF($I$4="(blank)",'Final Calculation Sheet'!$H$15="",IF($I$4="(nonblank)",'Final Calculation Sheet'!$H$15&lt;&gt;"",ISNUMBER(SEARCH($I$4,'Final Calculation Sheet'!$H$15))))),IF($J$4="",TRUE(),IF($J$4="(blank)",'Final Calculation Sheet'!$I$15="",IF($J$4="(nonblank)",'Final Calculation Sheet'!$I$15&lt;&gt;"",ISNUMBER(SEARCH($J$4,'Final Calculation Sheet'!$I$15))))),IF($K$4="",TRUE(),IF($K$4="(blank)",'Final Calculation Sheet'!$J$15="",IF($K$4="(nonblank)",'Final Calculation Sheet'!$J$15&lt;&gt;"",ISNUMBER(SEARCH($K$4,'Final Calculation Sheet'!$J$15))))),IF($L$4="",TRUE(),IF($L$4="(blank)",'Final Calculation Sheet'!$K$15="",IF($L$4="(nonblank)",'Final Calculation Sheet'!$K$15&lt;&gt;"",ISNUMBER(SEARCH($L$4,'Final Calculation Sheet'!$K$15))))),IF($M$4="",TRUE(),IF($M$4="(blank)",'Final Calculation Sheet'!$L$15="",IF($M$4="(nonblank)",'Final Calculation Sheet'!$L$15&lt;&gt;"",ISNUMBER(SEARCH($M$4,'Final Calculation Sheet'!$L$15))))),IF($N$4="",TRUE(),IF($N$4="(blank)",'Final Calculation Sheet'!$M$15="",IF($N$4="(nonblank)",'Final Calculation Sheet'!$M$15&lt;&gt;"",ISNUMBER(SEARCH($N$4,'Final Calculation Sheet'!$M$15))))),IF($O$4="",TRUE(),IF($O$4="(blank)",'Final Calculation Sheet'!$N$15="",IF($O$4="(nonblank)",'Final Calculation Sheet'!$N$15&lt;&gt;"",ISNUMBER(SEARCH($O$4,'Final Calculation Sheet'!$N$15))))),IF($P$4="",TRUE(),IF($P$4="(blank)",'Final Calculation Sheet'!$O$15="",IF($P$4="(nonblank)",'Final Calculation Sheet'!$O$15&lt;&gt;"",ISNUMBER(SEARCH($P$4,'Final Calculation Sheet'!$O$15))))),IF($Q$4="",TRUE(),IF($Q$4="(blank)",'Final Calculation Sheet'!$P$15="",IF($Q$4="(nonblank)",'Final Calculation Sheet'!$P$15&lt;&gt;"",ISNUMBER(SEARCH($Q$4,'Final Calculation Sheet'!$P$15))))),IF($R$4="",TRUE(),IF($R$4="(blank)",'Final Calculation Sheet'!$Q$15="",IF($R$4="(nonblank)",'Final Calculation Sheet'!$Q$15&lt;&gt;"",ISNUMBER(SEARCH($R$4,'Final Calculation Sheet'!$Q$15))))),IF($S$4="",TRUE(),IF($S$4="(blank)",'Final Calculation Sheet'!$R$15="",IF($S$4="(nonblank)",'Final Calculation Sheet'!$R$15&lt;&gt;"",ISNUMBER(SEARCH($S$4,'Final Calculation Sheet'!$R$15))))),IF($T$4="",TRUE(),IF($T$4="(blank)",'Final Calculation Sheet'!$S$15="",IF($T$4="(nonblank)",'Final Calculation Sheet'!$S$15&lt;&gt;"",ISNUMBER(SEARCH($T$4,'Final Calculation Sheet'!$S$15))))),IF($U$4="",TRUE(),IF($U$4="(blank)",'Final Calculation Sheet'!$T$15="",IF($U$4="(nonblank)",'Final Calculation Sheet'!$T$15&lt;&gt;"",ISNUMBER(SEARCH($U$4,'Final Calculation Sheet'!$T$15))))),IF($V$4="",TRUE(),IF($V$4="(blank)",'Final Calculation Sheet'!$U$15="",IF($V$4="(nonblank)",'Final Calculation Sheet'!$U$15&lt;&gt;"",ISNUMBER(SEARCH($V$4,'Final Calculation Sheet'!$U$15))))),IF($W$4="",TRUE(),IF($W$4="(blank)",'Final Calculation Sheet'!$V$15="",IF($W$4="(nonblank)",'Final Calculation Sheet'!$V$15&lt;&gt;"",ISNUMBER(SEARCH($W$4,'Final Calculation Sheet'!$V$15))))),IF($X$4="",TRUE(),IF($X$4="(blank)",'Final Calculation Sheet'!$W$15="",IF($X$4="(nonblank)",'Final Calculation Sheet'!$W$15&lt;&gt;"",ISNUMBER(SEARCH($X$4,'Final Calculation Sheet'!$W$15))))),IF($Y$4="",TRUE(),IF($Y$4="(blank)",'Final Calculation Sheet'!$X$15="",IF($Y$4="(nonblank)",'Final Calculation Sheet'!$X$15&lt;&gt;"",ISNUMBER(SEARCH($Y$4,'Final Calculation Sheet'!$X$15))))),IF($Z$4="",TRUE(),IF($Z$4="(blank)",'Final Calculation Sheet'!$Y$15="",IF($Z$4="(nonblank)",'Final Calculation Sheet'!$Y$15&lt;&gt;"",ISNUMBER(SEARCH($Z$4,'Final Calculation Sheet'!$Y$15))))),IF($AA$4="",TRUE(),IF($AA$4="(blank)",'Final Calculation Sheet'!$Z$15="",IF($AA$4="(nonblank)",'Final Calculation Sheet'!$Z$15&lt;&gt;"",ISNUMBER(SEARCH($AA$4,'Final Calculation Sheet'!$Z$15))))),IF($AB$4="",TRUE(),IF($AB$4="(blank)",'Final Calculation Sheet'!$AA$15="",IF($AB$4="(nonblank)",'Final Calculation Sheet'!$AA$15&lt;&gt;"",ISNUMBER(SEARCH($AB$4,'Final Calculation Sheet'!$AA$15))))),IF($AC$4="",TRUE(),IF($AC$4="(blank)",'Final Calculation Sheet'!$AB$15="",IF($AC$4="(nonblank)",'Final Calculation Sheet'!$AB$15&lt;&gt;"",ISNUMBER(SEARCH($AC$4,'Final Calculation Sheet'!$AB$15))))),IF($AD$4="",TRUE(),IF($AD$4="(blank)",'Final Calculation Sheet'!$AC$15="",IF($AD$4="(nonblank)",'Final Calculation Sheet'!$AC$15&lt;&gt;"",ISNUMBER(SEARCH($AD$4,'Final Calculation Sheet'!$AC$15))))),IF($AE$4="",TRUE(),IF($AE$4="(blank)",'Final Calculation Sheet'!$AD$15="",IF($AE$4="(nonblank)",'Final Calculation Sheet'!$AD$15&lt;&gt;"",ISNUMBER(SEARCH($AE$4,'Final Calculation Sheet'!$AD$15))))),IF($AG$4="",TRUE(),IF($AG$4="(blank)",'Final Calculation Sheet'!$AF$15="",IF($AG$4="(nonblank)",'Final Calculation Sheet'!$AF$15&lt;&gt;"",ISNUMBER(SEARCH($AG$4,'Final Calculation Sheet'!$AF$15))))),IF($AH$4="",TRUE(),IF($AH$4="(blank)",'Final Calculation Sheet'!$AG$15="",IF($AH$4="(nonblank)",'Final Calculation Sheet'!$AG$15&lt;&gt;"",ISNUMBER(SEARCH($AH$4,'Final Calculation Sheet'!$AG$15))))),IF($AI$4="",TRUE(),IF($AI$4="(blank)",'Final Calculation Sheet'!$AH$15="",IF($AI$4="(nonblank)",'Final Calculation Sheet'!$AH$15&lt;&gt;"",ISNUMBER(SEARCH($AI$4,'Final Calculation Sheet'!$AH$15))))),IF($AF$4="",TRUE(),IF($AF$4="(blank)",IF('Final Calculation Sheet'!$AD$15&lt;=5,"SETTLED","OUTSTANDING")="",IF($AF$4="(nonblank)",IF('Final Calculation Sheet'!$AD$15&lt;=5,"SETTLED","OUTSTANDING")&lt;&gt;"",ISNUMBER(SEARCH($AF$4,IF('Final Calculation Sheet'!$AD$15&lt;=5,"SETTLED","OUTSTANDING"))))))),1,0)</f>
      </c>
      <c r="AK12">
        <f>IF(AJ12=1,COUNTIF(AJ$7:AJ12,1),"")</f>
        <v/>
      </c>
    </row>
    <row r="13" ht="15" customHeight="1" s="137">
      <c r="A13" s="81" t="inlineStr">
        <is>
          <t>∑</t>
        </is>
      </c>
      <c r="B13" s="83" t="n"/>
      <c r="C13" s="83">
        <f>ROWS($C$12:$C$12)&amp;" lot(s)"</f>
        <v/>
      </c>
      <c r="D13" s="83" t="inlineStr">
        <is>
          <t>SUBTOTAL — HIND TRADERS</t>
        </is>
      </c>
      <c r="E13" s="83" t="inlineStr">
        <is>
          <t>–</t>
        </is>
      </c>
      <c r="F13" s="83">
        <f>SUM(F12:F12)</f>
        <v/>
      </c>
      <c r="G13" s="83" t="inlineStr">
        <is>
          <t>–</t>
        </is>
      </c>
      <c r="H13" s="84" t="inlineStr">
        <is>
          <t>–</t>
        </is>
      </c>
      <c r="I13" s="84">
        <f>SUM(I12:I12)</f>
        <v/>
      </c>
      <c r="J13" s="84">
        <f>SUM(J12:J12)</f>
        <v/>
      </c>
      <c r="K13" s="84">
        <f>SUM(K12:K12)</f>
        <v/>
      </c>
      <c r="L13" s="84">
        <f>SUM(L12:L12)</f>
        <v/>
      </c>
      <c r="M13" s="84">
        <f>SUM(M12:M12)</f>
        <v/>
      </c>
      <c r="N13" s="84">
        <f>SUM(N12:N12)</f>
        <v/>
      </c>
      <c r="O13" s="85">
        <f>SUM(O12:O12)</f>
        <v/>
      </c>
      <c r="P13" s="84">
        <f>SUM(P12:P12)</f>
        <v/>
      </c>
      <c r="Q13" s="84">
        <f>SUM(Q12:Q12)</f>
        <v/>
      </c>
      <c r="R13" s="86" t="inlineStr">
        <is>
          <t>–</t>
        </is>
      </c>
      <c r="S13" s="84">
        <f>SUM(S12:S12)</f>
        <v/>
      </c>
      <c r="T13" s="84">
        <f>SUM(T12:T12)</f>
        <v/>
      </c>
      <c r="U13" s="84">
        <f>SUM(U12:U12)</f>
        <v/>
      </c>
      <c r="V13" s="87">
        <f>SUM(V12:V12)</f>
        <v/>
      </c>
      <c r="W13" s="84" t="inlineStr">
        <is>
          <t>–</t>
        </is>
      </c>
      <c r="X13" s="84">
        <f>SUM(X12:X12)</f>
        <v/>
      </c>
      <c r="Y13" s="84">
        <f>SUM(Y12:Y12)</f>
        <v/>
      </c>
      <c r="Z13" s="84" t="inlineStr">
        <is>
          <t>–</t>
        </is>
      </c>
      <c r="AA13" s="84">
        <f>SUM(AA12:AA12)</f>
        <v/>
      </c>
      <c r="AB13" s="84">
        <f>SUM(AB12:AB12)</f>
        <v/>
      </c>
      <c r="AC13" s="84" t="inlineStr">
        <is>
          <t>–</t>
        </is>
      </c>
      <c r="AD13" s="84">
        <f>SUM(AD12:AD12)</f>
        <v/>
      </c>
      <c r="AE13" s="84">
        <f>SUM(AE12:AE12)</f>
        <v/>
      </c>
      <c r="AF13" s="89">
        <f>IF(AE13&lt;=5,"SETTLED","OUTSTANDING")</f>
        <v/>
      </c>
      <c r="AG13" s="84" t="inlineStr">
        <is>
          <t>–</t>
        </is>
      </c>
      <c r="AH13" s="88" t="inlineStr">
        <is>
          <t>–</t>
        </is>
      </c>
      <c r="AI13" s="84" t="inlineStr">
        <is>
          <t>–</t>
        </is>
      </c>
    </row>
    <row r="14" outlineLevel="1" ht="15" customHeight="1" s="137">
      <c r="A14" s="67" t="n">
        <v>1</v>
      </c>
      <c r="B14" s="76">
        <f>IF('Final Calculation Sheet'!$F$38="","",'Final Calculation Sheet'!$F$38)</f>
        <v/>
      </c>
      <c r="C14" s="76">
        <f>IF('Final Calculation Sheet'!$G$38="","",'Final Calculation Sheet'!$G$38)</f>
        <v/>
      </c>
      <c r="D14" s="80">
        <f>IF('Final Calculation Sheet'!$B$38="","",'Final Calculation Sheet'!$B$38)</f>
        <v/>
      </c>
      <c r="E14" s="80">
        <f>IF('Final Calculation Sheet'!$D$38="","",'Final Calculation Sheet'!$D$38)</f>
        <v/>
      </c>
      <c r="F14" s="80">
        <f>IF('Final Calculation Sheet'!$A$38="","",'Final Calculation Sheet'!$A$38)</f>
        <v/>
      </c>
      <c r="G14" s="80">
        <f>IF('Final Calculation Sheet'!$E$38="","",'Final Calculation Sheet'!$E$38)</f>
        <v/>
      </c>
      <c r="H14" s="70">
        <f>IF('Final Calculation Sheet'!$C$38="","",'Final Calculation Sheet'!$C$38)</f>
        <v/>
      </c>
      <c r="I14" s="70">
        <f>IF('Final Calculation Sheet'!$H$38="","",'Final Calculation Sheet'!$H$38)</f>
        <v/>
      </c>
      <c r="J14" s="70">
        <f>IF('Final Calculation Sheet'!$I$38="","",'Final Calculation Sheet'!$I$38)</f>
        <v/>
      </c>
      <c r="K14" s="70">
        <f>IF('Final Calculation Sheet'!$J$38="","",'Final Calculation Sheet'!$J$38)</f>
        <v/>
      </c>
      <c r="L14" s="70">
        <f>IF('Final Calculation Sheet'!$K$38="","",'Final Calculation Sheet'!$K$38)</f>
        <v/>
      </c>
      <c r="M14" s="70">
        <f>IF('Final Calculation Sheet'!$L$38="","",'Final Calculation Sheet'!$L$38)</f>
        <v/>
      </c>
      <c r="N14" s="70">
        <f>IF('Final Calculation Sheet'!$M$38="","",'Final Calculation Sheet'!$M$38)</f>
        <v/>
      </c>
      <c r="O14" s="71">
        <f>IF('Final Calculation Sheet'!$N$38="","",'Final Calculation Sheet'!$N$38)</f>
        <v/>
      </c>
      <c r="P14" s="70">
        <f>IF('Final Calculation Sheet'!$O$38="","",'Final Calculation Sheet'!$O$38)</f>
        <v/>
      </c>
      <c r="Q14" s="70">
        <f>IF('Final Calculation Sheet'!$P$38="","",'Final Calculation Sheet'!$P$38)</f>
        <v/>
      </c>
      <c r="R14" s="72">
        <f>IF('Final Calculation Sheet'!$Q$38="","",'Final Calculation Sheet'!$Q$38)</f>
        <v/>
      </c>
      <c r="S14" s="70">
        <f>IF('Final Calculation Sheet'!$R$38="","",'Final Calculation Sheet'!$R$38)</f>
        <v/>
      </c>
      <c r="T14" s="70">
        <f>IF('Final Calculation Sheet'!$S$38="","",'Final Calculation Sheet'!$S$38)</f>
        <v/>
      </c>
      <c r="U14" s="70">
        <f>IF('Final Calculation Sheet'!$T$38="","",'Final Calculation Sheet'!$T$38)</f>
        <v/>
      </c>
      <c r="V14" s="73">
        <f>IF('Final Calculation Sheet'!$U$38="","",'Final Calculation Sheet'!$U$38)</f>
        <v/>
      </c>
      <c r="W14" s="70">
        <f>IF('Final Calculation Sheet'!$V$38="","",'Final Calculation Sheet'!$V$38)</f>
        <v/>
      </c>
      <c r="X14" s="70">
        <f>IF('Final Calculation Sheet'!$W$38="","",'Final Calculation Sheet'!$W$38)</f>
        <v/>
      </c>
      <c r="Y14" s="70">
        <f>IF('Final Calculation Sheet'!$X$38="","",'Final Calculation Sheet'!$X$38)</f>
        <v/>
      </c>
      <c r="Z14" s="70">
        <f>IF('Final Calculation Sheet'!$Y$38="","",'Final Calculation Sheet'!$Y$38)</f>
        <v/>
      </c>
      <c r="AA14" s="70">
        <f>IF('Final Calculation Sheet'!$Z$38="","",'Final Calculation Sheet'!$Z$38)</f>
        <v/>
      </c>
      <c r="AB14" s="70">
        <f>IF('Final Calculation Sheet'!$AA$38="","",'Final Calculation Sheet'!$AA$38)</f>
        <v/>
      </c>
      <c r="AC14" s="70">
        <f>IF('Final Calculation Sheet'!$AB$38="","",'Final Calculation Sheet'!$AB$38)</f>
        <v/>
      </c>
      <c r="AD14" s="70">
        <f>IF('Final Calculation Sheet'!$AC$38="","",'Final Calculation Sheet'!$AC$38)</f>
        <v/>
      </c>
      <c r="AE14" s="70">
        <f>IF('Final Calculation Sheet'!$AD$38="","",'Final Calculation Sheet'!$AD$38)</f>
        <v/>
      </c>
      <c r="AF14" s="75">
        <f>IF('Final Calculation Sheet'!$AD$38="","",IF('Final Calculation Sheet'!$AD$38&lt;=5,"SETTLED","OUTSTANDING"))</f>
        <v/>
      </c>
      <c r="AG14" s="70">
        <f>IF('Final Calculation Sheet'!$AF$38="","",'Final Calculation Sheet'!$AF$38)</f>
        <v/>
      </c>
      <c r="AH14" s="74">
        <f>IF('Final Calculation Sheet'!$AG$38="","",'Final Calculation Sheet'!$AG$38)</f>
        <v/>
      </c>
      <c r="AI14" s="70">
        <f>IF('Final Calculation Sheet'!$AH$38="","",'Final Calculation Sheet'!$AH$38)</f>
        <v/>
      </c>
      <c r="AJ14">
        <f>IF(AND(IF($B$4="",TRUE(),IF($B$4="(blank)",'Final Calculation Sheet'!$F$38="",IF($B$4="(nonblank)",'Final Calculation Sheet'!$F$38&lt;&gt;"",ISNUMBER(SEARCH($B$4,'Final Calculation Sheet'!$F$38))))),IF($C$4="",TRUE(),IF($C$4="(blank)",'Final Calculation Sheet'!$G$38="",IF($C$4="(nonblank)",'Final Calculation Sheet'!$G$38&lt;&gt;"",ISNUMBER(SEARCH($C$4,'Final Calculation Sheet'!$G$38))))),IF($D$4="",TRUE(),IF($D$4="(blank)",'Final Calculation Sheet'!$B$38="",IF($D$4="(nonblank)",'Final Calculation Sheet'!$B$38&lt;&gt;"",ISNUMBER(SEARCH($D$4,'Final Calculation Sheet'!$B$38))))),IF($E$4="",TRUE(),IF($E$4="(blank)",'Final Calculation Sheet'!$D$38="",IF($E$4="(nonblank)",'Final Calculation Sheet'!$D$38&lt;&gt;"",ISNUMBER(SEARCH($E$4,'Final Calculation Sheet'!$D$38))))),IF($F$4="",TRUE(),IF($F$4="(blank)",'Final Calculation Sheet'!$A$38="",IF($F$4="(nonblank)",'Final Calculation Sheet'!$A$38&lt;&gt;"",ISNUMBER(SEARCH($F$4,'Final Calculation Sheet'!$A$38))))),IF($G$4="",TRUE(),IF($G$4="(blank)",'Final Calculation Sheet'!$E$38="",IF($G$4="(nonblank)",'Final Calculation Sheet'!$E$38&lt;&gt;"",ISNUMBER(SEARCH($G$4,'Final Calculation Sheet'!$E$38))))),IF($H$4="",TRUE(),IF($H$4="(blank)",'Final Calculation Sheet'!$C$38="",IF($H$4="(nonblank)",'Final Calculation Sheet'!$C$38&lt;&gt;"",ISNUMBER(SEARCH($H$4,'Final Calculation Sheet'!$C$38))))),IF($I$4="",TRUE(),IF($I$4="(blank)",'Final Calculation Sheet'!$H$38="",IF($I$4="(nonblank)",'Final Calculation Sheet'!$H$38&lt;&gt;"",ISNUMBER(SEARCH($I$4,'Final Calculation Sheet'!$H$38))))),IF($J$4="",TRUE(),IF($J$4="(blank)",'Final Calculation Sheet'!$I$38="",IF($J$4="(nonblank)",'Final Calculation Sheet'!$I$38&lt;&gt;"",ISNUMBER(SEARCH($J$4,'Final Calculation Sheet'!$I$38))))),IF($K$4="",TRUE(),IF($K$4="(blank)",'Final Calculation Sheet'!$J$38="",IF($K$4="(nonblank)",'Final Calculation Sheet'!$J$38&lt;&gt;"",ISNUMBER(SEARCH($K$4,'Final Calculation Sheet'!$J$38))))),IF($L$4="",TRUE(),IF($L$4="(blank)",'Final Calculation Sheet'!$K$38="",IF($L$4="(nonblank)",'Final Calculation Sheet'!$K$38&lt;&gt;"",ISNUMBER(SEARCH($L$4,'Final Calculation Sheet'!$K$38))))),IF($M$4="",TRUE(),IF($M$4="(blank)",'Final Calculation Sheet'!$L$38="",IF($M$4="(nonblank)",'Final Calculation Sheet'!$L$38&lt;&gt;"",ISNUMBER(SEARCH($M$4,'Final Calculation Sheet'!$L$38))))),IF($N$4="",TRUE(),IF($N$4="(blank)",'Final Calculation Sheet'!$M$38="",IF($N$4="(nonblank)",'Final Calculation Sheet'!$M$38&lt;&gt;"",ISNUMBER(SEARCH($N$4,'Final Calculation Sheet'!$M$38))))),IF($O$4="",TRUE(),IF($O$4="(blank)",'Final Calculation Sheet'!$N$38="",IF($O$4="(nonblank)",'Final Calculation Sheet'!$N$38&lt;&gt;"",ISNUMBER(SEARCH($O$4,'Final Calculation Sheet'!$N$38))))),IF($P$4="",TRUE(),IF($P$4="(blank)",'Final Calculation Sheet'!$O$38="",IF($P$4="(nonblank)",'Final Calculation Sheet'!$O$38&lt;&gt;"",ISNUMBER(SEARCH($P$4,'Final Calculation Sheet'!$O$38))))),IF($Q$4="",TRUE(),IF($Q$4="(blank)",'Final Calculation Sheet'!$P$38="",IF($Q$4="(nonblank)",'Final Calculation Sheet'!$P$38&lt;&gt;"",ISNUMBER(SEARCH($Q$4,'Final Calculation Sheet'!$P$38))))),IF($R$4="",TRUE(),IF($R$4="(blank)",'Final Calculation Sheet'!$Q$38="",IF($R$4="(nonblank)",'Final Calculation Sheet'!$Q$38&lt;&gt;"",ISNUMBER(SEARCH($R$4,'Final Calculation Sheet'!$Q$38))))),IF($S$4="",TRUE(),IF($S$4="(blank)",'Final Calculation Sheet'!$R$38="",IF($S$4="(nonblank)",'Final Calculation Sheet'!$R$38&lt;&gt;"",ISNUMBER(SEARCH($S$4,'Final Calculation Sheet'!$R$38))))),IF($T$4="",TRUE(),IF($T$4="(blank)",'Final Calculation Sheet'!$S$38="",IF($T$4="(nonblank)",'Final Calculation Sheet'!$S$38&lt;&gt;"",ISNUMBER(SEARCH($T$4,'Final Calculation Sheet'!$S$38))))),IF($U$4="",TRUE(),IF($U$4="(blank)",'Final Calculation Sheet'!$T$38="",IF($U$4="(nonblank)",'Final Calculation Sheet'!$T$38&lt;&gt;"",ISNUMBER(SEARCH($U$4,'Final Calculation Sheet'!$T$38))))),IF($V$4="",TRUE(),IF($V$4="(blank)",'Final Calculation Sheet'!$U$38="",IF($V$4="(nonblank)",'Final Calculation Sheet'!$U$38&lt;&gt;"",ISNUMBER(SEARCH($V$4,'Final Calculation Sheet'!$U$38))))),IF($W$4="",TRUE(),IF($W$4="(blank)",'Final Calculation Sheet'!$V$38="",IF($W$4="(nonblank)",'Final Calculation Sheet'!$V$38&lt;&gt;"",ISNUMBER(SEARCH($W$4,'Final Calculation Sheet'!$V$38))))),IF($X$4="",TRUE(),IF($X$4="(blank)",'Final Calculation Sheet'!$W$38="",IF($X$4="(nonblank)",'Final Calculation Sheet'!$W$38&lt;&gt;"",ISNUMBER(SEARCH($X$4,'Final Calculation Sheet'!$W$38))))),IF($Y$4="",TRUE(),IF($Y$4="(blank)",'Final Calculation Sheet'!$X$38="",IF($Y$4="(nonblank)",'Final Calculation Sheet'!$X$38&lt;&gt;"",ISNUMBER(SEARCH($Y$4,'Final Calculation Sheet'!$X$38))))),IF($Z$4="",TRUE(),IF($Z$4="(blank)",'Final Calculation Sheet'!$Y$38="",IF($Z$4="(nonblank)",'Final Calculation Sheet'!$Y$38&lt;&gt;"",ISNUMBER(SEARCH($Z$4,'Final Calculation Sheet'!$Y$38))))),IF($AA$4="",TRUE(),IF($AA$4="(blank)",'Final Calculation Sheet'!$Z$38="",IF($AA$4="(nonblank)",'Final Calculation Sheet'!$Z$38&lt;&gt;"",ISNUMBER(SEARCH($AA$4,'Final Calculation Sheet'!$Z$38))))),IF($AB$4="",TRUE(),IF($AB$4="(blank)",'Final Calculation Sheet'!$AA$38="",IF($AB$4="(nonblank)",'Final Calculation Sheet'!$AA$38&lt;&gt;"",ISNUMBER(SEARCH($AB$4,'Final Calculation Sheet'!$AA$38))))),IF($AC$4="",TRUE(),IF($AC$4="(blank)",'Final Calculation Sheet'!$AB$38="",IF($AC$4="(nonblank)",'Final Calculation Sheet'!$AB$38&lt;&gt;"",ISNUMBER(SEARCH($AC$4,'Final Calculation Sheet'!$AB$38))))),IF($AD$4="",TRUE(),IF($AD$4="(blank)",'Final Calculation Sheet'!$AC$38="",IF($AD$4="(nonblank)",'Final Calculation Sheet'!$AC$38&lt;&gt;"",ISNUMBER(SEARCH($AD$4,'Final Calculation Sheet'!$AC$38))))),IF($AE$4="",TRUE(),IF($AE$4="(blank)",'Final Calculation Sheet'!$AD$38="",IF($AE$4="(nonblank)",'Final Calculation Sheet'!$AD$38&lt;&gt;"",ISNUMBER(SEARCH($AE$4,'Final Calculation Sheet'!$AD$38))))),IF($AG$4="",TRUE(),IF($AG$4="(blank)",'Final Calculation Sheet'!$AF$38="",IF($AG$4="(nonblank)",'Final Calculation Sheet'!$AF$38&lt;&gt;"",ISNUMBER(SEARCH($AG$4,'Final Calculation Sheet'!$AF$38))))),IF($AH$4="",TRUE(),IF($AH$4="(blank)",'Final Calculation Sheet'!$AG$38="",IF($AH$4="(nonblank)",'Final Calculation Sheet'!$AG$38&lt;&gt;"",ISNUMBER(SEARCH($AH$4,'Final Calculation Sheet'!$AG$38))))),IF($AI$4="",TRUE(),IF($AI$4="(blank)",'Final Calculation Sheet'!$AH$38="",IF($AI$4="(nonblank)",'Final Calculation Sheet'!$AH$38&lt;&gt;"",ISNUMBER(SEARCH($AI$4,'Final Calculation Sheet'!$AH$38))))),IF($AF$4="",TRUE(),IF($AF$4="(blank)",IF('Final Calculation Sheet'!$AD$38&lt;=5,"SETTLED","OUTSTANDING")="",IF($AF$4="(nonblank)",IF('Final Calculation Sheet'!$AD$38&lt;=5,"SETTLED","OUTSTANDING")&lt;&gt;"",ISNUMBER(SEARCH($AF$4,IF('Final Calculation Sheet'!$AD$38&lt;=5,"SETTLED","OUTSTANDING"))))))),1,0)</f>
      </c>
      <c r="AK14">
        <f>IF(AJ14=1,COUNTIF(AJ$7:AJ14,1),"")</f>
        <v/>
      </c>
    </row>
    <row r="15" ht="15" customHeight="1" s="137">
      <c r="A15" s="81" t="inlineStr">
        <is>
          <t>∑</t>
        </is>
      </c>
      <c r="B15" s="83" t="n"/>
      <c r="C15" s="83">
        <f>ROWS($C$14:$C$14)&amp;" lot(s)"</f>
        <v/>
      </c>
      <c r="D15" s="83" t="inlineStr">
        <is>
          <t>SUBTOTAL — KASHYAP TRADING CO</t>
        </is>
      </c>
      <c r="E15" s="83" t="inlineStr">
        <is>
          <t>–</t>
        </is>
      </c>
      <c r="F15" s="83">
        <f>SUM(F14:F14)</f>
        <v/>
      </c>
      <c r="G15" s="83" t="inlineStr">
        <is>
          <t>–</t>
        </is>
      </c>
      <c r="H15" s="84" t="inlineStr">
        <is>
          <t>–</t>
        </is>
      </c>
      <c r="I15" s="84">
        <f>SUM(I14:I14)</f>
        <v/>
      </c>
      <c r="J15" s="84">
        <f>SUM(J14:J14)</f>
        <v/>
      </c>
      <c r="K15" s="84">
        <f>SUM(K14:K14)</f>
        <v/>
      </c>
      <c r="L15" s="84">
        <f>SUM(L14:L14)</f>
        <v/>
      </c>
      <c r="M15" s="84">
        <f>SUM(M14:M14)</f>
        <v/>
      </c>
      <c r="N15" s="84">
        <f>SUM(N14:N14)</f>
        <v/>
      </c>
      <c r="O15" s="85">
        <f>SUM(O14:O14)</f>
        <v/>
      </c>
      <c r="P15" s="84">
        <f>SUM(P14:P14)</f>
        <v/>
      </c>
      <c r="Q15" s="84">
        <f>SUM(Q14:Q14)</f>
        <v/>
      </c>
      <c r="R15" s="86" t="inlineStr">
        <is>
          <t>–</t>
        </is>
      </c>
      <c r="S15" s="84">
        <f>SUM(S14:S14)</f>
        <v/>
      </c>
      <c r="T15" s="84">
        <f>SUM(T14:T14)</f>
        <v/>
      </c>
      <c r="U15" s="84">
        <f>SUM(U14:U14)</f>
        <v/>
      </c>
      <c r="V15" s="87">
        <f>SUM(V14:V14)</f>
        <v/>
      </c>
      <c r="W15" s="84" t="inlineStr">
        <is>
          <t>–</t>
        </is>
      </c>
      <c r="X15" s="84">
        <f>SUM(X14:X14)</f>
        <v/>
      </c>
      <c r="Y15" s="84">
        <f>SUM(Y14:Y14)</f>
        <v/>
      </c>
      <c r="Z15" s="84" t="inlineStr">
        <is>
          <t>–</t>
        </is>
      </c>
      <c r="AA15" s="84">
        <f>SUM(AA14:AA14)</f>
        <v/>
      </c>
      <c r="AB15" s="84">
        <f>SUM(AB14:AB14)</f>
        <v/>
      </c>
      <c r="AC15" s="84" t="inlineStr">
        <is>
          <t>–</t>
        </is>
      </c>
      <c r="AD15" s="84">
        <f>SUM(AD14:AD14)</f>
        <v/>
      </c>
      <c r="AE15" s="84">
        <f>SUM(AE14:AE14)</f>
        <v/>
      </c>
      <c r="AF15" s="89">
        <f>IF(AE15&lt;=5,"SETTLED","OUTSTANDING")</f>
        <v/>
      </c>
      <c r="AG15" s="84" t="inlineStr">
        <is>
          <t>–</t>
        </is>
      </c>
      <c r="AH15" s="88" t="inlineStr">
        <is>
          <t>–</t>
        </is>
      </c>
      <c r="AI15" s="84" t="inlineStr">
        <is>
          <t>–</t>
        </is>
      </c>
    </row>
    <row r="16" outlineLevel="1" ht="15" customHeight="1" s="137">
      <c r="A16" s="67" t="n">
        <v>1</v>
      </c>
      <c r="B16" s="76">
        <f>IF('Final Calculation Sheet'!$F$27="","",'Final Calculation Sheet'!$F$27)</f>
        <v/>
      </c>
      <c r="C16" s="76">
        <f>IF('Final Calculation Sheet'!$G$27="","",'Final Calculation Sheet'!$G$27)</f>
        <v/>
      </c>
      <c r="D16" s="80">
        <f>IF('Final Calculation Sheet'!$B$27="","",'Final Calculation Sheet'!$B$27)</f>
        <v/>
      </c>
      <c r="E16" s="80">
        <f>IF('Final Calculation Sheet'!$D$27="","",'Final Calculation Sheet'!$D$27)</f>
        <v/>
      </c>
      <c r="F16" s="80">
        <f>IF('Final Calculation Sheet'!$A$27="","",'Final Calculation Sheet'!$A$27)</f>
        <v/>
      </c>
      <c r="G16" s="80">
        <f>IF('Final Calculation Sheet'!$E$27="","",'Final Calculation Sheet'!$E$27)</f>
        <v/>
      </c>
      <c r="H16" s="70">
        <f>IF('Final Calculation Sheet'!$C$27="","",'Final Calculation Sheet'!$C$27)</f>
        <v/>
      </c>
      <c r="I16" s="70">
        <f>IF('Final Calculation Sheet'!$H$27="","",'Final Calculation Sheet'!$H$27)</f>
        <v/>
      </c>
      <c r="J16" s="70">
        <f>IF('Final Calculation Sheet'!$I$27="","",'Final Calculation Sheet'!$I$27)</f>
        <v/>
      </c>
      <c r="K16" s="70">
        <f>IF('Final Calculation Sheet'!$J$27="","",'Final Calculation Sheet'!$J$27)</f>
        <v/>
      </c>
      <c r="L16" s="70">
        <f>IF('Final Calculation Sheet'!$K$27="","",'Final Calculation Sheet'!$K$27)</f>
        <v/>
      </c>
      <c r="M16" s="70">
        <f>IF('Final Calculation Sheet'!$L$27="","",'Final Calculation Sheet'!$L$27)</f>
        <v/>
      </c>
      <c r="N16" s="70">
        <f>IF('Final Calculation Sheet'!$M$27="","",'Final Calculation Sheet'!$M$27)</f>
        <v/>
      </c>
      <c r="O16" s="71">
        <f>IF('Final Calculation Sheet'!$N$27="","",'Final Calculation Sheet'!$N$27)</f>
        <v/>
      </c>
      <c r="P16" s="70">
        <f>IF('Final Calculation Sheet'!$O$27="","",'Final Calculation Sheet'!$O$27)</f>
        <v/>
      </c>
      <c r="Q16" s="70">
        <f>IF('Final Calculation Sheet'!$P$27="","",'Final Calculation Sheet'!$P$27)</f>
        <v/>
      </c>
      <c r="R16" s="72">
        <f>IF('Final Calculation Sheet'!$Q$27="","",'Final Calculation Sheet'!$Q$27)</f>
        <v/>
      </c>
      <c r="S16" s="70">
        <f>IF('Final Calculation Sheet'!$R$27="","",'Final Calculation Sheet'!$R$27)</f>
        <v/>
      </c>
      <c r="T16" s="70">
        <f>IF('Final Calculation Sheet'!$S$27="","",'Final Calculation Sheet'!$S$27)</f>
        <v/>
      </c>
      <c r="U16" s="70">
        <f>IF('Final Calculation Sheet'!$T$27="","",'Final Calculation Sheet'!$T$27)</f>
        <v/>
      </c>
      <c r="V16" s="73">
        <f>IF('Final Calculation Sheet'!$U$27="","",'Final Calculation Sheet'!$U$27)</f>
        <v/>
      </c>
      <c r="W16" s="70">
        <f>IF('Final Calculation Sheet'!$V$27="","",'Final Calculation Sheet'!$V$27)</f>
        <v/>
      </c>
      <c r="X16" s="70">
        <f>IF('Final Calculation Sheet'!$W$27="","",'Final Calculation Sheet'!$W$27)</f>
        <v/>
      </c>
      <c r="Y16" s="70">
        <f>IF('Final Calculation Sheet'!$X$27="","",'Final Calculation Sheet'!$X$27)</f>
        <v/>
      </c>
      <c r="Z16" s="70">
        <f>IF('Final Calculation Sheet'!$Y$27="","",'Final Calculation Sheet'!$Y$27)</f>
        <v/>
      </c>
      <c r="AA16" s="70">
        <f>IF('Final Calculation Sheet'!$Z$27="","",'Final Calculation Sheet'!$Z$27)</f>
        <v/>
      </c>
      <c r="AB16" s="70">
        <f>IF('Final Calculation Sheet'!$AA$27="","",'Final Calculation Sheet'!$AA$27)</f>
        <v/>
      </c>
      <c r="AC16" s="70">
        <f>IF('Final Calculation Sheet'!$AB$27="","",'Final Calculation Sheet'!$AB$27)</f>
        <v/>
      </c>
      <c r="AD16" s="70">
        <f>IF('Final Calculation Sheet'!$AC$27="","",'Final Calculation Sheet'!$AC$27)</f>
        <v/>
      </c>
      <c r="AE16" s="70">
        <f>IF('Final Calculation Sheet'!$AD$27="","",'Final Calculation Sheet'!$AD$27)</f>
        <v/>
      </c>
      <c r="AF16" s="75">
        <f>IF('Final Calculation Sheet'!$AD$27="","",IF('Final Calculation Sheet'!$AD$27&lt;=5,"SETTLED","OUTSTANDING"))</f>
        <v/>
      </c>
      <c r="AG16" s="70">
        <f>IF('Final Calculation Sheet'!$AF$27="","",'Final Calculation Sheet'!$AF$27)</f>
        <v/>
      </c>
      <c r="AH16" s="74">
        <f>IF('Final Calculation Sheet'!$AG$27="","",'Final Calculation Sheet'!$AG$27)</f>
        <v/>
      </c>
      <c r="AI16" s="70">
        <f>IF('Final Calculation Sheet'!$AH$27="","",'Final Calculation Sheet'!$AH$27)</f>
        <v/>
      </c>
      <c r="AJ16">
        <f>IF(AND(IF($B$4="",TRUE(),IF($B$4="(blank)",'Final Calculation Sheet'!$F$27="",IF($B$4="(nonblank)",'Final Calculation Sheet'!$F$27&lt;&gt;"",ISNUMBER(SEARCH($B$4,'Final Calculation Sheet'!$F$27))))),IF($C$4="",TRUE(),IF($C$4="(blank)",'Final Calculation Sheet'!$G$27="",IF($C$4="(nonblank)",'Final Calculation Sheet'!$G$27&lt;&gt;"",ISNUMBER(SEARCH($C$4,'Final Calculation Sheet'!$G$27))))),IF($D$4="",TRUE(),IF($D$4="(blank)",'Final Calculation Sheet'!$B$27="",IF($D$4="(nonblank)",'Final Calculation Sheet'!$B$27&lt;&gt;"",ISNUMBER(SEARCH($D$4,'Final Calculation Sheet'!$B$27))))),IF($E$4="",TRUE(),IF($E$4="(blank)",'Final Calculation Sheet'!$D$27="",IF($E$4="(nonblank)",'Final Calculation Sheet'!$D$27&lt;&gt;"",ISNUMBER(SEARCH($E$4,'Final Calculation Sheet'!$D$27))))),IF($F$4="",TRUE(),IF($F$4="(blank)",'Final Calculation Sheet'!$A$27="",IF($F$4="(nonblank)",'Final Calculation Sheet'!$A$27&lt;&gt;"",ISNUMBER(SEARCH($F$4,'Final Calculation Sheet'!$A$27))))),IF($G$4="",TRUE(),IF($G$4="(blank)",'Final Calculation Sheet'!$E$27="",IF($G$4="(nonblank)",'Final Calculation Sheet'!$E$27&lt;&gt;"",ISNUMBER(SEARCH($G$4,'Final Calculation Sheet'!$E$27))))),IF($H$4="",TRUE(),IF($H$4="(blank)",'Final Calculation Sheet'!$C$27="",IF($H$4="(nonblank)",'Final Calculation Sheet'!$C$27&lt;&gt;"",ISNUMBER(SEARCH($H$4,'Final Calculation Sheet'!$C$27))))),IF($I$4="",TRUE(),IF($I$4="(blank)",'Final Calculation Sheet'!$H$27="",IF($I$4="(nonblank)",'Final Calculation Sheet'!$H$27&lt;&gt;"",ISNUMBER(SEARCH($I$4,'Final Calculation Sheet'!$H$27))))),IF($J$4="",TRUE(),IF($J$4="(blank)",'Final Calculation Sheet'!$I$27="",IF($J$4="(nonblank)",'Final Calculation Sheet'!$I$27&lt;&gt;"",ISNUMBER(SEARCH($J$4,'Final Calculation Sheet'!$I$27))))),IF($K$4="",TRUE(),IF($K$4="(blank)",'Final Calculation Sheet'!$J$27="",IF($K$4="(nonblank)",'Final Calculation Sheet'!$J$27&lt;&gt;"",ISNUMBER(SEARCH($K$4,'Final Calculation Sheet'!$J$27))))),IF($L$4="",TRUE(),IF($L$4="(blank)",'Final Calculation Sheet'!$K$27="",IF($L$4="(nonblank)",'Final Calculation Sheet'!$K$27&lt;&gt;"",ISNUMBER(SEARCH($L$4,'Final Calculation Sheet'!$K$27))))),IF($M$4="",TRUE(),IF($M$4="(blank)",'Final Calculation Sheet'!$L$27="",IF($M$4="(nonblank)",'Final Calculation Sheet'!$L$27&lt;&gt;"",ISNUMBER(SEARCH($M$4,'Final Calculation Sheet'!$L$27))))),IF($N$4="",TRUE(),IF($N$4="(blank)",'Final Calculation Sheet'!$M$27="",IF($N$4="(nonblank)",'Final Calculation Sheet'!$M$27&lt;&gt;"",ISNUMBER(SEARCH($N$4,'Final Calculation Sheet'!$M$27))))),IF($O$4="",TRUE(),IF($O$4="(blank)",'Final Calculation Sheet'!$N$27="",IF($O$4="(nonblank)",'Final Calculation Sheet'!$N$27&lt;&gt;"",ISNUMBER(SEARCH($O$4,'Final Calculation Sheet'!$N$27))))),IF($P$4="",TRUE(),IF($P$4="(blank)",'Final Calculation Sheet'!$O$27="",IF($P$4="(nonblank)",'Final Calculation Sheet'!$O$27&lt;&gt;"",ISNUMBER(SEARCH($P$4,'Final Calculation Sheet'!$O$27))))),IF($Q$4="",TRUE(),IF($Q$4="(blank)",'Final Calculation Sheet'!$P$27="",IF($Q$4="(nonblank)",'Final Calculation Sheet'!$P$27&lt;&gt;"",ISNUMBER(SEARCH($Q$4,'Final Calculation Sheet'!$P$27))))),IF($R$4="",TRUE(),IF($R$4="(blank)",'Final Calculation Sheet'!$Q$27="",IF($R$4="(nonblank)",'Final Calculation Sheet'!$Q$27&lt;&gt;"",ISNUMBER(SEARCH($R$4,'Final Calculation Sheet'!$Q$27))))),IF($S$4="",TRUE(),IF($S$4="(blank)",'Final Calculation Sheet'!$R$27="",IF($S$4="(nonblank)",'Final Calculation Sheet'!$R$27&lt;&gt;"",ISNUMBER(SEARCH($S$4,'Final Calculation Sheet'!$R$27))))),IF($T$4="",TRUE(),IF($T$4="(blank)",'Final Calculation Sheet'!$S$27="",IF($T$4="(nonblank)",'Final Calculation Sheet'!$S$27&lt;&gt;"",ISNUMBER(SEARCH($T$4,'Final Calculation Sheet'!$S$27))))),IF($U$4="",TRUE(),IF($U$4="(blank)",'Final Calculation Sheet'!$T$27="",IF($U$4="(nonblank)",'Final Calculation Sheet'!$T$27&lt;&gt;"",ISNUMBER(SEARCH($U$4,'Final Calculation Sheet'!$T$27))))),IF($V$4="",TRUE(),IF($V$4="(blank)",'Final Calculation Sheet'!$U$27="",IF($V$4="(nonblank)",'Final Calculation Sheet'!$U$27&lt;&gt;"",ISNUMBER(SEARCH($V$4,'Final Calculation Sheet'!$U$27))))),IF($W$4="",TRUE(),IF($W$4="(blank)",'Final Calculation Sheet'!$V$27="",IF($W$4="(nonblank)",'Final Calculation Sheet'!$V$27&lt;&gt;"",ISNUMBER(SEARCH($W$4,'Final Calculation Sheet'!$V$27))))),IF($X$4="",TRUE(),IF($X$4="(blank)",'Final Calculation Sheet'!$W$27="",IF($X$4="(nonblank)",'Final Calculation Sheet'!$W$27&lt;&gt;"",ISNUMBER(SEARCH($X$4,'Final Calculation Sheet'!$W$27))))),IF($Y$4="",TRUE(),IF($Y$4="(blank)",'Final Calculation Sheet'!$X$27="",IF($Y$4="(nonblank)",'Final Calculation Sheet'!$X$27&lt;&gt;"",ISNUMBER(SEARCH($Y$4,'Final Calculation Sheet'!$X$27))))),IF($Z$4="",TRUE(),IF($Z$4="(blank)",'Final Calculation Sheet'!$Y$27="",IF($Z$4="(nonblank)",'Final Calculation Sheet'!$Y$27&lt;&gt;"",ISNUMBER(SEARCH($Z$4,'Final Calculation Sheet'!$Y$27))))),IF($AA$4="",TRUE(),IF($AA$4="(blank)",'Final Calculation Sheet'!$Z$27="",IF($AA$4="(nonblank)",'Final Calculation Sheet'!$Z$27&lt;&gt;"",ISNUMBER(SEARCH($AA$4,'Final Calculation Sheet'!$Z$27))))),IF($AB$4="",TRUE(),IF($AB$4="(blank)",'Final Calculation Sheet'!$AA$27="",IF($AB$4="(nonblank)",'Final Calculation Sheet'!$AA$27&lt;&gt;"",ISNUMBER(SEARCH($AB$4,'Final Calculation Sheet'!$AA$27))))),IF($AC$4="",TRUE(),IF($AC$4="(blank)",'Final Calculation Sheet'!$AB$27="",IF($AC$4="(nonblank)",'Final Calculation Sheet'!$AB$27&lt;&gt;"",ISNUMBER(SEARCH($AC$4,'Final Calculation Sheet'!$AB$27))))),IF($AD$4="",TRUE(),IF($AD$4="(blank)",'Final Calculation Sheet'!$AC$27="",IF($AD$4="(nonblank)",'Final Calculation Sheet'!$AC$27&lt;&gt;"",ISNUMBER(SEARCH($AD$4,'Final Calculation Sheet'!$AC$27))))),IF($AE$4="",TRUE(),IF($AE$4="(blank)",'Final Calculation Sheet'!$AD$27="",IF($AE$4="(nonblank)",'Final Calculation Sheet'!$AD$27&lt;&gt;"",ISNUMBER(SEARCH($AE$4,'Final Calculation Sheet'!$AD$27))))),IF($AG$4="",TRUE(),IF($AG$4="(blank)",'Final Calculation Sheet'!$AF$27="",IF($AG$4="(nonblank)",'Final Calculation Sheet'!$AF$27&lt;&gt;"",ISNUMBER(SEARCH($AG$4,'Final Calculation Sheet'!$AF$27))))),IF($AH$4="",TRUE(),IF($AH$4="(blank)",'Final Calculation Sheet'!$AG$27="",IF($AH$4="(nonblank)",'Final Calculation Sheet'!$AG$27&lt;&gt;"",ISNUMBER(SEARCH($AH$4,'Final Calculation Sheet'!$AG$27))))),IF($AI$4="",TRUE(),IF($AI$4="(blank)",'Final Calculation Sheet'!$AH$27="",IF($AI$4="(nonblank)",'Final Calculation Sheet'!$AH$27&lt;&gt;"",ISNUMBER(SEARCH($AI$4,'Final Calculation Sheet'!$AH$27))))),IF($AF$4="",TRUE(),IF($AF$4="(blank)",IF('Final Calculation Sheet'!$AD$27&lt;=5,"SETTLED","OUTSTANDING")="",IF($AF$4="(nonblank)",IF('Final Calculation Sheet'!$AD$27&lt;=5,"SETTLED","OUTSTANDING")&lt;&gt;"",ISNUMBER(SEARCH($AF$4,IF('Final Calculation Sheet'!$AD$27&lt;=5,"SETTLED","OUTSTANDING"))))))),1,0)</f>
      </c>
      <c r="AK16">
        <f>IF(AJ16=1,COUNTIF(AJ$7:AJ16,1),"")</f>
        <v/>
      </c>
    </row>
    <row r="17" ht="15" customHeight="1" s="137">
      <c r="A17" s="81" t="inlineStr">
        <is>
          <t>∑</t>
        </is>
      </c>
      <c r="B17" s="83" t="n"/>
      <c r="C17" s="83">
        <f>ROWS($C$16:$C$16)&amp;" lot(s)"</f>
        <v/>
      </c>
      <c r="D17" s="83" t="inlineStr">
        <is>
          <t>SUBTOTAL — M I SCRAP TRADERS</t>
        </is>
      </c>
      <c r="E17" s="83" t="inlineStr">
        <is>
          <t>–</t>
        </is>
      </c>
      <c r="F17" s="83">
        <f>SUM(F16:F16)</f>
        <v/>
      </c>
      <c r="G17" s="83" t="inlineStr">
        <is>
          <t>–</t>
        </is>
      </c>
      <c r="H17" s="84" t="inlineStr">
        <is>
          <t>–</t>
        </is>
      </c>
      <c r="I17" s="84">
        <f>SUM(I16:I16)</f>
        <v/>
      </c>
      <c r="J17" s="84">
        <f>SUM(J16:J16)</f>
        <v/>
      </c>
      <c r="K17" s="84">
        <f>SUM(K16:K16)</f>
        <v/>
      </c>
      <c r="L17" s="84">
        <f>SUM(L16:L16)</f>
        <v/>
      </c>
      <c r="M17" s="84">
        <f>SUM(M16:M16)</f>
        <v/>
      </c>
      <c r="N17" s="84">
        <f>SUM(N16:N16)</f>
        <v/>
      </c>
      <c r="O17" s="85">
        <f>SUM(O16:O16)</f>
        <v/>
      </c>
      <c r="P17" s="84">
        <f>SUM(P16:P16)</f>
        <v/>
      </c>
      <c r="Q17" s="84">
        <f>SUM(Q16:Q16)</f>
        <v/>
      </c>
      <c r="R17" s="86" t="inlineStr">
        <is>
          <t>–</t>
        </is>
      </c>
      <c r="S17" s="84">
        <f>SUM(S16:S16)</f>
        <v/>
      </c>
      <c r="T17" s="84">
        <f>SUM(T16:T16)</f>
        <v/>
      </c>
      <c r="U17" s="84">
        <f>SUM(U16:U16)</f>
        <v/>
      </c>
      <c r="V17" s="87">
        <f>SUM(V16:V16)</f>
        <v/>
      </c>
      <c r="W17" s="84" t="inlineStr">
        <is>
          <t>–</t>
        </is>
      </c>
      <c r="X17" s="84">
        <f>SUM(X16:X16)</f>
        <v/>
      </c>
      <c r="Y17" s="84">
        <f>SUM(Y16:Y16)</f>
        <v/>
      </c>
      <c r="Z17" s="84" t="inlineStr">
        <is>
          <t>–</t>
        </is>
      </c>
      <c r="AA17" s="84">
        <f>SUM(AA16:AA16)</f>
        <v/>
      </c>
      <c r="AB17" s="84">
        <f>SUM(AB16:AB16)</f>
        <v/>
      </c>
      <c r="AC17" s="84" t="inlineStr">
        <is>
          <t>–</t>
        </is>
      </c>
      <c r="AD17" s="84">
        <f>SUM(AD16:AD16)</f>
        <v/>
      </c>
      <c r="AE17" s="84">
        <f>SUM(AE16:AE16)</f>
        <v/>
      </c>
      <c r="AF17" s="89">
        <f>IF(AE17&lt;=5,"SETTLED","OUTSTANDING")</f>
        <v/>
      </c>
      <c r="AG17" s="84" t="inlineStr">
        <is>
          <t>–</t>
        </is>
      </c>
      <c r="AH17" s="88" t="inlineStr">
        <is>
          <t>–</t>
        </is>
      </c>
      <c r="AI17" s="84" t="inlineStr">
        <is>
          <t>–</t>
        </is>
      </c>
    </row>
    <row r="18" outlineLevel="1" ht="15" customHeight="1" s="137">
      <c r="A18" s="67" t="n">
        <v>1</v>
      </c>
      <c r="B18" s="76">
        <f>IF('Final Calculation Sheet'!$F$5="","",'Final Calculation Sheet'!$F$5)</f>
        <v/>
      </c>
      <c r="C18" s="76">
        <f>IF('Final Calculation Sheet'!$G$5="","",'Final Calculation Sheet'!$G$5)</f>
        <v/>
      </c>
      <c r="D18" s="80">
        <f>IF('Final Calculation Sheet'!$B$5="","",'Final Calculation Sheet'!$B$5)</f>
        <v/>
      </c>
      <c r="E18" s="80">
        <f>IF('Final Calculation Sheet'!$D$5="","",'Final Calculation Sheet'!$D$5)</f>
        <v/>
      </c>
      <c r="F18" s="80">
        <f>IF('Final Calculation Sheet'!$A$5="","",'Final Calculation Sheet'!$A$5)</f>
        <v/>
      </c>
      <c r="G18" s="80">
        <f>IF('Final Calculation Sheet'!$E$5="","",'Final Calculation Sheet'!$E$5)</f>
        <v/>
      </c>
      <c r="H18" s="70">
        <f>IF('Final Calculation Sheet'!$C$5="","",'Final Calculation Sheet'!$C$5)</f>
        <v/>
      </c>
      <c r="I18" s="70">
        <f>IF('Final Calculation Sheet'!$H$5="","",'Final Calculation Sheet'!$H$5)</f>
        <v/>
      </c>
      <c r="J18" s="70">
        <f>IF('Final Calculation Sheet'!$I$5="","",'Final Calculation Sheet'!$I$5)</f>
        <v/>
      </c>
      <c r="K18" s="70">
        <f>IF('Final Calculation Sheet'!$J$5="","",'Final Calculation Sheet'!$J$5)</f>
        <v/>
      </c>
      <c r="L18" s="70">
        <f>IF('Final Calculation Sheet'!$K$5="","",'Final Calculation Sheet'!$K$5)</f>
        <v/>
      </c>
      <c r="M18" s="70">
        <f>IF('Final Calculation Sheet'!$L$5="","",'Final Calculation Sheet'!$L$5)</f>
        <v/>
      </c>
      <c r="N18" s="70">
        <f>IF('Final Calculation Sheet'!$M$5="","",'Final Calculation Sheet'!$M$5)</f>
        <v/>
      </c>
      <c r="O18" s="71">
        <f>IF('Final Calculation Sheet'!$N$5="","",'Final Calculation Sheet'!$N$5)</f>
        <v/>
      </c>
      <c r="P18" s="70">
        <f>IF('Final Calculation Sheet'!$O$5="","",'Final Calculation Sheet'!$O$5)</f>
        <v/>
      </c>
      <c r="Q18" s="70">
        <f>IF('Final Calculation Sheet'!$P$5="","",'Final Calculation Sheet'!$P$5)</f>
        <v/>
      </c>
      <c r="R18" s="72">
        <f>IF('Final Calculation Sheet'!$Q$5="","",'Final Calculation Sheet'!$Q$5)</f>
        <v/>
      </c>
      <c r="S18" s="70">
        <f>IF('Final Calculation Sheet'!$R$5="","",'Final Calculation Sheet'!$R$5)</f>
        <v/>
      </c>
      <c r="T18" s="70">
        <f>IF('Final Calculation Sheet'!$S$5="","",'Final Calculation Sheet'!$S$5)</f>
        <v/>
      </c>
      <c r="U18" s="70">
        <f>IF('Final Calculation Sheet'!$T$5="","",'Final Calculation Sheet'!$T$5)</f>
        <v/>
      </c>
      <c r="V18" s="73">
        <f>IF('Final Calculation Sheet'!$U$5="","",'Final Calculation Sheet'!$U$5)</f>
        <v/>
      </c>
      <c r="W18" s="70">
        <f>IF('Final Calculation Sheet'!$V$5="","",'Final Calculation Sheet'!$V$5)</f>
        <v/>
      </c>
      <c r="X18" s="70">
        <f>IF('Final Calculation Sheet'!$W$5="","",'Final Calculation Sheet'!$W$5)</f>
        <v/>
      </c>
      <c r="Y18" s="70">
        <f>IF('Final Calculation Sheet'!$X$5="","",'Final Calculation Sheet'!$X$5)</f>
        <v/>
      </c>
      <c r="Z18" s="70">
        <f>IF('Final Calculation Sheet'!$Y$5="","",'Final Calculation Sheet'!$Y$5)</f>
        <v/>
      </c>
      <c r="AA18" s="70">
        <f>IF('Final Calculation Sheet'!$Z$5="","",'Final Calculation Sheet'!$Z$5)</f>
        <v/>
      </c>
      <c r="AB18" s="70">
        <f>IF('Final Calculation Sheet'!$AA$5="","",'Final Calculation Sheet'!$AA$5)</f>
        <v/>
      </c>
      <c r="AC18" s="70">
        <f>IF('Final Calculation Sheet'!$AB$5="","",'Final Calculation Sheet'!$AB$5)</f>
        <v/>
      </c>
      <c r="AD18" s="70">
        <f>IF('Final Calculation Sheet'!$AC$5="","",'Final Calculation Sheet'!$AC$5)</f>
        <v/>
      </c>
      <c r="AE18" s="70">
        <f>IF('Final Calculation Sheet'!$AD$5="","",'Final Calculation Sheet'!$AD$5)</f>
        <v/>
      </c>
      <c r="AF18" s="75">
        <f>IF('Final Calculation Sheet'!$AD$5="","",IF('Final Calculation Sheet'!$AD$5&lt;=5,"SETTLED","OUTSTANDING"))</f>
        <v/>
      </c>
      <c r="AG18" s="70">
        <f>IF('Final Calculation Sheet'!$AF$5="","",'Final Calculation Sheet'!$AF$5)</f>
        <v/>
      </c>
      <c r="AH18" s="74">
        <f>IF('Final Calculation Sheet'!$AG$5="","",'Final Calculation Sheet'!$AG$5)</f>
        <v/>
      </c>
      <c r="AI18" s="70">
        <f>IF('Final Calculation Sheet'!$AH$5="","",'Final Calculation Sheet'!$AH$5)</f>
        <v/>
      </c>
      <c r="AJ18">
        <f>IF(AND(IF($B$4="",TRUE(),IF($B$4="(blank)",'Final Calculation Sheet'!$F$5="",IF($B$4="(nonblank)",'Final Calculation Sheet'!$F$5&lt;&gt;"",ISNUMBER(SEARCH($B$4,'Final Calculation Sheet'!$F$5))))),IF($C$4="",TRUE(),IF($C$4="(blank)",'Final Calculation Sheet'!$G$5="",IF($C$4="(nonblank)",'Final Calculation Sheet'!$G$5&lt;&gt;"",ISNUMBER(SEARCH($C$4,'Final Calculation Sheet'!$G$5))))),IF($D$4="",TRUE(),IF($D$4="(blank)",'Final Calculation Sheet'!$B$5="",IF($D$4="(nonblank)",'Final Calculation Sheet'!$B$5&lt;&gt;"",ISNUMBER(SEARCH($D$4,'Final Calculation Sheet'!$B$5))))),IF($E$4="",TRUE(),IF($E$4="(blank)",'Final Calculation Sheet'!$D$5="",IF($E$4="(nonblank)",'Final Calculation Sheet'!$D$5&lt;&gt;"",ISNUMBER(SEARCH($E$4,'Final Calculation Sheet'!$D$5))))),IF($F$4="",TRUE(),IF($F$4="(blank)",'Final Calculation Sheet'!$A$5="",IF($F$4="(nonblank)",'Final Calculation Sheet'!$A$5&lt;&gt;"",ISNUMBER(SEARCH($F$4,'Final Calculation Sheet'!$A$5))))),IF($G$4="",TRUE(),IF($G$4="(blank)",'Final Calculation Sheet'!$E$5="",IF($G$4="(nonblank)",'Final Calculation Sheet'!$E$5&lt;&gt;"",ISNUMBER(SEARCH($G$4,'Final Calculation Sheet'!$E$5))))),IF($H$4="",TRUE(),IF($H$4="(blank)",'Final Calculation Sheet'!$C$5="",IF($H$4="(nonblank)",'Final Calculation Sheet'!$C$5&lt;&gt;"",ISNUMBER(SEARCH($H$4,'Final Calculation Sheet'!$C$5))))),IF($I$4="",TRUE(),IF($I$4="(blank)",'Final Calculation Sheet'!$H$5="",IF($I$4="(nonblank)",'Final Calculation Sheet'!$H$5&lt;&gt;"",ISNUMBER(SEARCH($I$4,'Final Calculation Sheet'!$H$5))))),IF($J$4="",TRUE(),IF($J$4="(blank)",'Final Calculation Sheet'!$I$5="",IF($J$4="(nonblank)",'Final Calculation Sheet'!$I$5&lt;&gt;"",ISNUMBER(SEARCH($J$4,'Final Calculation Sheet'!$I$5))))),IF($K$4="",TRUE(),IF($K$4="(blank)",'Final Calculation Sheet'!$J$5="",IF($K$4="(nonblank)",'Final Calculation Sheet'!$J$5&lt;&gt;"",ISNUMBER(SEARCH($K$4,'Final Calculation Sheet'!$J$5))))),IF($L$4="",TRUE(),IF($L$4="(blank)",'Final Calculation Sheet'!$K$5="",IF($L$4="(nonblank)",'Final Calculation Sheet'!$K$5&lt;&gt;"",ISNUMBER(SEARCH($L$4,'Final Calculation Sheet'!$K$5))))),IF($M$4="",TRUE(),IF($M$4="(blank)",'Final Calculation Sheet'!$L$5="",IF($M$4="(nonblank)",'Final Calculation Sheet'!$L$5&lt;&gt;"",ISNUMBER(SEARCH($M$4,'Final Calculation Sheet'!$L$5))))),IF($N$4="",TRUE(),IF($N$4="(blank)",'Final Calculation Sheet'!$M$5="",IF($N$4="(nonblank)",'Final Calculation Sheet'!$M$5&lt;&gt;"",ISNUMBER(SEARCH($N$4,'Final Calculation Sheet'!$M$5))))),IF($O$4="",TRUE(),IF($O$4="(blank)",'Final Calculation Sheet'!$N$5="",IF($O$4="(nonblank)",'Final Calculation Sheet'!$N$5&lt;&gt;"",ISNUMBER(SEARCH($O$4,'Final Calculation Sheet'!$N$5))))),IF($P$4="",TRUE(),IF($P$4="(blank)",'Final Calculation Sheet'!$O$5="",IF($P$4="(nonblank)",'Final Calculation Sheet'!$O$5&lt;&gt;"",ISNUMBER(SEARCH($P$4,'Final Calculation Sheet'!$O$5))))),IF($Q$4="",TRUE(),IF($Q$4="(blank)",'Final Calculation Sheet'!$P$5="",IF($Q$4="(nonblank)",'Final Calculation Sheet'!$P$5&lt;&gt;"",ISNUMBER(SEARCH($Q$4,'Final Calculation Sheet'!$P$5))))),IF($R$4="",TRUE(),IF($R$4="(blank)",'Final Calculation Sheet'!$Q$5="",IF($R$4="(nonblank)",'Final Calculation Sheet'!$Q$5&lt;&gt;"",ISNUMBER(SEARCH($R$4,'Final Calculation Sheet'!$Q$5))))),IF($S$4="",TRUE(),IF($S$4="(blank)",'Final Calculation Sheet'!$R$5="",IF($S$4="(nonblank)",'Final Calculation Sheet'!$R$5&lt;&gt;"",ISNUMBER(SEARCH($S$4,'Final Calculation Sheet'!$R$5))))),IF($T$4="",TRUE(),IF($T$4="(blank)",'Final Calculation Sheet'!$S$5="",IF($T$4="(nonblank)",'Final Calculation Sheet'!$S$5&lt;&gt;"",ISNUMBER(SEARCH($T$4,'Final Calculation Sheet'!$S$5))))),IF($U$4="",TRUE(),IF($U$4="(blank)",'Final Calculation Sheet'!$T$5="",IF($U$4="(nonblank)",'Final Calculation Sheet'!$T$5&lt;&gt;"",ISNUMBER(SEARCH($U$4,'Final Calculation Sheet'!$T$5))))),IF($V$4="",TRUE(),IF($V$4="(blank)",'Final Calculation Sheet'!$U$5="",IF($V$4="(nonblank)",'Final Calculation Sheet'!$U$5&lt;&gt;"",ISNUMBER(SEARCH($V$4,'Final Calculation Sheet'!$U$5))))),IF($W$4="",TRUE(),IF($W$4="(blank)",'Final Calculation Sheet'!$V$5="",IF($W$4="(nonblank)",'Final Calculation Sheet'!$V$5&lt;&gt;"",ISNUMBER(SEARCH($W$4,'Final Calculation Sheet'!$V$5))))),IF($X$4="",TRUE(),IF($X$4="(blank)",'Final Calculation Sheet'!$W$5="",IF($X$4="(nonblank)",'Final Calculation Sheet'!$W$5&lt;&gt;"",ISNUMBER(SEARCH($X$4,'Final Calculation Sheet'!$W$5))))),IF($Y$4="",TRUE(),IF($Y$4="(blank)",'Final Calculation Sheet'!$X$5="",IF($Y$4="(nonblank)",'Final Calculation Sheet'!$X$5&lt;&gt;"",ISNUMBER(SEARCH($Y$4,'Final Calculation Sheet'!$X$5))))),IF($Z$4="",TRUE(),IF($Z$4="(blank)",'Final Calculation Sheet'!$Y$5="",IF($Z$4="(nonblank)",'Final Calculation Sheet'!$Y$5&lt;&gt;"",ISNUMBER(SEARCH($Z$4,'Final Calculation Sheet'!$Y$5))))),IF($AA$4="",TRUE(),IF($AA$4="(blank)",'Final Calculation Sheet'!$Z$5="",IF($AA$4="(nonblank)",'Final Calculation Sheet'!$Z$5&lt;&gt;"",ISNUMBER(SEARCH($AA$4,'Final Calculation Sheet'!$Z$5))))),IF($AB$4="",TRUE(),IF($AB$4="(blank)",'Final Calculation Sheet'!$AA$5="",IF($AB$4="(nonblank)",'Final Calculation Sheet'!$AA$5&lt;&gt;"",ISNUMBER(SEARCH($AB$4,'Final Calculation Sheet'!$AA$5))))),IF($AC$4="",TRUE(),IF($AC$4="(blank)",'Final Calculation Sheet'!$AB$5="",IF($AC$4="(nonblank)",'Final Calculation Sheet'!$AB$5&lt;&gt;"",ISNUMBER(SEARCH($AC$4,'Final Calculation Sheet'!$AB$5))))),IF($AD$4="",TRUE(),IF($AD$4="(blank)",'Final Calculation Sheet'!$AC$5="",IF($AD$4="(nonblank)",'Final Calculation Sheet'!$AC$5&lt;&gt;"",ISNUMBER(SEARCH($AD$4,'Final Calculation Sheet'!$AC$5))))),IF($AE$4="",TRUE(),IF($AE$4="(blank)",'Final Calculation Sheet'!$AD$5="",IF($AE$4="(nonblank)",'Final Calculation Sheet'!$AD$5&lt;&gt;"",ISNUMBER(SEARCH($AE$4,'Final Calculation Sheet'!$AD$5))))),IF($AG$4="",TRUE(),IF($AG$4="(blank)",'Final Calculation Sheet'!$AF$5="",IF($AG$4="(nonblank)",'Final Calculation Sheet'!$AF$5&lt;&gt;"",ISNUMBER(SEARCH($AG$4,'Final Calculation Sheet'!$AF$5))))),IF($AH$4="",TRUE(),IF($AH$4="(blank)",'Final Calculation Sheet'!$AG$5="",IF($AH$4="(nonblank)",'Final Calculation Sheet'!$AG$5&lt;&gt;"",ISNUMBER(SEARCH($AH$4,'Final Calculation Sheet'!$AG$5))))),IF($AI$4="",TRUE(),IF($AI$4="(blank)",'Final Calculation Sheet'!$AH$5="",IF($AI$4="(nonblank)",'Final Calculation Sheet'!$AH$5&lt;&gt;"",ISNUMBER(SEARCH($AI$4,'Final Calculation Sheet'!$AH$5))))),IF($AF$4="",TRUE(),IF($AF$4="(blank)",IF('Final Calculation Sheet'!$AD$5&lt;=5,"SETTLED","OUTSTANDING")="",IF($AF$4="(nonblank)",IF('Final Calculation Sheet'!$AD$5&lt;=5,"SETTLED","OUTSTANDING")&lt;&gt;"",ISNUMBER(SEARCH($AF$4,IF('Final Calculation Sheet'!$AD$5&lt;=5,"SETTLED","OUTSTANDING"))))))),1,0)</f>
      </c>
      <c r="AK18">
        <f>IF(AJ18=1,COUNTIF(AJ$7:AJ18,1),"")</f>
        <v/>
      </c>
    </row>
    <row r="19" outlineLevel="1" ht="15" customHeight="1" s="137">
      <c r="A19" s="90" t="n">
        <v>2</v>
      </c>
      <c r="B19" s="92">
        <f>IF('Final Calculation Sheet'!$F$10="","",'Final Calculation Sheet'!$F$10)</f>
        <v/>
      </c>
      <c r="C19" s="92">
        <f>IF('Final Calculation Sheet'!$G$10="","",'Final Calculation Sheet'!$G$10)</f>
        <v/>
      </c>
      <c r="D19" s="94">
        <f>IF('Final Calculation Sheet'!$B$10="","",'Final Calculation Sheet'!$B$10)</f>
        <v/>
      </c>
      <c r="E19" s="94">
        <f>IF('Final Calculation Sheet'!$D$10="","",'Final Calculation Sheet'!$D$10)</f>
        <v/>
      </c>
      <c r="F19" s="94">
        <f>IF('Final Calculation Sheet'!$A$10="","",'Final Calculation Sheet'!$A$10)</f>
        <v/>
      </c>
      <c r="G19" s="94">
        <f>IF('Final Calculation Sheet'!$E$10="","",'Final Calculation Sheet'!$E$10)</f>
        <v/>
      </c>
      <c r="H19" s="95">
        <f>IF('Final Calculation Sheet'!$C$10="","",'Final Calculation Sheet'!$C$10)</f>
        <v/>
      </c>
      <c r="I19" s="95">
        <f>IF('Final Calculation Sheet'!$H$10="","",'Final Calculation Sheet'!$H$10)</f>
        <v/>
      </c>
      <c r="J19" s="95">
        <f>IF('Final Calculation Sheet'!$I$10="","",'Final Calculation Sheet'!$I$10)</f>
        <v/>
      </c>
      <c r="K19" s="95">
        <f>IF('Final Calculation Sheet'!$J$10="","",'Final Calculation Sheet'!$J$10)</f>
        <v/>
      </c>
      <c r="L19" s="95">
        <f>IF('Final Calculation Sheet'!$K$10="","",'Final Calculation Sheet'!$K$10)</f>
        <v/>
      </c>
      <c r="M19" s="95">
        <f>IF('Final Calculation Sheet'!$L$10="","",'Final Calculation Sheet'!$L$10)</f>
        <v/>
      </c>
      <c r="N19" s="95">
        <f>IF('Final Calculation Sheet'!$M$10="","",'Final Calculation Sheet'!$M$10)</f>
        <v/>
      </c>
      <c r="O19" s="96">
        <f>IF('Final Calculation Sheet'!$N$10="","",'Final Calculation Sheet'!$N$10)</f>
        <v/>
      </c>
      <c r="P19" s="95">
        <f>IF('Final Calculation Sheet'!$O$10="","",'Final Calculation Sheet'!$O$10)</f>
        <v/>
      </c>
      <c r="Q19" s="95">
        <f>IF('Final Calculation Sheet'!$P$10="","",'Final Calculation Sheet'!$P$10)</f>
        <v/>
      </c>
      <c r="R19" s="97">
        <f>IF('Final Calculation Sheet'!$Q$10="","",'Final Calculation Sheet'!$Q$10)</f>
        <v/>
      </c>
      <c r="S19" s="95">
        <f>IF('Final Calculation Sheet'!$R$10="","",'Final Calculation Sheet'!$R$10)</f>
        <v/>
      </c>
      <c r="T19" s="95">
        <f>IF('Final Calculation Sheet'!$S$10="","",'Final Calculation Sheet'!$S$10)</f>
        <v/>
      </c>
      <c r="U19" s="95">
        <f>IF('Final Calculation Sheet'!$T$10="","",'Final Calculation Sheet'!$T$10)</f>
        <v/>
      </c>
      <c r="V19" s="98">
        <f>IF('Final Calculation Sheet'!$U$10="","",'Final Calculation Sheet'!$U$10)</f>
        <v/>
      </c>
      <c r="W19" s="95">
        <f>IF('Final Calculation Sheet'!$V$10="","",'Final Calculation Sheet'!$V$10)</f>
        <v/>
      </c>
      <c r="X19" s="95">
        <f>IF('Final Calculation Sheet'!$W$10="","",'Final Calculation Sheet'!$W$10)</f>
        <v/>
      </c>
      <c r="Y19" s="95">
        <f>IF('Final Calculation Sheet'!$X$10="","",'Final Calculation Sheet'!$X$10)</f>
        <v/>
      </c>
      <c r="Z19" s="95">
        <f>IF('Final Calculation Sheet'!$Y$10="","",'Final Calculation Sheet'!$Y$10)</f>
        <v/>
      </c>
      <c r="AA19" s="95">
        <f>IF('Final Calculation Sheet'!$Z$10="","",'Final Calculation Sheet'!$Z$10)</f>
        <v/>
      </c>
      <c r="AB19" s="95">
        <f>IF('Final Calculation Sheet'!$AA$10="","",'Final Calculation Sheet'!$AA$10)</f>
        <v/>
      </c>
      <c r="AC19" s="95">
        <f>IF('Final Calculation Sheet'!$AB$10="","",'Final Calculation Sheet'!$AB$10)</f>
        <v/>
      </c>
      <c r="AD19" s="95">
        <f>IF('Final Calculation Sheet'!$AC$10="","",'Final Calculation Sheet'!$AC$10)</f>
        <v/>
      </c>
      <c r="AE19" s="95">
        <f>IF('Final Calculation Sheet'!$AD$10="","",'Final Calculation Sheet'!$AD$10)</f>
        <v/>
      </c>
      <c r="AF19" s="100">
        <f>IF('Final Calculation Sheet'!$AD$10="","",IF('Final Calculation Sheet'!$AD$10&lt;=5,"SETTLED","OUTSTANDING"))</f>
        <v/>
      </c>
      <c r="AG19" s="95">
        <f>IF('Final Calculation Sheet'!$AF$10="","",'Final Calculation Sheet'!$AF$10)</f>
        <v/>
      </c>
      <c r="AH19" s="99">
        <f>IF('Final Calculation Sheet'!$AG$10="","",'Final Calculation Sheet'!$AG$10)</f>
        <v/>
      </c>
      <c r="AI19" s="95">
        <f>IF('Final Calculation Sheet'!$AH$10="","",'Final Calculation Sheet'!$AH$10)</f>
        <v/>
      </c>
      <c r="AJ19">
        <f>IF(AND(IF($B$4="",TRUE(),IF($B$4="(blank)",'Final Calculation Sheet'!$F$10="",IF($B$4="(nonblank)",'Final Calculation Sheet'!$F$10&lt;&gt;"",ISNUMBER(SEARCH($B$4,'Final Calculation Sheet'!$F$10))))),IF($C$4="",TRUE(),IF($C$4="(blank)",'Final Calculation Sheet'!$G$10="",IF($C$4="(nonblank)",'Final Calculation Sheet'!$G$10&lt;&gt;"",ISNUMBER(SEARCH($C$4,'Final Calculation Sheet'!$G$10))))),IF($D$4="",TRUE(),IF($D$4="(blank)",'Final Calculation Sheet'!$B$10="",IF($D$4="(nonblank)",'Final Calculation Sheet'!$B$10&lt;&gt;"",ISNUMBER(SEARCH($D$4,'Final Calculation Sheet'!$B$10))))),IF($E$4="",TRUE(),IF($E$4="(blank)",'Final Calculation Sheet'!$D$10="",IF($E$4="(nonblank)",'Final Calculation Sheet'!$D$10&lt;&gt;"",ISNUMBER(SEARCH($E$4,'Final Calculation Sheet'!$D$10))))),IF($F$4="",TRUE(),IF($F$4="(blank)",'Final Calculation Sheet'!$A$10="",IF($F$4="(nonblank)",'Final Calculation Sheet'!$A$10&lt;&gt;"",ISNUMBER(SEARCH($F$4,'Final Calculation Sheet'!$A$10))))),IF($G$4="",TRUE(),IF($G$4="(blank)",'Final Calculation Sheet'!$E$10="",IF($G$4="(nonblank)",'Final Calculation Sheet'!$E$10&lt;&gt;"",ISNUMBER(SEARCH($G$4,'Final Calculation Sheet'!$E$10))))),IF($H$4="",TRUE(),IF($H$4="(blank)",'Final Calculation Sheet'!$C$10="",IF($H$4="(nonblank)",'Final Calculation Sheet'!$C$10&lt;&gt;"",ISNUMBER(SEARCH($H$4,'Final Calculation Sheet'!$C$10))))),IF($I$4="",TRUE(),IF($I$4="(blank)",'Final Calculation Sheet'!$H$10="",IF($I$4="(nonblank)",'Final Calculation Sheet'!$H$10&lt;&gt;"",ISNUMBER(SEARCH($I$4,'Final Calculation Sheet'!$H$10))))),IF($J$4="",TRUE(),IF($J$4="(blank)",'Final Calculation Sheet'!$I$10="",IF($J$4="(nonblank)",'Final Calculation Sheet'!$I$10&lt;&gt;"",ISNUMBER(SEARCH($J$4,'Final Calculation Sheet'!$I$10))))),IF($K$4="",TRUE(),IF($K$4="(blank)",'Final Calculation Sheet'!$J$10="",IF($K$4="(nonblank)",'Final Calculation Sheet'!$J$10&lt;&gt;"",ISNUMBER(SEARCH($K$4,'Final Calculation Sheet'!$J$10))))),IF($L$4="",TRUE(),IF($L$4="(blank)",'Final Calculation Sheet'!$K$10="",IF($L$4="(nonblank)",'Final Calculation Sheet'!$K$10&lt;&gt;"",ISNUMBER(SEARCH($L$4,'Final Calculation Sheet'!$K$10))))),IF($M$4="",TRUE(),IF($M$4="(blank)",'Final Calculation Sheet'!$L$10="",IF($M$4="(nonblank)",'Final Calculation Sheet'!$L$10&lt;&gt;"",ISNUMBER(SEARCH($M$4,'Final Calculation Sheet'!$L$10))))),IF($N$4="",TRUE(),IF($N$4="(blank)",'Final Calculation Sheet'!$M$10="",IF($N$4="(nonblank)",'Final Calculation Sheet'!$M$10&lt;&gt;"",ISNUMBER(SEARCH($N$4,'Final Calculation Sheet'!$M$10))))),IF($O$4="",TRUE(),IF($O$4="(blank)",'Final Calculation Sheet'!$N$10="",IF($O$4="(nonblank)",'Final Calculation Sheet'!$N$10&lt;&gt;"",ISNUMBER(SEARCH($O$4,'Final Calculation Sheet'!$N$10))))),IF($P$4="",TRUE(),IF($P$4="(blank)",'Final Calculation Sheet'!$O$10="",IF($P$4="(nonblank)",'Final Calculation Sheet'!$O$10&lt;&gt;"",ISNUMBER(SEARCH($P$4,'Final Calculation Sheet'!$O$10))))),IF($Q$4="",TRUE(),IF($Q$4="(blank)",'Final Calculation Sheet'!$P$10="",IF($Q$4="(nonblank)",'Final Calculation Sheet'!$P$10&lt;&gt;"",ISNUMBER(SEARCH($Q$4,'Final Calculation Sheet'!$P$10))))),IF($R$4="",TRUE(),IF($R$4="(blank)",'Final Calculation Sheet'!$Q$10="",IF($R$4="(nonblank)",'Final Calculation Sheet'!$Q$10&lt;&gt;"",ISNUMBER(SEARCH($R$4,'Final Calculation Sheet'!$Q$10))))),IF($S$4="",TRUE(),IF($S$4="(blank)",'Final Calculation Sheet'!$R$10="",IF($S$4="(nonblank)",'Final Calculation Sheet'!$R$10&lt;&gt;"",ISNUMBER(SEARCH($S$4,'Final Calculation Sheet'!$R$10))))),IF($T$4="",TRUE(),IF($T$4="(blank)",'Final Calculation Sheet'!$S$10="",IF($T$4="(nonblank)",'Final Calculation Sheet'!$S$10&lt;&gt;"",ISNUMBER(SEARCH($T$4,'Final Calculation Sheet'!$S$10))))),IF($U$4="",TRUE(),IF($U$4="(blank)",'Final Calculation Sheet'!$T$10="",IF($U$4="(nonblank)",'Final Calculation Sheet'!$T$10&lt;&gt;"",ISNUMBER(SEARCH($U$4,'Final Calculation Sheet'!$T$10))))),IF($V$4="",TRUE(),IF($V$4="(blank)",'Final Calculation Sheet'!$U$10="",IF($V$4="(nonblank)",'Final Calculation Sheet'!$U$10&lt;&gt;"",ISNUMBER(SEARCH($V$4,'Final Calculation Sheet'!$U$10))))),IF($W$4="",TRUE(),IF($W$4="(blank)",'Final Calculation Sheet'!$V$10="",IF($W$4="(nonblank)",'Final Calculation Sheet'!$V$10&lt;&gt;"",ISNUMBER(SEARCH($W$4,'Final Calculation Sheet'!$V$10))))),IF($X$4="",TRUE(),IF($X$4="(blank)",'Final Calculation Sheet'!$W$10="",IF($X$4="(nonblank)",'Final Calculation Sheet'!$W$10&lt;&gt;"",ISNUMBER(SEARCH($X$4,'Final Calculation Sheet'!$W$10))))),IF($Y$4="",TRUE(),IF($Y$4="(blank)",'Final Calculation Sheet'!$X$10="",IF($Y$4="(nonblank)",'Final Calculation Sheet'!$X$10&lt;&gt;"",ISNUMBER(SEARCH($Y$4,'Final Calculation Sheet'!$X$10))))),IF($Z$4="",TRUE(),IF($Z$4="(blank)",'Final Calculation Sheet'!$Y$10="",IF($Z$4="(nonblank)",'Final Calculation Sheet'!$Y$10&lt;&gt;"",ISNUMBER(SEARCH($Z$4,'Final Calculation Sheet'!$Y$10))))),IF($AA$4="",TRUE(),IF($AA$4="(blank)",'Final Calculation Sheet'!$Z$10="",IF($AA$4="(nonblank)",'Final Calculation Sheet'!$Z$10&lt;&gt;"",ISNUMBER(SEARCH($AA$4,'Final Calculation Sheet'!$Z$10))))),IF($AB$4="",TRUE(),IF($AB$4="(blank)",'Final Calculation Sheet'!$AA$10="",IF($AB$4="(nonblank)",'Final Calculation Sheet'!$AA$10&lt;&gt;"",ISNUMBER(SEARCH($AB$4,'Final Calculation Sheet'!$AA$10))))),IF($AC$4="",TRUE(),IF($AC$4="(blank)",'Final Calculation Sheet'!$AB$10="",IF($AC$4="(nonblank)",'Final Calculation Sheet'!$AB$10&lt;&gt;"",ISNUMBER(SEARCH($AC$4,'Final Calculation Sheet'!$AB$10))))),IF($AD$4="",TRUE(),IF($AD$4="(blank)",'Final Calculation Sheet'!$AC$10="",IF($AD$4="(nonblank)",'Final Calculation Sheet'!$AC$10&lt;&gt;"",ISNUMBER(SEARCH($AD$4,'Final Calculation Sheet'!$AC$10))))),IF($AE$4="",TRUE(),IF($AE$4="(blank)",'Final Calculation Sheet'!$AD$10="",IF($AE$4="(nonblank)",'Final Calculation Sheet'!$AD$10&lt;&gt;"",ISNUMBER(SEARCH($AE$4,'Final Calculation Sheet'!$AD$10))))),IF($AG$4="",TRUE(),IF($AG$4="(blank)",'Final Calculation Sheet'!$AF$10="",IF($AG$4="(nonblank)",'Final Calculation Sheet'!$AF$10&lt;&gt;"",ISNUMBER(SEARCH($AG$4,'Final Calculation Sheet'!$AF$10))))),IF($AH$4="",TRUE(),IF($AH$4="(blank)",'Final Calculation Sheet'!$AG$10="",IF($AH$4="(nonblank)",'Final Calculation Sheet'!$AG$10&lt;&gt;"",ISNUMBER(SEARCH($AH$4,'Final Calculation Sheet'!$AG$10))))),IF($AI$4="",TRUE(),IF($AI$4="(blank)",'Final Calculation Sheet'!$AH$10="",IF($AI$4="(nonblank)",'Final Calculation Sheet'!$AH$10&lt;&gt;"",ISNUMBER(SEARCH($AI$4,'Final Calculation Sheet'!$AH$10))))),IF($AF$4="",TRUE(),IF($AF$4="(blank)",IF('Final Calculation Sheet'!$AD$10&lt;=5,"SETTLED","OUTSTANDING")="",IF($AF$4="(nonblank)",IF('Final Calculation Sheet'!$AD$10&lt;=5,"SETTLED","OUTSTANDING")&lt;&gt;"",ISNUMBER(SEARCH($AF$4,IF('Final Calculation Sheet'!$AD$10&lt;=5,"SETTLED","OUTSTANDING"))))))),1,0)</f>
      </c>
      <c r="AK19">
        <f>IF(AJ19=1,COUNTIF(AJ$7:AJ19,1),"")</f>
        <v/>
      </c>
    </row>
    <row r="20" outlineLevel="1" ht="15" customHeight="1" s="137">
      <c r="A20" s="67" t="n">
        <v>3</v>
      </c>
      <c r="B20" s="76">
        <f>IF('Final Calculation Sheet'!$F$11="","",'Final Calculation Sheet'!$F$11)</f>
        <v/>
      </c>
      <c r="C20" s="76">
        <f>IF('Final Calculation Sheet'!$G$11="","",'Final Calculation Sheet'!$G$11)</f>
        <v/>
      </c>
      <c r="D20" s="80">
        <f>IF('Final Calculation Sheet'!$B$11="","",'Final Calculation Sheet'!$B$11)</f>
        <v/>
      </c>
      <c r="E20" s="80">
        <f>IF('Final Calculation Sheet'!$D$11="","",'Final Calculation Sheet'!$D$11)</f>
        <v/>
      </c>
      <c r="F20" s="80">
        <f>IF('Final Calculation Sheet'!$A$11="","",'Final Calculation Sheet'!$A$11)</f>
        <v/>
      </c>
      <c r="G20" s="80">
        <f>IF('Final Calculation Sheet'!$E$11="","",'Final Calculation Sheet'!$E$11)</f>
        <v/>
      </c>
      <c r="H20" s="70">
        <f>IF('Final Calculation Sheet'!$C$11="","",'Final Calculation Sheet'!$C$11)</f>
        <v/>
      </c>
      <c r="I20" s="70">
        <f>IF('Final Calculation Sheet'!$H$11="","",'Final Calculation Sheet'!$H$11)</f>
        <v/>
      </c>
      <c r="J20" s="70">
        <f>IF('Final Calculation Sheet'!$I$11="","",'Final Calculation Sheet'!$I$11)</f>
        <v/>
      </c>
      <c r="K20" s="70">
        <f>IF('Final Calculation Sheet'!$J$11="","",'Final Calculation Sheet'!$J$11)</f>
        <v/>
      </c>
      <c r="L20" s="70">
        <f>IF('Final Calculation Sheet'!$K$11="","",'Final Calculation Sheet'!$K$11)</f>
        <v/>
      </c>
      <c r="M20" s="70">
        <f>IF('Final Calculation Sheet'!$L$11="","",'Final Calculation Sheet'!$L$11)</f>
        <v/>
      </c>
      <c r="N20" s="70">
        <f>IF('Final Calculation Sheet'!$M$11="","",'Final Calculation Sheet'!$M$11)</f>
        <v/>
      </c>
      <c r="O20" s="71">
        <f>IF('Final Calculation Sheet'!$N$11="","",'Final Calculation Sheet'!$N$11)</f>
        <v/>
      </c>
      <c r="P20" s="70">
        <f>IF('Final Calculation Sheet'!$O$11="","",'Final Calculation Sheet'!$O$11)</f>
        <v/>
      </c>
      <c r="Q20" s="70">
        <f>IF('Final Calculation Sheet'!$P$11="","",'Final Calculation Sheet'!$P$11)</f>
        <v/>
      </c>
      <c r="R20" s="72">
        <f>IF('Final Calculation Sheet'!$Q$11="","",'Final Calculation Sheet'!$Q$11)</f>
        <v/>
      </c>
      <c r="S20" s="70">
        <f>IF('Final Calculation Sheet'!$R$11="","",'Final Calculation Sheet'!$R$11)</f>
        <v/>
      </c>
      <c r="T20" s="70">
        <f>IF('Final Calculation Sheet'!$S$11="","",'Final Calculation Sheet'!$S$11)</f>
        <v/>
      </c>
      <c r="U20" s="70">
        <f>IF('Final Calculation Sheet'!$T$11="","",'Final Calculation Sheet'!$T$11)</f>
        <v/>
      </c>
      <c r="V20" s="73">
        <f>IF('Final Calculation Sheet'!$U$11="","",'Final Calculation Sheet'!$U$11)</f>
        <v/>
      </c>
      <c r="W20" s="70">
        <f>IF('Final Calculation Sheet'!$V$11="","",'Final Calculation Sheet'!$V$11)</f>
        <v/>
      </c>
      <c r="X20" s="70">
        <f>IF('Final Calculation Sheet'!$W$11="","",'Final Calculation Sheet'!$W$11)</f>
        <v/>
      </c>
      <c r="Y20" s="70">
        <f>IF('Final Calculation Sheet'!$X$11="","",'Final Calculation Sheet'!$X$11)</f>
        <v/>
      </c>
      <c r="Z20" s="70">
        <f>IF('Final Calculation Sheet'!$Y$11="","",'Final Calculation Sheet'!$Y$11)</f>
        <v/>
      </c>
      <c r="AA20" s="70">
        <f>IF('Final Calculation Sheet'!$Z$11="","",'Final Calculation Sheet'!$Z$11)</f>
        <v/>
      </c>
      <c r="AB20" s="70">
        <f>IF('Final Calculation Sheet'!$AA$11="","",'Final Calculation Sheet'!$AA$11)</f>
        <v/>
      </c>
      <c r="AC20" s="70">
        <f>IF('Final Calculation Sheet'!$AB$11="","",'Final Calculation Sheet'!$AB$11)</f>
        <v/>
      </c>
      <c r="AD20" s="70">
        <f>IF('Final Calculation Sheet'!$AC$11="","",'Final Calculation Sheet'!$AC$11)</f>
        <v/>
      </c>
      <c r="AE20" s="70">
        <f>IF('Final Calculation Sheet'!$AD$11="","",'Final Calculation Sheet'!$AD$11)</f>
        <v/>
      </c>
      <c r="AF20" s="75">
        <f>IF('Final Calculation Sheet'!$AD$11="","",IF('Final Calculation Sheet'!$AD$11&lt;=5,"SETTLED","OUTSTANDING"))</f>
        <v/>
      </c>
      <c r="AG20" s="70">
        <f>IF('Final Calculation Sheet'!$AF$11="","",'Final Calculation Sheet'!$AF$11)</f>
        <v/>
      </c>
      <c r="AH20" s="74">
        <f>IF('Final Calculation Sheet'!$AG$11="","",'Final Calculation Sheet'!$AG$11)</f>
        <v/>
      </c>
      <c r="AI20" s="70">
        <f>IF('Final Calculation Sheet'!$AH$11="","",'Final Calculation Sheet'!$AH$11)</f>
        <v/>
      </c>
      <c r="AJ20">
        <f>IF(AND(IF($B$4="",TRUE(),IF($B$4="(blank)",'Final Calculation Sheet'!$F$11="",IF($B$4="(nonblank)",'Final Calculation Sheet'!$F$11&lt;&gt;"",ISNUMBER(SEARCH($B$4,'Final Calculation Sheet'!$F$11))))),IF($C$4="",TRUE(),IF($C$4="(blank)",'Final Calculation Sheet'!$G$11="",IF($C$4="(nonblank)",'Final Calculation Sheet'!$G$11&lt;&gt;"",ISNUMBER(SEARCH($C$4,'Final Calculation Sheet'!$G$11))))),IF($D$4="",TRUE(),IF($D$4="(blank)",'Final Calculation Sheet'!$B$11="",IF($D$4="(nonblank)",'Final Calculation Sheet'!$B$11&lt;&gt;"",ISNUMBER(SEARCH($D$4,'Final Calculation Sheet'!$B$11))))),IF($E$4="",TRUE(),IF($E$4="(blank)",'Final Calculation Sheet'!$D$11="",IF($E$4="(nonblank)",'Final Calculation Sheet'!$D$11&lt;&gt;"",ISNUMBER(SEARCH($E$4,'Final Calculation Sheet'!$D$11))))),IF($F$4="",TRUE(),IF($F$4="(blank)",'Final Calculation Sheet'!$A$11="",IF($F$4="(nonblank)",'Final Calculation Sheet'!$A$11&lt;&gt;"",ISNUMBER(SEARCH($F$4,'Final Calculation Sheet'!$A$11))))),IF($G$4="",TRUE(),IF($G$4="(blank)",'Final Calculation Sheet'!$E$11="",IF($G$4="(nonblank)",'Final Calculation Sheet'!$E$11&lt;&gt;"",ISNUMBER(SEARCH($G$4,'Final Calculation Sheet'!$E$11))))),IF($H$4="",TRUE(),IF($H$4="(blank)",'Final Calculation Sheet'!$C$11="",IF($H$4="(nonblank)",'Final Calculation Sheet'!$C$11&lt;&gt;"",ISNUMBER(SEARCH($H$4,'Final Calculation Sheet'!$C$11))))),IF($I$4="",TRUE(),IF($I$4="(blank)",'Final Calculation Sheet'!$H$11="",IF($I$4="(nonblank)",'Final Calculation Sheet'!$H$11&lt;&gt;"",ISNUMBER(SEARCH($I$4,'Final Calculation Sheet'!$H$11))))),IF($J$4="",TRUE(),IF($J$4="(blank)",'Final Calculation Sheet'!$I$11="",IF($J$4="(nonblank)",'Final Calculation Sheet'!$I$11&lt;&gt;"",ISNUMBER(SEARCH($J$4,'Final Calculation Sheet'!$I$11))))),IF($K$4="",TRUE(),IF($K$4="(blank)",'Final Calculation Sheet'!$J$11="",IF($K$4="(nonblank)",'Final Calculation Sheet'!$J$11&lt;&gt;"",ISNUMBER(SEARCH($K$4,'Final Calculation Sheet'!$J$11))))),IF($L$4="",TRUE(),IF($L$4="(blank)",'Final Calculation Sheet'!$K$11="",IF($L$4="(nonblank)",'Final Calculation Sheet'!$K$11&lt;&gt;"",ISNUMBER(SEARCH($L$4,'Final Calculation Sheet'!$K$11))))),IF($M$4="",TRUE(),IF($M$4="(blank)",'Final Calculation Sheet'!$L$11="",IF($M$4="(nonblank)",'Final Calculation Sheet'!$L$11&lt;&gt;"",ISNUMBER(SEARCH($M$4,'Final Calculation Sheet'!$L$11))))),IF($N$4="",TRUE(),IF($N$4="(blank)",'Final Calculation Sheet'!$M$11="",IF($N$4="(nonblank)",'Final Calculation Sheet'!$M$11&lt;&gt;"",ISNUMBER(SEARCH($N$4,'Final Calculation Sheet'!$M$11))))),IF($O$4="",TRUE(),IF($O$4="(blank)",'Final Calculation Sheet'!$N$11="",IF($O$4="(nonblank)",'Final Calculation Sheet'!$N$11&lt;&gt;"",ISNUMBER(SEARCH($O$4,'Final Calculation Sheet'!$N$11))))),IF($P$4="",TRUE(),IF($P$4="(blank)",'Final Calculation Sheet'!$O$11="",IF($P$4="(nonblank)",'Final Calculation Sheet'!$O$11&lt;&gt;"",ISNUMBER(SEARCH($P$4,'Final Calculation Sheet'!$O$11))))),IF($Q$4="",TRUE(),IF($Q$4="(blank)",'Final Calculation Sheet'!$P$11="",IF($Q$4="(nonblank)",'Final Calculation Sheet'!$P$11&lt;&gt;"",ISNUMBER(SEARCH($Q$4,'Final Calculation Sheet'!$P$11))))),IF($R$4="",TRUE(),IF($R$4="(blank)",'Final Calculation Sheet'!$Q$11="",IF($R$4="(nonblank)",'Final Calculation Sheet'!$Q$11&lt;&gt;"",ISNUMBER(SEARCH($R$4,'Final Calculation Sheet'!$Q$11))))),IF($S$4="",TRUE(),IF($S$4="(blank)",'Final Calculation Sheet'!$R$11="",IF($S$4="(nonblank)",'Final Calculation Sheet'!$R$11&lt;&gt;"",ISNUMBER(SEARCH($S$4,'Final Calculation Sheet'!$R$11))))),IF($T$4="",TRUE(),IF($T$4="(blank)",'Final Calculation Sheet'!$S$11="",IF($T$4="(nonblank)",'Final Calculation Sheet'!$S$11&lt;&gt;"",ISNUMBER(SEARCH($T$4,'Final Calculation Sheet'!$S$11))))),IF($U$4="",TRUE(),IF($U$4="(blank)",'Final Calculation Sheet'!$T$11="",IF($U$4="(nonblank)",'Final Calculation Sheet'!$T$11&lt;&gt;"",ISNUMBER(SEARCH($U$4,'Final Calculation Sheet'!$T$11))))),IF($V$4="",TRUE(),IF($V$4="(blank)",'Final Calculation Sheet'!$U$11="",IF($V$4="(nonblank)",'Final Calculation Sheet'!$U$11&lt;&gt;"",ISNUMBER(SEARCH($V$4,'Final Calculation Sheet'!$U$11))))),IF($W$4="",TRUE(),IF($W$4="(blank)",'Final Calculation Sheet'!$V$11="",IF($W$4="(nonblank)",'Final Calculation Sheet'!$V$11&lt;&gt;"",ISNUMBER(SEARCH($W$4,'Final Calculation Sheet'!$V$11))))),IF($X$4="",TRUE(),IF($X$4="(blank)",'Final Calculation Sheet'!$W$11="",IF($X$4="(nonblank)",'Final Calculation Sheet'!$W$11&lt;&gt;"",ISNUMBER(SEARCH($X$4,'Final Calculation Sheet'!$W$11))))),IF($Y$4="",TRUE(),IF($Y$4="(blank)",'Final Calculation Sheet'!$X$11="",IF($Y$4="(nonblank)",'Final Calculation Sheet'!$X$11&lt;&gt;"",ISNUMBER(SEARCH($Y$4,'Final Calculation Sheet'!$X$11))))),IF($Z$4="",TRUE(),IF($Z$4="(blank)",'Final Calculation Sheet'!$Y$11="",IF($Z$4="(nonblank)",'Final Calculation Sheet'!$Y$11&lt;&gt;"",ISNUMBER(SEARCH($Z$4,'Final Calculation Sheet'!$Y$11))))),IF($AA$4="",TRUE(),IF($AA$4="(blank)",'Final Calculation Sheet'!$Z$11="",IF($AA$4="(nonblank)",'Final Calculation Sheet'!$Z$11&lt;&gt;"",ISNUMBER(SEARCH($AA$4,'Final Calculation Sheet'!$Z$11))))),IF($AB$4="",TRUE(),IF($AB$4="(blank)",'Final Calculation Sheet'!$AA$11="",IF($AB$4="(nonblank)",'Final Calculation Sheet'!$AA$11&lt;&gt;"",ISNUMBER(SEARCH($AB$4,'Final Calculation Sheet'!$AA$11))))),IF($AC$4="",TRUE(),IF($AC$4="(blank)",'Final Calculation Sheet'!$AB$11="",IF($AC$4="(nonblank)",'Final Calculation Sheet'!$AB$11&lt;&gt;"",ISNUMBER(SEARCH($AC$4,'Final Calculation Sheet'!$AB$11))))),IF($AD$4="",TRUE(),IF($AD$4="(blank)",'Final Calculation Sheet'!$AC$11="",IF($AD$4="(nonblank)",'Final Calculation Sheet'!$AC$11&lt;&gt;"",ISNUMBER(SEARCH($AD$4,'Final Calculation Sheet'!$AC$11))))),IF($AE$4="",TRUE(),IF($AE$4="(blank)",'Final Calculation Sheet'!$AD$11="",IF($AE$4="(nonblank)",'Final Calculation Sheet'!$AD$11&lt;&gt;"",ISNUMBER(SEARCH($AE$4,'Final Calculation Sheet'!$AD$11))))),IF($AG$4="",TRUE(),IF($AG$4="(blank)",'Final Calculation Sheet'!$AF$11="",IF($AG$4="(nonblank)",'Final Calculation Sheet'!$AF$11&lt;&gt;"",ISNUMBER(SEARCH($AG$4,'Final Calculation Sheet'!$AF$11))))),IF($AH$4="",TRUE(),IF($AH$4="(blank)",'Final Calculation Sheet'!$AG$11="",IF($AH$4="(nonblank)",'Final Calculation Sheet'!$AG$11&lt;&gt;"",ISNUMBER(SEARCH($AH$4,'Final Calculation Sheet'!$AG$11))))),IF($AI$4="",TRUE(),IF($AI$4="(blank)",'Final Calculation Sheet'!$AH$11="",IF($AI$4="(nonblank)",'Final Calculation Sheet'!$AH$11&lt;&gt;"",ISNUMBER(SEARCH($AI$4,'Final Calculation Sheet'!$AH$11))))),IF($AF$4="",TRUE(),IF($AF$4="(blank)",IF('Final Calculation Sheet'!$AD$11&lt;=5,"SETTLED","OUTSTANDING")="",IF($AF$4="(nonblank)",IF('Final Calculation Sheet'!$AD$11&lt;=5,"SETTLED","OUTSTANDING")&lt;&gt;"",ISNUMBER(SEARCH($AF$4,IF('Final Calculation Sheet'!$AD$11&lt;=5,"SETTLED","OUTSTANDING"))))))),1,0)</f>
      </c>
      <c r="AK20">
        <f>IF(AJ20=1,COUNTIF(AJ$7:AJ20,1),"")</f>
        <v/>
      </c>
    </row>
    <row r="21" outlineLevel="1" ht="15" customHeight="1" s="137">
      <c r="A21" s="90" t="n">
        <v>4</v>
      </c>
      <c r="B21" s="92">
        <f>IF('Final Calculation Sheet'!$F$12="","",'Final Calculation Sheet'!$F$12)</f>
        <v/>
      </c>
      <c r="C21" s="92">
        <f>IF('Final Calculation Sheet'!$G$12="","",'Final Calculation Sheet'!$G$12)</f>
        <v/>
      </c>
      <c r="D21" s="94">
        <f>IF('Final Calculation Sheet'!$B$12="","",'Final Calculation Sheet'!$B$12)</f>
        <v/>
      </c>
      <c r="E21" s="94">
        <f>IF('Final Calculation Sheet'!$D$12="","",'Final Calculation Sheet'!$D$12)</f>
        <v/>
      </c>
      <c r="F21" s="94">
        <f>IF('Final Calculation Sheet'!$A$12="","",'Final Calculation Sheet'!$A$12)</f>
        <v/>
      </c>
      <c r="G21" s="94">
        <f>IF('Final Calculation Sheet'!$E$12="","",'Final Calculation Sheet'!$E$12)</f>
        <v/>
      </c>
      <c r="H21" s="95">
        <f>IF('Final Calculation Sheet'!$C$12="","",'Final Calculation Sheet'!$C$12)</f>
        <v/>
      </c>
      <c r="I21" s="95">
        <f>IF('Final Calculation Sheet'!$H$12="","",'Final Calculation Sheet'!$H$12)</f>
        <v/>
      </c>
      <c r="J21" s="95">
        <f>IF('Final Calculation Sheet'!$I$12="","",'Final Calculation Sheet'!$I$12)</f>
        <v/>
      </c>
      <c r="K21" s="95">
        <f>IF('Final Calculation Sheet'!$J$12="","",'Final Calculation Sheet'!$J$12)</f>
        <v/>
      </c>
      <c r="L21" s="95">
        <f>IF('Final Calculation Sheet'!$K$12="","",'Final Calculation Sheet'!$K$12)</f>
        <v/>
      </c>
      <c r="M21" s="95">
        <f>IF('Final Calculation Sheet'!$L$12="","",'Final Calculation Sheet'!$L$12)</f>
        <v/>
      </c>
      <c r="N21" s="95">
        <f>IF('Final Calculation Sheet'!$M$12="","",'Final Calculation Sheet'!$M$12)</f>
        <v/>
      </c>
      <c r="O21" s="96">
        <f>IF('Final Calculation Sheet'!$N$12="","",'Final Calculation Sheet'!$N$12)</f>
        <v/>
      </c>
      <c r="P21" s="95">
        <f>IF('Final Calculation Sheet'!$O$12="","",'Final Calculation Sheet'!$O$12)</f>
        <v/>
      </c>
      <c r="Q21" s="95">
        <f>IF('Final Calculation Sheet'!$P$12="","",'Final Calculation Sheet'!$P$12)</f>
        <v/>
      </c>
      <c r="R21" s="97">
        <f>IF('Final Calculation Sheet'!$Q$12="","",'Final Calculation Sheet'!$Q$12)</f>
        <v/>
      </c>
      <c r="S21" s="95">
        <f>IF('Final Calculation Sheet'!$R$12="","",'Final Calculation Sheet'!$R$12)</f>
        <v/>
      </c>
      <c r="T21" s="95">
        <f>IF('Final Calculation Sheet'!$S$12="","",'Final Calculation Sheet'!$S$12)</f>
        <v/>
      </c>
      <c r="U21" s="95">
        <f>IF('Final Calculation Sheet'!$T$12="","",'Final Calculation Sheet'!$T$12)</f>
        <v/>
      </c>
      <c r="V21" s="98">
        <f>IF('Final Calculation Sheet'!$U$12="","",'Final Calculation Sheet'!$U$12)</f>
        <v/>
      </c>
      <c r="W21" s="95">
        <f>IF('Final Calculation Sheet'!$V$12="","",'Final Calculation Sheet'!$V$12)</f>
        <v/>
      </c>
      <c r="X21" s="95">
        <f>IF('Final Calculation Sheet'!$W$12="","",'Final Calculation Sheet'!$W$12)</f>
        <v/>
      </c>
      <c r="Y21" s="95">
        <f>IF('Final Calculation Sheet'!$X$12="","",'Final Calculation Sheet'!$X$12)</f>
        <v/>
      </c>
      <c r="Z21" s="95">
        <f>IF('Final Calculation Sheet'!$Y$12="","",'Final Calculation Sheet'!$Y$12)</f>
        <v/>
      </c>
      <c r="AA21" s="95">
        <f>IF('Final Calculation Sheet'!$Z$12="","",'Final Calculation Sheet'!$Z$12)</f>
        <v/>
      </c>
      <c r="AB21" s="95">
        <f>IF('Final Calculation Sheet'!$AA$12="","",'Final Calculation Sheet'!$AA$12)</f>
        <v/>
      </c>
      <c r="AC21" s="95">
        <f>IF('Final Calculation Sheet'!$AB$12="","",'Final Calculation Sheet'!$AB$12)</f>
        <v/>
      </c>
      <c r="AD21" s="95">
        <f>IF('Final Calculation Sheet'!$AC$12="","",'Final Calculation Sheet'!$AC$12)</f>
        <v/>
      </c>
      <c r="AE21" s="95">
        <f>IF('Final Calculation Sheet'!$AD$12="","",'Final Calculation Sheet'!$AD$12)</f>
        <v/>
      </c>
      <c r="AF21" s="100">
        <f>IF('Final Calculation Sheet'!$AD$12="","",IF('Final Calculation Sheet'!$AD$12&lt;=5,"SETTLED","OUTSTANDING"))</f>
        <v/>
      </c>
      <c r="AG21" s="95">
        <f>IF('Final Calculation Sheet'!$AF$12="","",'Final Calculation Sheet'!$AF$12)</f>
        <v/>
      </c>
      <c r="AH21" s="99">
        <f>IF('Final Calculation Sheet'!$AG$12="","",'Final Calculation Sheet'!$AG$12)</f>
        <v/>
      </c>
      <c r="AI21" s="95">
        <f>IF('Final Calculation Sheet'!$AH$12="","",'Final Calculation Sheet'!$AH$12)</f>
        <v/>
      </c>
      <c r="AJ21">
        <f>IF(AND(IF($B$4="",TRUE(),IF($B$4="(blank)",'Final Calculation Sheet'!$F$12="",IF($B$4="(nonblank)",'Final Calculation Sheet'!$F$12&lt;&gt;"",ISNUMBER(SEARCH($B$4,'Final Calculation Sheet'!$F$12))))),IF($C$4="",TRUE(),IF($C$4="(blank)",'Final Calculation Sheet'!$G$12="",IF($C$4="(nonblank)",'Final Calculation Sheet'!$G$12&lt;&gt;"",ISNUMBER(SEARCH($C$4,'Final Calculation Sheet'!$G$12))))),IF($D$4="",TRUE(),IF($D$4="(blank)",'Final Calculation Sheet'!$B$12="",IF($D$4="(nonblank)",'Final Calculation Sheet'!$B$12&lt;&gt;"",ISNUMBER(SEARCH($D$4,'Final Calculation Sheet'!$B$12))))),IF($E$4="",TRUE(),IF($E$4="(blank)",'Final Calculation Sheet'!$D$12="",IF($E$4="(nonblank)",'Final Calculation Sheet'!$D$12&lt;&gt;"",ISNUMBER(SEARCH($E$4,'Final Calculation Sheet'!$D$12))))),IF($F$4="",TRUE(),IF($F$4="(blank)",'Final Calculation Sheet'!$A$12="",IF($F$4="(nonblank)",'Final Calculation Sheet'!$A$12&lt;&gt;"",ISNUMBER(SEARCH($F$4,'Final Calculation Sheet'!$A$12))))),IF($G$4="",TRUE(),IF($G$4="(blank)",'Final Calculation Sheet'!$E$12="",IF($G$4="(nonblank)",'Final Calculation Sheet'!$E$12&lt;&gt;"",ISNUMBER(SEARCH($G$4,'Final Calculation Sheet'!$E$12))))),IF($H$4="",TRUE(),IF($H$4="(blank)",'Final Calculation Sheet'!$C$12="",IF($H$4="(nonblank)",'Final Calculation Sheet'!$C$12&lt;&gt;"",ISNUMBER(SEARCH($H$4,'Final Calculation Sheet'!$C$12))))),IF($I$4="",TRUE(),IF($I$4="(blank)",'Final Calculation Sheet'!$H$12="",IF($I$4="(nonblank)",'Final Calculation Sheet'!$H$12&lt;&gt;"",ISNUMBER(SEARCH($I$4,'Final Calculation Sheet'!$H$12))))),IF($J$4="",TRUE(),IF($J$4="(blank)",'Final Calculation Sheet'!$I$12="",IF($J$4="(nonblank)",'Final Calculation Sheet'!$I$12&lt;&gt;"",ISNUMBER(SEARCH($J$4,'Final Calculation Sheet'!$I$12))))),IF($K$4="",TRUE(),IF($K$4="(blank)",'Final Calculation Sheet'!$J$12="",IF($K$4="(nonblank)",'Final Calculation Sheet'!$J$12&lt;&gt;"",ISNUMBER(SEARCH($K$4,'Final Calculation Sheet'!$J$12))))),IF($L$4="",TRUE(),IF($L$4="(blank)",'Final Calculation Sheet'!$K$12="",IF($L$4="(nonblank)",'Final Calculation Sheet'!$K$12&lt;&gt;"",ISNUMBER(SEARCH($L$4,'Final Calculation Sheet'!$K$12))))),IF($M$4="",TRUE(),IF($M$4="(blank)",'Final Calculation Sheet'!$L$12="",IF($M$4="(nonblank)",'Final Calculation Sheet'!$L$12&lt;&gt;"",ISNUMBER(SEARCH($M$4,'Final Calculation Sheet'!$L$12))))),IF($N$4="",TRUE(),IF($N$4="(blank)",'Final Calculation Sheet'!$M$12="",IF($N$4="(nonblank)",'Final Calculation Sheet'!$M$12&lt;&gt;"",ISNUMBER(SEARCH($N$4,'Final Calculation Sheet'!$M$12))))),IF($O$4="",TRUE(),IF($O$4="(blank)",'Final Calculation Sheet'!$N$12="",IF($O$4="(nonblank)",'Final Calculation Sheet'!$N$12&lt;&gt;"",ISNUMBER(SEARCH($O$4,'Final Calculation Sheet'!$N$12))))),IF($P$4="",TRUE(),IF($P$4="(blank)",'Final Calculation Sheet'!$O$12="",IF($P$4="(nonblank)",'Final Calculation Sheet'!$O$12&lt;&gt;"",ISNUMBER(SEARCH($P$4,'Final Calculation Sheet'!$O$12))))),IF($Q$4="",TRUE(),IF($Q$4="(blank)",'Final Calculation Sheet'!$P$12="",IF($Q$4="(nonblank)",'Final Calculation Sheet'!$P$12&lt;&gt;"",ISNUMBER(SEARCH($Q$4,'Final Calculation Sheet'!$P$12))))),IF($R$4="",TRUE(),IF($R$4="(blank)",'Final Calculation Sheet'!$Q$12="",IF($R$4="(nonblank)",'Final Calculation Sheet'!$Q$12&lt;&gt;"",ISNUMBER(SEARCH($R$4,'Final Calculation Sheet'!$Q$12))))),IF($S$4="",TRUE(),IF($S$4="(blank)",'Final Calculation Sheet'!$R$12="",IF($S$4="(nonblank)",'Final Calculation Sheet'!$R$12&lt;&gt;"",ISNUMBER(SEARCH($S$4,'Final Calculation Sheet'!$R$12))))),IF($T$4="",TRUE(),IF($T$4="(blank)",'Final Calculation Sheet'!$S$12="",IF($T$4="(nonblank)",'Final Calculation Sheet'!$S$12&lt;&gt;"",ISNUMBER(SEARCH($T$4,'Final Calculation Sheet'!$S$12))))),IF($U$4="",TRUE(),IF($U$4="(blank)",'Final Calculation Sheet'!$T$12="",IF($U$4="(nonblank)",'Final Calculation Sheet'!$T$12&lt;&gt;"",ISNUMBER(SEARCH($U$4,'Final Calculation Sheet'!$T$12))))),IF($V$4="",TRUE(),IF($V$4="(blank)",'Final Calculation Sheet'!$U$12="",IF($V$4="(nonblank)",'Final Calculation Sheet'!$U$12&lt;&gt;"",ISNUMBER(SEARCH($V$4,'Final Calculation Sheet'!$U$12))))),IF($W$4="",TRUE(),IF($W$4="(blank)",'Final Calculation Sheet'!$V$12="",IF($W$4="(nonblank)",'Final Calculation Sheet'!$V$12&lt;&gt;"",ISNUMBER(SEARCH($W$4,'Final Calculation Sheet'!$V$12))))),IF($X$4="",TRUE(),IF($X$4="(blank)",'Final Calculation Sheet'!$W$12="",IF($X$4="(nonblank)",'Final Calculation Sheet'!$W$12&lt;&gt;"",ISNUMBER(SEARCH($X$4,'Final Calculation Sheet'!$W$12))))),IF($Y$4="",TRUE(),IF($Y$4="(blank)",'Final Calculation Sheet'!$X$12="",IF($Y$4="(nonblank)",'Final Calculation Sheet'!$X$12&lt;&gt;"",ISNUMBER(SEARCH($Y$4,'Final Calculation Sheet'!$X$12))))),IF($Z$4="",TRUE(),IF($Z$4="(blank)",'Final Calculation Sheet'!$Y$12="",IF($Z$4="(nonblank)",'Final Calculation Sheet'!$Y$12&lt;&gt;"",ISNUMBER(SEARCH($Z$4,'Final Calculation Sheet'!$Y$12))))),IF($AA$4="",TRUE(),IF($AA$4="(blank)",'Final Calculation Sheet'!$Z$12="",IF($AA$4="(nonblank)",'Final Calculation Sheet'!$Z$12&lt;&gt;"",ISNUMBER(SEARCH($AA$4,'Final Calculation Sheet'!$Z$12))))),IF($AB$4="",TRUE(),IF($AB$4="(blank)",'Final Calculation Sheet'!$AA$12="",IF($AB$4="(nonblank)",'Final Calculation Sheet'!$AA$12&lt;&gt;"",ISNUMBER(SEARCH($AB$4,'Final Calculation Sheet'!$AA$12))))),IF($AC$4="",TRUE(),IF($AC$4="(blank)",'Final Calculation Sheet'!$AB$12="",IF($AC$4="(nonblank)",'Final Calculation Sheet'!$AB$12&lt;&gt;"",ISNUMBER(SEARCH($AC$4,'Final Calculation Sheet'!$AB$12))))),IF($AD$4="",TRUE(),IF($AD$4="(blank)",'Final Calculation Sheet'!$AC$12="",IF($AD$4="(nonblank)",'Final Calculation Sheet'!$AC$12&lt;&gt;"",ISNUMBER(SEARCH($AD$4,'Final Calculation Sheet'!$AC$12))))),IF($AE$4="",TRUE(),IF($AE$4="(blank)",'Final Calculation Sheet'!$AD$12="",IF($AE$4="(nonblank)",'Final Calculation Sheet'!$AD$12&lt;&gt;"",ISNUMBER(SEARCH($AE$4,'Final Calculation Sheet'!$AD$12))))),IF($AG$4="",TRUE(),IF($AG$4="(blank)",'Final Calculation Sheet'!$AF$12="",IF($AG$4="(nonblank)",'Final Calculation Sheet'!$AF$12&lt;&gt;"",ISNUMBER(SEARCH($AG$4,'Final Calculation Sheet'!$AF$12))))),IF($AH$4="",TRUE(),IF($AH$4="(blank)",'Final Calculation Sheet'!$AG$12="",IF($AH$4="(nonblank)",'Final Calculation Sheet'!$AG$12&lt;&gt;"",ISNUMBER(SEARCH($AH$4,'Final Calculation Sheet'!$AG$12))))),IF($AI$4="",TRUE(),IF($AI$4="(blank)",'Final Calculation Sheet'!$AH$12="",IF($AI$4="(nonblank)",'Final Calculation Sheet'!$AH$12&lt;&gt;"",ISNUMBER(SEARCH($AI$4,'Final Calculation Sheet'!$AH$12))))),IF($AF$4="",TRUE(),IF($AF$4="(blank)",IF('Final Calculation Sheet'!$AD$12&lt;=5,"SETTLED","OUTSTANDING")="",IF($AF$4="(nonblank)",IF('Final Calculation Sheet'!$AD$12&lt;=5,"SETTLED","OUTSTANDING")&lt;&gt;"",ISNUMBER(SEARCH($AF$4,IF('Final Calculation Sheet'!$AD$12&lt;=5,"SETTLED","OUTSTANDING"))))))),1,0)</f>
      </c>
      <c r="AK21">
        <f>IF(AJ21=1,COUNTIF(AJ$7:AJ21,1),"")</f>
        <v/>
      </c>
    </row>
    <row r="22" outlineLevel="1" ht="15" customHeight="1" s="137">
      <c r="A22" s="67" t="n">
        <v>5</v>
      </c>
      <c r="B22" s="76">
        <f>IF('Final Calculation Sheet'!$F$18="","",'Final Calculation Sheet'!$F$18)</f>
        <v/>
      </c>
      <c r="C22" s="76">
        <f>IF('Final Calculation Sheet'!$G$18="","",'Final Calculation Sheet'!$G$18)</f>
        <v/>
      </c>
      <c r="D22" s="80">
        <f>IF('Final Calculation Sheet'!$B$18="","",'Final Calculation Sheet'!$B$18)</f>
        <v/>
      </c>
      <c r="E22" s="80">
        <f>IF('Final Calculation Sheet'!$D$18="","",'Final Calculation Sheet'!$D$18)</f>
        <v/>
      </c>
      <c r="F22" s="80">
        <f>IF('Final Calculation Sheet'!$A$18="","",'Final Calculation Sheet'!$A$18)</f>
        <v/>
      </c>
      <c r="G22" s="80">
        <f>IF('Final Calculation Sheet'!$E$18="","",'Final Calculation Sheet'!$E$18)</f>
        <v/>
      </c>
      <c r="H22" s="70">
        <f>IF('Final Calculation Sheet'!$C$18="","",'Final Calculation Sheet'!$C$18)</f>
        <v/>
      </c>
      <c r="I22" s="70">
        <f>IF('Final Calculation Sheet'!$H$18="","",'Final Calculation Sheet'!$H$18)</f>
        <v/>
      </c>
      <c r="J22" s="70">
        <f>IF('Final Calculation Sheet'!$I$18="","",'Final Calculation Sheet'!$I$18)</f>
        <v/>
      </c>
      <c r="K22" s="70">
        <f>IF('Final Calculation Sheet'!$J$18="","",'Final Calculation Sheet'!$J$18)</f>
        <v/>
      </c>
      <c r="L22" s="70">
        <f>IF('Final Calculation Sheet'!$K$18="","",'Final Calculation Sheet'!$K$18)</f>
        <v/>
      </c>
      <c r="M22" s="70">
        <f>IF('Final Calculation Sheet'!$L$18="","",'Final Calculation Sheet'!$L$18)</f>
        <v/>
      </c>
      <c r="N22" s="70">
        <f>IF('Final Calculation Sheet'!$M$18="","",'Final Calculation Sheet'!$M$18)</f>
        <v/>
      </c>
      <c r="O22" s="71">
        <f>IF('Final Calculation Sheet'!$N$18="","",'Final Calculation Sheet'!$N$18)</f>
        <v/>
      </c>
      <c r="P22" s="70">
        <f>IF('Final Calculation Sheet'!$O$18="","",'Final Calculation Sheet'!$O$18)</f>
        <v/>
      </c>
      <c r="Q22" s="70">
        <f>IF('Final Calculation Sheet'!$P$18="","",'Final Calculation Sheet'!$P$18)</f>
        <v/>
      </c>
      <c r="R22" s="72">
        <f>IF('Final Calculation Sheet'!$Q$18="","",'Final Calculation Sheet'!$Q$18)</f>
        <v/>
      </c>
      <c r="S22" s="70">
        <f>IF('Final Calculation Sheet'!$R$18="","",'Final Calculation Sheet'!$R$18)</f>
        <v/>
      </c>
      <c r="T22" s="70">
        <f>IF('Final Calculation Sheet'!$S$18="","",'Final Calculation Sheet'!$S$18)</f>
        <v/>
      </c>
      <c r="U22" s="70">
        <f>IF('Final Calculation Sheet'!$T$18="","",'Final Calculation Sheet'!$T$18)</f>
        <v/>
      </c>
      <c r="V22" s="73">
        <f>IF('Final Calculation Sheet'!$U$18="","",'Final Calculation Sheet'!$U$18)</f>
        <v/>
      </c>
      <c r="W22" s="70">
        <f>IF('Final Calculation Sheet'!$V$18="","",'Final Calculation Sheet'!$V$18)</f>
        <v/>
      </c>
      <c r="X22" s="70">
        <f>IF('Final Calculation Sheet'!$W$18="","",'Final Calculation Sheet'!$W$18)</f>
        <v/>
      </c>
      <c r="Y22" s="70">
        <f>IF('Final Calculation Sheet'!$X$18="","",'Final Calculation Sheet'!$X$18)</f>
        <v/>
      </c>
      <c r="Z22" s="70">
        <f>IF('Final Calculation Sheet'!$Y$18="","",'Final Calculation Sheet'!$Y$18)</f>
        <v/>
      </c>
      <c r="AA22" s="70">
        <f>IF('Final Calculation Sheet'!$Z$18="","",'Final Calculation Sheet'!$Z$18)</f>
        <v/>
      </c>
      <c r="AB22" s="70">
        <f>IF('Final Calculation Sheet'!$AA$18="","",'Final Calculation Sheet'!$AA$18)</f>
        <v/>
      </c>
      <c r="AC22" s="70">
        <f>IF('Final Calculation Sheet'!$AB$18="","",'Final Calculation Sheet'!$AB$18)</f>
        <v/>
      </c>
      <c r="AD22" s="70">
        <f>IF('Final Calculation Sheet'!$AC$18="","",'Final Calculation Sheet'!$AC$18)</f>
        <v/>
      </c>
      <c r="AE22" s="70">
        <f>IF('Final Calculation Sheet'!$AD$18="","",'Final Calculation Sheet'!$AD$18)</f>
        <v/>
      </c>
      <c r="AF22" s="75">
        <f>IF('Final Calculation Sheet'!$AD$18="","",IF('Final Calculation Sheet'!$AD$18&lt;=5,"SETTLED","OUTSTANDING"))</f>
        <v/>
      </c>
      <c r="AG22" s="70">
        <f>IF('Final Calculation Sheet'!$AF$18="","",'Final Calculation Sheet'!$AF$18)</f>
        <v/>
      </c>
      <c r="AH22" s="74">
        <f>IF('Final Calculation Sheet'!$AG$18="","",'Final Calculation Sheet'!$AG$18)</f>
        <v/>
      </c>
      <c r="AI22" s="70">
        <f>IF('Final Calculation Sheet'!$AH$18="","",'Final Calculation Sheet'!$AH$18)</f>
        <v/>
      </c>
      <c r="AJ22">
        <f>IF(AND(IF($B$4="",TRUE(),IF($B$4="(blank)",'Final Calculation Sheet'!$F$18="",IF($B$4="(nonblank)",'Final Calculation Sheet'!$F$18&lt;&gt;"",ISNUMBER(SEARCH($B$4,'Final Calculation Sheet'!$F$18))))),IF($C$4="",TRUE(),IF($C$4="(blank)",'Final Calculation Sheet'!$G$18="",IF($C$4="(nonblank)",'Final Calculation Sheet'!$G$18&lt;&gt;"",ISNUMBER(SEARCH($C$4,'Final Calculation Sheet'!$G$18))))),IF($D$4="",TRUE(),IF($D$4="(blank)",'Final Calculation Sheet'!$B$18="",IF($D$4="(nonblank)",'Final Calculation Sheet'!$B$18&lt;&gt;"",ISNUMBER(SEARCH($D$4,'Final Calculation Sheet'!$B$18))))),IF($E$4="",TRUE(),IF($E$4="(blank)",'Final Calculation Sheet'!$D$18="",IF($E$4="(nonblank)",'Final Calculation Sheet'!$D$18&lt;&gt;"",ISNUMBER(SEARCH($E$4,'Final Calculation Sheet'!$D$18))))),IF($F$4="",TRUE(),IF($F$4="(blank)",'Final Calculation Sheet'!$A$18="",IF($F$4="(nonblank)",'Final Calculation Sheet'!$A$18&lt;&gt;"",ISNUMBER(SEARCH($F$4,'Final Calculation Sheet'!$A$18))))),IF($G$4="",TRUE(),IF($G$4="(blank)",'Final Calculation Sheet'!$E$18="",IF($G$4="(nonblank)",'Final Calculation Sheet'!$E$18&lt;&gt;"",ISNUMBER(SEARCH($G$4,'Final Calculation Sheet'!$E$18))))),IF($H$4="",TRUE(),IF($H$4="(blank)",'Final Calculation Sheet'!$C$18="",IF($H$4="(nonblank)",'Final Calculation Sheet'!$C$18&lt;&gt;"",ISNUMBER(SEARCH($H$4,'Final Calculation Sheet'!$C$18))))),IF($I$4="",TRUE(),IF($I$4="(blank)",'Final Calculation Sheet'!$H$18="",IF($I$4="(nonblank)",'Final Calculation Sheet'!$H$18&lt;&gt;"",ISNUMBER(SEARCH($I$4,'Final Calculation Sheet'!$H$18))))),IF($J$4="",TRUE(),IF($J$4="(blank)",'Final Calculation Sheet'!$I$18="",IF($J$4="(nonblank)",'Final Calculation Sheet'!$I$18&lt;&gt;"",ISNUMBER(SEARCH($J$4,'Final Calculation Sheet'!$I$18))))),IF($K$4="",TRUE(),IF($K$4="(blank)",'Final Calculation Sheet'!$J$18="",IF($K$4="(nonblank)",'Final Calculation Sheet'!$J$18&lt;&gt;"",ISNUMBER(SEARCH($K$4,'Final Calculation Sheet'!$J$18))))),IF($L$4="",TRUE(),IF($L$4="(blank)",'Final Calculation Sheet'!$K$18="",IF($L$4="(nonblank)",'Final Calculation Sheet'!$K$18&lt;&gt;"",ISNUMBER(SEARCH($L$4,'Final Calculation Sheet'!$K$18))))),IF($M$4="",TRUE(),IF($M$4="(blank)",'Final Calculation Sheet'!$L$18="",IF($M$4="(nonblank)",'Final Calculation Sheet'!$L$18&lt;&gt;"",ISNUMBER(SEARCH($M$4,'Final Calculation Sheet'!$L$18))))),IF($N$4="",TRUE(),IF($N$4="(blank)",'Final Calculation Sheet'!$M$18="",IF($N$4="(nonblank)",'Final Calculation Sheet'!$M$18&lt;&gt;"",ISNUMBER(SEARCH($N$4,'Final Calculation Sheet'!$M$18))))),IF($O$4="",TRUE(),IF($O$4="(blank)",'Final Calculation Sheet'!$N$18="",IF($O$4="(nonblank)",'Final Calculation Sheet'!$N$18&lt;&gt;"",ISNUMBER(SEARCH($O$4,'Final Calculation Sheet'!$N$18))))),IF($P$4="",TRUE(),IF($P$4="(blank)",'Final Calculation Sheet'!$O$18="",IF($P$4="(nonblank)",'Final Calculation Sheet'!$O$18&lt;&gt;"",ISNUMBER(SEARCH($P$4,'Final Calculation Sheet'!$O$18))))),IF($Q$4="",TRUE(),IF($Q$4="(blank)",'Final Calculation Sheet'!$P$18="",IF($Q$4="(nonblank)",'Final Calculation Sheet'!$P$18&lt;&gt;"",ISNUMBER(SEARCH($Q$4,'Final Calculation Sheet'!$P$18))))),IF($R$4="",TRUE(),IF($R$4="(blank)",'Final Calculation Sheet'!$Q$18="",IF($R$4="(nonblank)",'Final Calculation Sheet'!$Q$18&lt;&gt;"",ISNUMBER(SEARCH($R$4,'Final Calculation Sheet'!$Q$18))))),IF($S$4="",TRUE(),IF($S$4="(blank)",'Final Calculation Sheet'!$R$18="",IF($S$4="(nonblank)",'Final Calculation Sheet'!$R$18&lt;&gt;"",ISNUMBER(SEARCH($S$4,'Final Calculation Sheet'!$R$18))))),IF($T$4="",TRUE(),IF($T$4="(blank)",'Final Calculation Sheet'!$S$18="",IF($T$4="(nonblank)",'Final Calculation Sheet'!$S$18&lt;&gt;"",ISNUMBER(SEARCH($T$4,'Final Calculation Sheet'!$S$18))))),IF($U$4="",TRUE(),IF($U$4="(blank)",'Final Calculation Sheet'!$T$18="",IF($U$4="(nonblank)",'Final Calculation Sheet'!$T$18&lt;&gt;"",ISNUMBER(SEARCH($U$4,'Final Calculation Sheet'!$T$18))))),IF($V$4="",TRUE(),IF($V$4="(blank)",'Final Calculation Sheet'!$U$18="",IF($V$4="(nonblank)",'Final Calculation Sheet'!$U$18&lt;&gt;"",ISNUMBER(SEARCH($V$4,'Final Calculation Sheet'!$U$18))))),IF($W$4="",TRUE(),IF($W$4="(blank)",'Final Calculation Sheet'!$V$18="",IF($W$4="(nonblank)",'Final Calculation Sheet'!$V$18&lt;&gt;"",ISNUMBER(SEARCH($W$4,'Final Calculation Sheet'!$V$18))))),IF($X$4="",TRUE(),IF($X$4="(blank)",'Final Calculation Sheet'!$W$18="",IF($X$4="(nonblank)",'Final Calculation Sheet'!$W$18&lt;&gt;"",ISNUMBER(SEARCH($X$4,'Final Calculation Sheet'!$W$18))))),IF($Y$4="",TRUE(),IF($Y$4="(blank)",'Final Calculation Sheet'!$X$18="",IF($Y$4="(nonblank)",'Final Calculation Sheet'!$X$18&lt;&gt;"",ISNUMBER(SEARCH($Y$4,'Final Calculation Sheet'!$X$18))))),IF($Z$4="",TRUE(),IF($Z$4="(blank)",'Final Calculation Sheet'!$Y$18="",IF($Z$4="(nonblank)",'Final Calculation Sheet'!$Y$18&lt;&gt;"",ISNUMBER(SEARCH($Z$4,'Final Calculation Sheet'!$Y$18))))),IF($AA$4="",TRUE(),IF($AA$4="(blank)",'Final Calculation Sheet'!$Z$18="",IF($AA$4="(nonblank)",'Final Calculation Sheet'!$Z$18&lt;&gt;"",ISNUMBER(SEARCH($AA$4,'Final Calculation Sheet'!$Z$18))))),IF($AB$4="",TRUE(),IF($AB$4="(blank)",'Final Calculation Sheet'!$AA$18="",IF($AB$4="(nonblank)",'Final Calculation Sheet'!$AA$18&lt;&gt;"",ISNUMBER(SEARCH($AB$4,'Final Calculation Sheet'!$AA$18))))),IF($AC$4="",TRUE(),IF($AC$4="(blank)",'Final Calculation Sheet'!$AB$18="",IF($AC$4="(nonblank)",'Final Calculation Sheet'!$AB$18&lt;&gt;"",ISNUMBER(SEARCH($AC$4,'Final Calculation Sheet'!$AB$18))))),IF($AD$4="",TRUE(),IF($AD$4="(blank)",'Final Calculation Sheet'!$AC$18="",IF($AD$4="(nonblank)",'Final Calculation Sheet'!$AC$18&lt;&gt;"",ISNUMBER(SEARCH($AD$4,'Final Calculation Sheet'!$AC$18))))),IF($AE$4="",TRUE(),IF($AE$4="(blank)",'Final Calculation Sheet'!$AD$18="",IF($AE$4="(nonblank)",'Final Calculation Sheet'!$AD$18&lt;&gt;"",ISNUMBER(SEARCH($AE$4,'Final Calculation Sheet'!$AD$18))))),IF($AG$4="",TRUE(),IF($AG$4="(blank)",'Final Calculation Sheet'!$AF$18="",IF($AG$4="(nonblank)",'Final Calculation Sheet'!$AF$18&lt;&gt;"",ISNUMBER(SEARCH($AG$4,'Final Calculation Sheet'!$AF$18))))),IF($AH$4="",TRUE(),IF($AH$4="(blank)",'Final Calculation Sheet'!$AG$18="",IF($AH$4="(nonblank)",'Final Calculation Sheet'!$AG$18&lt;&gt;"",ISNUMBER(SEARCH($AH$4,'Final Calculation Sheet'!$AG$18))))),IF($AI$4="",TRUE(),IF($AI$4="(blank)",'Final Calculation Sheet'!$AH$18="",IF($AI$4="(nonblank)",'Final Calculation Sheet'!$AH$18&lt;&gt;"",ISNUMBER(SEARCH($AI$4,'Final Calculation Sheet'!$AH$18))))),IF($AF$4="",TRUE(),IF($AF$4="(blank)",IF('Final Calculation Sheet'!$AD$18&lt;=5,"SETTLED","OUTSTANDING")="",IF($AF$4="(nonblank)",IF('Final Calculation Sheet'!$AD$18&lt;=5,"SETTLED","OUTSTANDING")&lt;&gt;"",ISNUMBER(SEARCH($AF$4,IF('Final Calculation Sheet'!$AD$18&lt;=5,"SETTLED","OUTSTANDING"))))))),1,0)</f>
      </c>
      <c r="AK22">
        <f>IF(AJ22=1,COUNTIF(AJ$7:AJ22,1),"")</f>
        <v/>
      </c>
    </row>
    <row r="23" outlineLevel="1" ht="15" customHeight="1" s="137">
      <c r="A23" s="90" t="n">
        <v>6</v>
      </c>
      <c r="B23" s="92">
        <f>IF('Final Calculation Sheet'!$F$19="","",'Final Calculation Sheet'!$F$19)</f>
        <v/>
      </c>
      <c r="C23" s="92">
        <f>IF('Final Calculation Sheet'!$G$19="","",'Final Calculation Sheet'!$G$19)</f>
        <v/>
      </c>
      <c r="D23" s="94">
        <f>IF('Final Calculation Sheet'!$B$19="","",'Final Calculation Sheet'!$B$19)</f>
        <v/>
      </c>
      <c r="E23" s="94">
        <f>IF('Final Calculation Sheet'!$D$19="","",'Final Calculation Sheet'!$D$19)</f>
        <v/>
      </c>
      <c r="F23" s="94">
        <f>IF('Final Calculation Sheet'!$A$19="","",'Final Calculation Sheet'!$A$19)</f>
        <v/>
      </c>
      <c r="G23" s="94">
        <f>IF('Final Calculation Sheet'!$E$19="","",'Final Calculation Sheet'!$E$19)</f>
        <v/>
      </c>
      <c r="H23" s="95">
        <f>IF('Final Calculation Sheet'!$C$19="","",'Final Calculation Sheet'!$C$19)</f>
        <v/>
      </c>
      <c r="I23" s="95">
        <f>IF('Final Calculation Sheet'!$H$19="","",'Final Calculation Sheet'!$H$19)</f>
        <v/>
      </c>
      <c r="J23" s="95">
        <f>IF('Final Calculation Sheet'!$I$19="","",'Final Calculation Sheet'!$I$19)</f>
        <v/>
      </c>
      <c r="K23" s="95">
        <f>IF('Final Calculation Sheet'!$J$19="","",'Final Calculation Sheet'!$J$19)</f>
        <v/>
      </c>
      <c r="L23" s="95">
        <f>IF('Final Calculation Sheet'!$K$19="","",'Final Calculation Sheet'!$K$19)</f>
        <v/>
      </c>
      <c r="M23" s="95">
        <f>IF('Final Calculation Sheet'!$L$19="","",'Final Calculation Sheet'!$L$19)</f>
        <v/>
      </c>
      <c r="N23" s="95">
        <f>IF('Final Calculation Sheet'!$M$19="","",'Final Calculation Sheet'!$M$19)</f>
        <v/>
      </c>
      <c r="O23" s="96">
        <f>IF('Final Calculation Sheet'!$N$19="","",'Final Calculation Sheet'!$N$19)</f>
        <v/>
      </c>
      <c r="P23" s="95">
        <f>IF('Final Calculation Sheet'!$O$19="","",'Final Calculation Sheet'!$O$19)</f>
        <v/>
      </c>
      <c r="Q23" s="95">
        <f>IF('Final Calculation Sheet'!$P$19="","",'Final Calculation Sheet'!$P$19)</f>
        <v/>
      </c>
      <c r="R23" s="97">
        <f>IF('Final Calculation Sheet'!$Q$19="","",'Final Calculation Sheet'!$Q$19)</f>
        <v/>
      </c>
      <c r="S23" s="95">
        <f>IF('Final Calculation Sheet'!$R$19="","",'Final Calculation Sheet'!$R$19)</f>
        <v/>
      </c>
      <c r="T23" s="95">
        <f>IF('Final Calculation Sheet'!$S$19="","",'Final Calculation Sheet'!$S$19)</f>
        <v/>
      </c>
      <c r="U23" s="95">
        <f>IF('Final Calculation Sheet'!$T$19="","",'Final Calculation Sheet'!$T$19)</f>
        <v/>
      </c>
      <c r="V23" s="98">
        <f>IF('Final Calculation Sheet'!$U$19="","",'Final Calculation Sheet'!$U$19)</f>
        <v/>
      </c>
      <c r="W23" s="95">
        <f>IF('Final Calculation Sheet'!$V$19="","",'Final Calculation Sheet'!$V$19)</f>
        <v/>
      </c>
      <c r="X23" s="95">
        <f>IF('Final Calculation Sheet'!$W$19="","",'Final Calculation Sheet'!$W$19)</f>
        <v/>
      </c>
      <c r="Y23" s="95">
        <f>IF('Final Calculation Sheet'!$X$19="","",'Final Calculation Sheet'!$X$19)</f>
        <v/>
      </c>
      <c r="Z23" s="95">
        <f>IF('Final Calculation Sheet'!$Y$19="","",'Final Calculation Sheet'!$Y$19)</f>
        <v/>
      </c>
      <c r="AA23" s="95">
        <f>IF('Final Calculation Sheet'!$Z$19="","",'Final Calculation Sheet'!$Z$19)</f>
        <v/>
      </c>
      <c r="AB23" s="95">
        <f>IF('Final Calculation Sheet'!$AA$19="","",'Final Calculation Sheet'!$AA$19)</f>
        <v/>
      </c>
      <c r="AC23" s="95">
        <f>IF('Final Calculation Sheet'!$AB$19="","",'Final Calculation Sheet'!$AB$19)</f>
        <v/>
      </c>
      <c r="AD23" s="95">
        <f>IF('Final Calculation Sheet'!$AC$19="","",'Final Calculation Sheet'!$AC$19)</f>
        <v/>
      </c>
      <c r="AE23" s="95">
        <f>IF('Final Calculation Sheet'!$AD$19="","",'Final Calculation Sheet'!$AD$19)</f>
        <v/>
      </c>
      <c r="AF23" s="100">
        <f>IF('Final Calculation Sheet'!$AD$19="","",IF('Final Calculation Sheet'!$AD$19&lt;=5,"SETTLED","OUTSTANDING"))</f>
        <v/>
      </c>
      <c r="AG23" s="95">
        <f>IF('Final Calculation Sheet'!$AF$19="","",'Final Calculation Sheet'!$AF$19)</f>
        <v/>
      </c>
      <c r="AH23" s="99">
        <f>IF('Final Calculation Sheet'!$AG$19="","",'Final Calculation Sheet'!$AG$19)</f>
        <v/>
      </c>
      <c r="AI23" s="95">
        <f>IF('Final Calculation Sheet'!$AH$19="","",'Final Calculation Sheet'!$AH$19)</f>
        <v/>
      </c>
      <c r="AJ23">
        <f>IF(AND(IF($B$4="",TRUE(),IF($B$4="(blank)",'Final Calculation Sheet'!$F$19="",IF($B$4="(nonblank)",'Final Calculation Sheet'!$F$19&lt;&gt;"",ISNUMBER(SEARCH($B$4,'Final Calculation Sheet'!$F$19))))),IF($C$4="",TRUE(),IF($C$4="(blank)",'Final Calculation Sheet'!$G$19="",IF($C$4="(nonblank)",'Final Calculation Sheet'!$G$19&lt;&gt;"",ISNUMBER(SEARCH($C$4,'Final Calculation Sheet'!$G$19))))),IF($D$4="",TRUE(),IF($D$4="(blank)",'Final Calculation Sheet'!$B$19="",IF($D$4="(nonblank)",'Final Calculation Sheet'!$B$19&lt;&gt;"",ISNUMBER(SEARCH($D$4,'Final Calculation Sheet'!$B$19))))),IF($E$4="",TRUE(),IF($E$4="(blank)",'Final Calculation Sheet'!$D$19="",IF($E$4="(nonblank)",'Final Calculation Sheet'!$D$19&lt;&gt;"",ISNUMBER(SEARCH($E$4,'Final Calculation Sheet'!$D$19))))),IF($F$4="",TRUE(),IF($F$4="(blank)",'Final Calculation Sheet'!$A$19="",IF($F$4="(nonblank)",'Final Calculation Sheet'!$A$19&lt;&gt;"",ISNUMBER(SEARCH($F$4,'Final Calculation Sheet'!$A$19))))),IF($G$4="",TRUE(),IF($G$4="(blank)",'Final Calculation Sheet'!$E$19="",IF($G$4="(nonblank)",'Final Calculation Sheet'!$E$19&lt;&gt;"",ISNUMBER(SEARCH($G$4,'Final Calculation Sheet'!$E$19))))),IF($H$4="",TRUE(),IF($H$4="(blank)",'Final Calculation Sheet'!$C$19="",IF($H$4="(nonblank)",'Final Calculation Sheet'!$C$19&lt;&gt;"",ISNUMBER(SEARCH($H$4,'Final Calculation Sheet'!$C$19))))),IF($I$4="",TRUE(),IF($I$4="(blank)",'Final Calculation Sheet'!$H$19="",IF($I$4="(nonblank)",'Final Calculation Sheet'!$H$19&lt;&gt;"",ISNUMBER(SEARCH($I$4,'Final Calculation Sheet'!$H$19))))),IF($J$4="",TRUE(),IF($J$4="(blank)",'Final Calculation Sheet'!$I$19="",IF($J$4="(nonblank)",'Final Calculation Sheet'!$I$19&lt;&gt;"",ISNUMBER(SEARCH($J$4,'Final Calculation Sheet'!$I$19))))),IF($K$4="",TRUE(),IF($K$4="(blank)",'Final Calculation Sheet'!$J$19="",IF($K$4="(nonblank)",'Final Calculation Sheet'!$J$19&lt;&gt;"",ISNUMBER(SEARCH($K$4,'Final Calculation Sheet'!$J$19))))),IF($L$4="",TRUE(),IF($L$4="(blank)",'Final Calculation Sheet'!$K$19="",IF($L$4="(nonblank)",'Final Calculation Sheet'!$K$19&lt;&gt;"",ISNUMBER(SEARCH($L$4,'Final Calculation Sheet'!$K$19))))),IF($M$4="",TRUE(),IF($M$4="(blank)",'Final Calculation Sheet'!$L$19="",IF($M$4="(nonblank)",'Final Calculation Sheet'!$L$19&lt;&gt;"",ISNUMBER(SEARCH($M$4,'Final Calculation Sheet'!$L$19))))),IF($N$4="",TRUE(),IF($N$4="(blank)",'Final Calculation Sheet'!$M$19="",IF($N$4="(nonblank)",'Final Calculation Sheet'!$M$19&lt;&gt;"",ISNUMBER(SEARCH($N$4,'Final Calculation Sheet'!$M$19))))),IF($O$4="",TRUE(),IF($O$4="(blank)",'Final Calculation Sheet'!$N$19="",IF($O$4="(nonblank)",'Final Calculation Sheet'!$N$19&lt;&gt;"",ISNUMBER(SEARCH($O$4,'Final Calculation Sheet'!$N$19))))),IF($P$4="",TRUE(),IF($P$4="(blank)",'Final Calculation Sheet'!$O$19="",IF($P$4="(nonblank)",'Final Calculation Sheet'!$O$19&lt;&gt;"",ISNUMBER(SEARCH($P$4,'Final Calculation Sheet'!$O$19))))),IF($Q$4="",TRUE(),IF($Q$4="(blank)",'Final Calculation Sheet'!$P$19="",IF($Q$4="(nonblank)",'Final Calculation Sheet'!$P$19&lt;&gt;"",ISNUMBER(SEARCH($Q$4,'Final Calculation Sheet'!$P$19))))),IF($R$4="",TRUE(),IF($R$4="(blank)",'Final Calculation Sheet'!$Q$19="",IF($R$4="(nonblank)",'Final Calculation Sheet'!$Q$19&lt;&gt;"",ISNUMBER(SEARCH($R$4,'Final Calculation Sheet'!$Q$19))))),IF($S$4="",TRUE(),IF($S$4="(blank)",'Final Calculation Sheet'!$R$19="",IF($S$4="(nonblank)",'Final Calculation Sheet'!$R$19&lt;&gt;"",ISNUMBER(SEARCH($S$4,'Final Calculation Sheet'!$R$19))))),IF($T$4="",TRUE(),IF($T$4="(blank)",'Final Calculation Sheet'!$S$19="",IF($T$4="(nonblank)",'Final Calculation Sheet'!$S$19&lt;&gt;"",ISNUMBER(SEARCH($T$4,'Final Calculation Sheet'!$S$19))))),IF($U$4="",TRUE(),IF($U$4="(blank)",'Final Calculation Sheet'!$T$19="",IF($U$4="(nonblank)",'Final Calculation Sheet'!$T$19&lt;&gt;"",ISNUMBER(SEARCH($U$4,'Final Calculation Sheet'!$T$19))))),IF($V$4="",TRUE(),IF($V$4="(blank)",'Final Calculation Sheet'!$U$19="",IF($V$4="(nonblank)",'Final Calculation Sheet'!$U$19&lt;&gt;"",ISNUMBER(SEARCH($V$4,'Final Calculation Sheet'!$U$19))))),IF($W$4="",TRUE(),IF($W$4="(blank)",'Final Calculation Sheet'!$V$19="",IF($W$4="(nonblank)",'Final Calculation Sheet'!$V$19&lt;&gt;"",ISNUMBER(SEARCH($W$4,'Final Calculation Sheet'!$V$19))))),IF($X$4="",TRUE(),IF($X$4="(blank)",'Final Calculation Sheet'!$W$19="",IF($X$4="(nonblank)",'Final Calculation Sheet'!$W$19&lt;&gt;"",ISNUMBER(SEARCH($X$4,'Final Calculation Sheet'!$W$19))))),IF($Y$4="",TRUE(),IF($Y$4="(blank)",'Final Calculation Sheet'!$X$19="",IF($Y$4="(nonblank)",'Final Calculation Sheet'!$X$19&lt;&gt;"",ISNUMBER(SEARCH($Y$4,'Final Calculation Sheet'!$X$19))))),IF($Z$4="",TRUE(),IF($Z$4="(blank)",'Final Calculation Sheet'!$Y$19="",IF($Z$4="(nonblank)",'Final Calculation Sheet'!$Y$19&lt;&gt;"",ISNUMBER(SEARCH($Z$4,'Final Calculation Sheet'!$Y$19))))),IF($AA$4="",TRUE(),IF($AA$4="(blank)",'Final Calculation Sheet'!$Z$19="",IF($AA$4="(nonblank)",'Final Calculation Sheet'!$Z$19&lt;&gt;"",ISNUMBER(SEARCH($AA$4,'Final Calculation Sheet'!$Z$19))))),IF($AB$4="",TRUE(),IF($AB$4="(blank)",'Final Calculation Sheet'!$AA$19="",IF($AB$4="(nonblank)",'Final Calculation Sheet'!$AA$19&lt;&gt;"",ISNUMBER(SEARCH($AB$4,'Final Calculation Sheet'!$AA$19))))),IF($AC$4="",TRUE(),IF($AC$4="(blank)",'Final Calculation Sheet'!$AB$19="",IF($AC$4="(nonblank)",'Final Calculation Sheet'!$AB$19&lt;&gt;"",ISNUMBER(SEARCH($AC$4,'Final Calculation Sheet'!$AB$19))))),IF($AD$4="",TRUE(),IF($AD$4="(blank)",'Final Calculation Sheet'!$AC$19="",IF($AD$4="(nonblank)",'Final Calculation Sheet'!$AC$19&lt;&gt;"",ISNUMBER(SEARCH($AD$4,'Final Calculation Sheet'!$AC$19))))),IF($AE$4="",TRUE(),IF($AE$4="(blank)",'Final Calculation Sheet'!$AD$19="",IF($AE$4="(nonblank)",'Final Calculation Sheet'!$AD$19&lt;&gt;"",ISNUMBER(SEARCH($AE$4,'Final Calculation Sheet'!$AD$19))))),IF($AG$4="",TRUE(),IF($AG$4="(blank)",'Final Calculation Sheet'!$AF$19="",IF($AG$4="(nonblank)",'Final Calculation Sheet'!$AF$19&lt;&gt;"",ISNUMBER(SEARCH($AG$4,'Final Calculation Sheet'!$AF$19))))),IF($AH$4="",TRUE(),IF($AH$4="(blank)",'Final Calculation Sheet'!$AG$19="",IF($AH$4="(nonblank)",'Final Calculation Sheet'!$AG$19&lt;&gt;"",ISNUMBER(SEARCH($AH$4,'Final Calculation Sheet'!$AG$19))))),IF($AI$4="",TRUE(),IF($AI$4="(blank)",'Final Calculation Sheet'!$AH$19="",IF($AI$4="(nonblank)",'Final Calculation Sheet'!$AH$19&lt;&gt;"",ISNUMBER(SEARCH($AI$4,'Final Calculation Sheet'!$AH$19))))),IF($AF$4="",TRUE(),IF($AF$4="(blank)",IF('Final Calculation Sheet'!$AD$19&lt;=5,"SETTLED","OUTSTANDING")="",IF($AF$4="(nonblank)",IF('Final Calculation Sheet'!$AD$19&lt;=5,"SETTLED","OUTSTANDING")&lt;&gt;"",ISNUMBER(SEARCH($AF$4,IF('Final Calculation Sheet'!$AD$19&lt;=5,"SETTLED","OUTSTANDING"))))))),1,0)</f>
      </c>
      <c r="AK23">
        <f>IF(AJ23=1,COUNTIF(AJ$7:AJ23,1),"")</f>
        <v/>
      </c>
    </row>
    <row r="24" outlineLevel="1" ht="15" customHeight="1" s="137">
      <c r="A24" s="67" t="n">
        <v>7</v>
      </c>
      <c r="B24" s="76">
        <f>IF('Final Calculation Sheet'!$F$22="","",'Final Calculation Sheet'!$F$22)</f>
        <v/>
      </c>
      <c r="C24" s="76">
        <f>IF('Final Calculation Sheet'!$G$22="","",'Final Calculation Sheet'!$G$22)</f>
        <v/>
      </c>
      <c r="D24" s="80">
        <f>IF('Final Calculation Sheet'!$B$22="","",'Final Calculation Sheet'!$B$22)</f>
        <v/>
      </c>
      <c r="E24" s="80">
        <f>IF('Final Calculation Sheet'!$D$22="","",'Final Calculation Sheet'!$D$22)</f>
        <v/>
      </c>
      <c r="F24" s="80">
        <f>IF('Final Calculation Sheet'!$A$22="","",'Final Calculation Sheet'!$A$22)</f>
        <v/>
      </c>
      <c r="G24" s="80">
        <f>IF('Final Calculation Sheet'!$E$22="","",'Final Calculation Sheet'!$E$22)</f>
        <v/>
      </c>
      <c r="H24" s="70">
        <f>IF('Final Calculation Sheet'!$C$22="","",'Final Calculation Sheet'!$C$22)</f>
        <v/>
      </c>
      <c r="I24" s="70">
        <f>IF('Final Calculation Sheet'!$H$22="","",'Final Calculation Sheet'!$H$22)</f>
        <v/>
      </c>
      <c r="J24" s="70">
        <f>IF('Final Calculation Sheet'!$I$22="","",'Final Calculation Sheet'!$I$22)</f>
        <v/>
      </c>
      <c r="K24" s="70">
        <f>IF('Final Calculation Sheet'!$J$22="","",'Final Calculation Sheet'!$J$22)</f>
        <v/>
      </c>
      <c r="L24" s="70">
        <f>IF('Final Calculation Sheet'!$K$22="","",'Final Calculation Sheet'!$K$22)</f>
        <v/>
      </c>
      <c r="M24" s="70">
        <f>IF('Final Calculation Sheet'!$L$22="","",'Final Calculation Sheet'!$L$22)</f>
        <v/>
      </c>
      <c r="N24" s="70">
        <f>IF('Final Calculation Sheet'!$M$22="","",'Final Calculation Sheet'!$M$22)</f>
        <v/>
      </c>
      <c r="O24" s="71">
        <f>IF('Final Calculation Sheet'!$N$22="","",'Final Calculation Sheet'!$N$22)</f>
        <v/>
      </c>
      <c r="P24" s="70">
        <f>IF('Final Calculation Sheet'!$O$22="","",'Final Calculation Sheet'!$O$22)</f>
        <v/>
      </c>
      <c r="Q24" s="70">
        <f>IF('Final Calculation Sheet'!$P$22="","",'Final Calculation Sheet'!$P$22)</f>
        <v/>
      </c>
      <c r="R24" s="72">
        <f>IF('Final Calculation Sheet'!$Q$22="","",'Final Calculation Sheet'!$Q$22)</f>
        <v/>
      </c>
      <c r="S24" s="70">
        <f>IF('Final Calculation Sheet'!$R$22="","",'Final Calculation Sheet'!$R$22)</f>
        <v/>
      </c>
      <c r="T24" s="70">
        <f>IF('Final Calculation Sheet'!$S$22="","",'Final Calculation Sheet'!$S$22)</f>
        <v/>
      </c>
      <c r="U24" s="70">
        <f>IF('Final Calculation Sheet'!$T$22="","",'Final Calculation Sheet'!$T$22)</f>
        <v/>
      </c>
      <c r="V24" s="73">
        <f>IF('Final Calculation Sheet'!$U$22="","",'Final Calculation Sheet'!$U$22)</f>
        <v/>
      </c>
      <c r="W24" s="70">
        <f>IF('Final Calculation Sheet'!$V$22="","",'Final Calculation Sheet'!$V$22)</f>
        <v/>
      </c>
      <c r="X24" s="70">
        <f>IF('Final Calculation Sheet'!$W$22="","",'Final Calculation Sheet'!$W$22)</f>
        <v/>
      </c>
      <c r="Y24" s="70">
        <f>IF('Final Calculation Sheet'!$X$22="","",'Final Calculation Sheet'!$X$22)</f>
        <v/>
      </c>
      <c r="Z24" s="70">
        <f>IF('Final Calculation Sheet'!$Y$22="","",'Final Calculation Sheet'!$Y$22)</f>
        <v/>
      </c>
      <c r="AA24" s="70">
        <f>IF('Final Calculation Sheet'!$Z$22="","",'Final Calculation Sheet'!$Z$22)</f>
        <v/>
      </c>
      <c r="AB24" s="70">
        <f>IF('Final Calculation Sheet'!$AA$22="","",'Final Calculation Sheet'!$AA$22)</f>
        <v/>
      </c>
      <c r="AC24" s="70">
        <f>IF('Final Calculation Sheet'!$AB$22="","",'Final Calculation Sheet'!$AB$22)</f>
        <v/>
      </c>
      <c r="AD24" s="70">
        <f>IF('Final Calculation Sheet'!$AC$22="","",'Final Calculation Sheet'!$AC$22)</f>
        <v/>
      </c>
      <c r="AE24" s="70">
        <f>IF('Final Calculation Sheet'!$AD$22="","",'Final Calculation Sheet'!$AD$22)</f>
        <v/>
      </c>
      <c r="AF24" s="75">
        <f>IF('Final Calculation Sheet'!$AD$22="","",IF('Final Calculation Sheet'!$AD$22&lt;=5,"SETTLED","OUTSTANDING"))</f>
        <v/>
      </c>
      <c r="AG24" s="70">
        <f>IF('Final Calculation Sheet'!$AF$22="","",'Final Calculation Sheet'!$AF$22)</f>
        <v/>
      </c>
      <c r="AH24" s="74">
        <f>IF('Final Calculation Sheet'!$AG$22="","",'Final Calculation Sheet'!$AG$22)</f>
        <v/>
      </c>
      <c r="AI24" s="70">
        <f>IF('Final Calculation Sheet'!$AH$22="","",'Final Calculation Sheet'!$AH$22)</f>
        <v/>
      </c>
      <c r="AJ24">
        <f>IF(AND(IF($B$4="",TRUE(),IF($B$4="(blank)",'Final Calculation Sheet'!$F$22="",IF($B$4="(nonblank)",'Final Calculation Sheet'!$F$22&lt;&gt;"",ISNUMBER(SEARCH($B$4,'Final Calculation Sheet'!$F$22))))),IF($C$4="",TRUE(),IF($C$4="(blank)",'Final Calculation Sheet'!$G$22="",IF($C$4="(nonblank)",'Final Calculation Sheet'!$G$22&lt;&gt;"",ISNUMBER(SEARCH($C$4,'Final Calculation Sheet'!$G$22))))),IF($D$4="",TRUE(),IF($D$4="(blank)",'Final Calculation Sheet'!$B$22="",IF($D$4="(nonblank)",'Final Calculation Sheet'!$B$22&lt;&gt;"",ISNUMBER(SEARCH($D$4,'Final Calculation Sheet'!$B$22))))),IF($E$4="",TRUE(),IF($E$4="(blank)",'Final Calculation Sheet'!$D$22="",IF($E$4="(nonblank)",'Final Calculation Sheet'!$D$22&lt;&gt;"",ISNUMBER(SEARCH($E$4,'Final Calculation Sheet'!$D$22))))),IF($F$4="",TRUE(),IF($F$4="(blank)",'Final Calculation Sheet'!$A$22="",IF($F$4="(nonblank)",'Final Calculation Sheet'!$A$22&lt;&gt;"",ISNUMBER(SEARCH($F$4,'Final Calculation Sheet'!$A$22))))),IF($G$4="",TRUE(),IF($G$4="(blank)",'Final Calculation Sheet'!$E$22="",IF($G$4="(nonblank)",'Final Calculation Sheet'!$E$22&lt;&gt;"",ISNUMBER(SEARCH($G$4,'Final Calculation Sheet'!$E$22))))),IF($H$4="",TRUE(),IF($H$4="(blank)",'Final Calculation Sheet'!$C$22="",IF($H$4="(nonblank)",'Final Calculation Sheet'!$C$22&lt;&gt;"",ISNUMBER(SEARCH($H$4,'Final Calculation Sheet'!$C$22))))),IF($I$4="",TRUE(),IF($I$4="(blank)",'Final Calculation Sheet'!$H$22="",IF($I$4="(nonblank)",'Final Calculation Sheet'!$H$22&lt;&gt;"",ISNUMBER(SEARCH($I$4,'Final Calculation Sheet'!$H$22))))),IF($J$4="",TRUE(),IF($J$4="(blank)",'Final Calculation Sheet'!$I$22="",IF($J$4="(nonblank)",'Final Calculation Sheet'!$I$22&lt;&gt;"",ISNUMBER(SEARCH($J$4,'Final Calculation Sheet'!$I$22))))),IF($K$4="",TRUE(),IF($K$4="(blank)",'Final Calculation Sheet'!$J$22="",IF($K$4="(nonblank)",'Final Calculation Sheet'!$J$22&lt;&gt;"",ISNUMBER(SEARCH($K$4,'Final Calculation Sheet'!$J$22))))),IF($L$4="",TRUE(),IF($L$4="(blank)",'Final Calculation Sheet'!$K$22="",IF($L$4="(nonblank)",'Final Calculation Sheet'!$K$22&lt;&gt;"",ISNUMBER(SEARCH($L$4,'Final Calculation Sheet'!$K$22))))),IF($M$4="",TRUE(),IF($M$4="(blank)",'Final Calculation Sheet'!$L$22="",IF($M$4="(nonblank)",'Final Calculation Sheet'!$L$22&lt;&gt;"",ISNUMBER(SEARCH($M$4,'Final Calculation Sheet'!$L$22))))),IF($N$4="",TRUE(),IF($N$4="(blank)",'Final Calculation Sheet'!$M$22="",IF($N$4="(nonblank)",'Final Calculation Sheet'!$M$22&lt;&gt;"",ISNUMBER(SEARCH($N$4,'Final Calculation Sheet'!$M$22))))),IF($O$4="",TRUE(),IF($O$4="(blank)",'Final Calculation Sheet'!$N$22="",IF($O$4="(nonblank)",'Final Calculation Sheet'!$N$22&lt;&gt;"",ISNUMBER(SEARCH($O$4,'Final Calculation Sheet'!$N$22))))),IF($P$4="",TRUE(),IF($P$4="(blank)",'Final Calculation Sheet'!$O$22="",IF($P$4="(nonblank)",'Final Calculation Sheet'!$O$22&lt;&gt;"",ISNUMBER(SEARCH($P$4,'Final Calculation Sheet'!$O$22))))),IF($Q$4="",TRUE(),IF($Q$4="(blank)",'Final Calculation Sheet'!$P$22="",IF($Q$4="(nonblank)",'Final Calculation Sheet'!$P$22&lt;&gt;"",ISNUMBER(SEARCH($Q$4,'Final Calculation Sheet'!$P$22))))),IF($R$4="",TRUE(),IF($R$4="(blank)",'Final Calculation Sheet'!$Q$22="",IF($R$4="(nonblank)",'Final Calculation Sheet'!$Q$22&lt;&gt;"",ISNUMBER(SEARCH($R$4,'Final Calculation Sheet'!$Q$22))))),IF($S$4="",TRUE(),IF($S$4="(blank)",'Final Calculation Sheet'!$R$22="",IF($S$4="(nonblank)",'Final Calculation Sheet'!$R$22&lt;&gt;"",ISNUMBER(SEARCH($S$4,'Final Calculation Sheet'!$R$22))))),IF($T$4="",TRUE(),IF($T$4="(blank)",'Final Calculation Sheet'!$S$22="",IF($T$4="(nonblank)",'Final Calculation Sheet'!$S$22&lt;&gt;"",ISNUMBER(SEARCH($T$4,'Final Calculation Sheet'!$S$22))))),IF($U$4="",TRUE(),IF($U$4="(blank)",'Final Calculation Sheet'!$T$22="",IF($U$4="(nonblank)",'Final Calculation Sheet'!$T$22&lt;&gt;"",ISNUMBER(SEARCH($U$4,'Final Calculation Sheet'!$T$22))))),IF($V$4="",TRUE(),IF($V$4="(blank)",'Final Calculation Sheet'!$U$22="",IF($V$4="(nonblank)",'Final Calculation Sheet'!$U$22&lt;&gt;"",ISNUMBER(SEARCH($V$4,'Final Calculation Sheet'!$U$22))))),IF($W$4="",TRUE(),IF($W$4="(blank)",'Final Calculation Sheet'!$V$22="",IF($W$4="(nonblank)",'Final Calculation Sheet'!$V$22&lt;&gt;"",ISNUMBER(SEARCH($W$4,'Final Calculation Sheet'!$V$22))))),IF($X$4="",TRUE(),IF($X$4="(blank)",'Final Calculation Sheet'!$W$22="",IF($X$4="(nonblank)",'Final Calculation Sheet'!$W$22&lt;&gt;"",ISNUMBER(SEARCH($X$4,'Final Calculation Sheet'!$W$22))))),IF($Y$4="",TRUE(),IF($Y$4="(blank)",'Final Calculation Sheet'!$X$22="",IF($Y$4="(nonblank)",'Final Calculation Sheet'!$X$22&lt;&gt;"",ISNUMBER(SEARCH($Y$4,'Final Calculation Sheet'!$X$22))))),IF($Z$4="",TRUE(),IF($Z$4="(blank)",'Final Calculation Sheet'!$Y$22="",IF($Z$4="(nonblank)",'Final Calculation Sheet'!$Y$22&lt;&gt;"",ISNUMBER(SEARCH($Z$4,'Final Calculation Sheet'!$Y$22))))),IF($AA$4="",TRUE(),IF($AA$4="(blank)",'Final Calculation Sheet'!$Z$22="",IF($AA$4="(nonblank)",'Final Calculation Sheet'!$Z$22&lt;&gt;"",ISNUMBER(SEARCH($AA$4,'Final Calculation Sheet'!$Z$22))))),IF($AB$4="",TRUE(),IF($AB$4="(blank)",'Final Calculation Sheet'!$AA$22="",IF($AB$4="(nonblank)",'Final Calculation Sheet'!$AA$22&lt;&gt;"",ISNUMBER(SEARCH($AB$4,'Final Calculation Sheet'!$AA$22))))),IF($AC$4="",TRUE(),IF($AC$4="(blank)",'Final Calculation Sheet'!$AB$22="",IF($AC$4="(nonblank)",'Final Calculation Sheet'!$AB$22&lt;&gt;"",ISNUMBER(SEARCH($AC$4,'Final Calculation Sheet'!$AB$22))))),IF($AD$4="",TRUE(),IF($AD$4="(blank)",'Final Calculation Sheet'!$AC$22="",IF($AD$4="(nonblank)",'Final Calculation Sheet'!$AC$22&lt;&gt;"",ISNUMBER(SEARCH($AD$4,'Final Calculation Sheet'!$AC$22))))),IF($AE$4="",TRUE(),IF($AE$4="(blank)",'Final Calculation Sheet'!$AD$22="",IF($AE$4="(nonblank)",'Final Calculation Sheet'!$AD$22&lt;&gt;"",ISNUMBER(SEARCH($AE$4,'Final Calculation Sheet'!$AD$22))))),IF($AG$4="",TRUE(),IF($AG$4="(blank)",'Final Calculation Sheet'!$AF$22="",IF($AG$4="(nonblank)",'Final Calculation Sheet'!$AF$22&lt;&gt;"",ISNUMBER(SEARCH($AG$4,'Final Calculation Sheet'!$AF$22))))),IF($AH$4="",TRUE(),IF($AH$4="(blank)",'Final Calculation Sheet'!$AG$22="",IF($AH$4="(nonblank)",'Final Calculation Sheet'!$AG$22&lt;&gt;"",ISNUMBER(SEARCH($AH$4,'Final Calculation Sheet'!$AG$22))))),IF($AI$4="",TRUE(),IF($AI$4="(blank)",'Final Calculation Sheet'!$AH$22="",IF($AI$4="(nonblank)",'Final Calculation Sheet'!$AH$22&lt;&gt;"",ISNUMBER(SEARCH($AI$4,'Final Calculation Sheet'!$AH$22))))),IF($AF$4="",TRUE(),IF($AF$4="(blank)",IF('Final Calculation Sheet'!$AD$22&lt;=5,"SETTLED","OUTSTANDING")="",IF($AF$4="(nonblank)",IF('Final Calculation Sheet'!$AD$22&lt;=5,"SETTLED","OUTSTANDING")&lt;&gt;"",ISNUMBER(SEARCH($AF$4,IF('Final Calculation Sheet'!$AD$22&lt;=5,"SETTLED","OUTSTANDING"))))))),1,0)</f>
      </c>
      <c r="AK24">
        <f>IF(AJ24=1,COUNTIF(AJ$7:AJ24,1),"")</f>
        <v/>
      </c>
    </row>
    <row r="25" outlineLevel="1" ht="15" customHeight="1" s="137">
      <c r="A25" s="90" t="n">
        <v>8</v>
      </c>
      <c r="B25" s="92">
        <f>IF('Final Calculation Sheet'!$F$24="","",'Final Calculation Sheet'!$F$24)</f>
        <v/>
      </c>
      <c r="C25" s="92">
        <f>IF('Final Calculation Sheet'!$G$24="","",'Final Calculation Sheet'!$G$24)</f>
        <v/>
      </c>
      <c r="D25" s="94">
        <f>IF('Final Calculation Sheet'!$B$24="","",'Final Calculation Sheet'!$B$24)</f>
        <v/>
      </c>
      <c r="E25" s="94">
        <f>IF('Final Calculation Sheet'!$D$24="","",'Final Calculation Sheet'!$D$24)</f>
        <v/>
      </c>
      <c r="F25" s="94">
        <f>IF('Final Calculation Sheet'!$A$24="","",'Final Calculation Sheet'!$A$24)</f>
        <v/>
      </c>
      <c r="G25" s="94">
        <f>IF('Final Calculation Sheet'!$E$24="","",'Final Calculation Sheet'!$E$24)</f>
        <v/>
      </c>
      <c r="H25" s="95">
        <f>IF('Final Calculation Sheet'!$C$24="","",'Final Calculation Sheet'!$C$24)</f>
        <v/>
      </c>
      <c r="I25" s="95">
        <f>IF('Final Calculation Sheet'!$H$24="","",'Final Calculation Sheet'!$H$24)</f>
        <v/>
      </c>
      <c r="J25" s="95">
        <f>IF('Final Calculation Sheet'!$I$24="","",'Final Calculation Sheet'!$I$24)</f>
        <v/>
      </c>
      <c r="K25" s="95">
        <f>IF('Final Calculation Sheet'!$J$24="","",'Final Calculation Sheet'!$J$24)</f>
        <v/>
      </c>
      <c r="L25" s="95">
        <f>IF('Final Calculation Sheet'!$K$24="","",'Final Calculation Sheet'!$K$24)</f>
        <v/>
      </c>
      <c r="M25" s="95">
        <f>IF('Final Calculation Sheet'!$L$24="","",'Final Calculation Sheet'!$L$24)</f>
        <v/>
      </c>
      <c r="N25" s="95">
        <f>IF('Final Calculation Sheet'!$M$24="","",'Final Calculation Sheet'!$M$24)</f>
        <v/>
      </c>
      <c r="O25" s="96">
        <f>IF('Final Calculation Sheet'!$N$24="","",'Final Calculation Sheet'!$N$24)</f>
        <v/>
      </c>
      <c r="P25" s="95">
        <f>IF('Final Calculation Sheet'!$O$24="","",'Final Calculation Sheet'!$O$24)</f>
        <v/>
      </c>
      <c r="Q25" s="95">
        <f>IF('Final Calculation Sheet'!$P$24="","",'Final Calculation Sheet'!$P$24)</f>
        <v/>
      </c>
      <c r="R25" s="97">
        <f>IF('Final Calculation Sheet'!$Q$24="","",'Final Calculation Sheet'!$Q$24)</f>
        <v/>
      </c>
      <c r="S25" s="95">
        <f>IF('Final Calculation Sheet'!$R$24="","",'Final Calculation Sheet'!$R$24)</f>
        <v/>
      </c>
      <c r="T25" s="95">
        <f>IF('Final Calculation Sheet'!$S$24="","",'Final Calculation Sheet'!$S$24)</f>
        <v/>
      </c>
      <c r="U25" s="95">
        <f>IF('Final Calculation Sheet'!$T$24="","",'Final Calculation Sheet'!$T$24)</f>
        <v/>
      </c>
      <c r="V25" s="98">
        <f>IF('Final Calculation Sheet'!$U$24="","",'Final Calculation Sheet'!$U$24)</f>
        <v/>
      </c>
      <c r="W25" s="95">
        <f>IF('Final Calculation Sheet'!$V$24="","",'Final Calculation Sheet'!$V$24)</f>
        <v/>
      </c>
      <c r="X25" s="95">
        <f>IF('Final Calculation Sheet'!$W$24="","",'Final Calculation Sheet'!$W$24)</f>
        <v/>
      </c>
      <c r="Y25" s="95">
        <f>IF('Final Calculation Sheet'!$X$24="","",'Final Calculation Sheet'!$X$24)</f>
        <v/>
      </c>
      <c r="Z25" s="95">
        <f>IF('Final Calculation Sheet'!$Y$24="","",'Final Calculation Sheet'!$Y$24)</f>
        <v/>
      </c>
      <c r="AA25" s="95">
        <f>IF('Final Calculation Sheet'!$Z$24="","",'Final Calculation Sheet'!$Z$24)</f>
        <v/>
      </c>
      <c r="AB25" s="95">
        <f>IF('Final Calculation Sheet'!$AA$24="","",'Final Calculation Sheet'!$AA$24)</f>
        <v/>
      </c>
      <c r="AC25" s="95">
        <f>IF('Final Calculation Sheet'!$AB$24="","",'Final Calculation Sheet'!$AB$24)</f>
        <v/>
      </c>
      <c r="AD25" s="95">
        <f>IF('Final Calculation Sheet'!$AC$24="","",'Final Calculation Sheet'!$AC$24)</f>
        <v/>
      </c>
      <c r="AE25" s="95">
        <f>IF('Final Calculation Sheet'!$AD$24="","",'Final Calculation Sheet'!$AD$24)</f>
        <v/>
      </c>
      <c r="AF25" s="100">
        <f>IF('Final Calculation Sheet'!$AD$24="","",IF('Final Calculation Sheet'!$AD$24&lt;=5,"SETTLED","OUTSTANDING"))</f>
        <v/>
      </c>
      <c r="AG25" s="95">
        <f>IF('Final Calculation Sheet'!$AF$24="","",'Final Calculation Sheet'!$AF$24)</f>
        <v/>
      </c>
      <c r="AH25" s="99">
        <f>IF('Final Calculation Sheet'!$AG$24="","",'Final Calculation Sheet'!$AG$24)</f>
        <v/>
      </c>
      <c r="AI25" s="95">
        <f>IF('Final Calculation Sheet'!$AH$24="","",'Final Calculation Sheet'!$AH$24)</f>
        <v/>
      </c>
      <c r="AJ25">
        <f>IF(AND(IF($B$4="",TRUE(),IF($B$4="(blank)",'Final Calculation Sheet'!$F$24="",IF($B$4="(nonblank)",'Final Calculation Sheet'!$F$24&lt;&gt;"",ISNUMBER(SEARCH($B$4,'Final Calculation Sheet'!$F$24))))),IF($C$4="",TRUE(),IF($C$4="(blank)",'Final Calculation Sheet'!$G$24="",IF($C$4="(nonblank)",'Final Calculation Sheet'!$G$24&lt;&gt;"",ISNUMBER(SEARCH($C$4,'Final Calculation Sheet'!$G$24))))),IF($D$4="",TRUE(),IF($D$4="(blank)",'Final Calculation Sheet'!$B$24="",IF($D$4="(nonblank)",'Final Calculation Sheet'!$B$24&lt;&gt;"",ISNUMBER(SEARCH($D$4,'Final Calculation Sheet'!$B$24))))),IF($E$4="",TRUE(),IF($E$4="(blank)",'Final Calculation Sheet'!$D$24="",IF($E$4="(nonblank)",'Final Calculation Sheet'!$D$24&lt;&gt;"",ISNUMBER(SEARCH($E$4,'Final Calculation Sheet'!$D$24))))),IF($F$4="",TRUE(),IF($F$4="(blank)",'Final Calculation Sheet'!$A$24="",IF($F$4="(nonblank)",'Final Calculation Sheet'!$A$24&lt;&gt;"",ISNUMBER(SEARCH($F$4,'Final Calculation Sheet'!$A$24))))),IF($G$4="",TRUE(),IF($G$4="(blank)",'Final Calculation Sheet'!$E$24="",IF($G$4="(nonblank)",'Final Calculation Sheet'!$E$24&lt;&gt;"",ISNUMBER(SEARCH($G$4,'Final Calculation Sheet'!$E$24))))),IF($H$4="",TRUE(),IF($H$4="(blank)",'Final Calculation Sheet'!$C$24="",IF($H$4="(nonblank)",'Final Calculation Sheet'!$C$24&lt;&gt;"",ISNUMBER(SEARCH($H$4,'Final Calculation Sheet'!$C$24))))),IF($I$4="",TRUE(),IF($I$4="(blank)",'Final Calculation Sheet'!$H$24="",IF($I$4="(nonblank)",'Final Calculation Sheet'!$H$24&lt;&gt;"",ISNUMBER(SEARCH($I$4,'Final Calculation Sheet'!$H$24))))),IF($J$4="",TRUE(),IF($J$4="(blank)",'Final Calculation Sheet'!$I$24="",IF($J$4="(nonblank)",'Final Calculation Sheet'!$I$24&lt;&gt;"",ISNUMBER(SEARCH($J$4,'Final Calculation Sheet'!$I$24))))),IF($K$4="",TRUE(),IF($K$4="(blank)",'Final Calculation Sheet'!$J$24="",IF($K$4="(nonblank)",'Final Calculation Sheet'!$J$24&lt;&gt;"",ISNUMBER(SEARCH($K$4,'Final Calculation Sheet'!$J$24))))),IF($L$4="",TRUE(),IF($L$4="(blank)",'Final Calculation Sheet'!$K$24="",IF($L$4="(nonblank)",'Final Calculation Sheet'!$K$24&lt;&gt;"",ISNUMBER(SEARCH($L$4,'Final Calculation Sheet'!$K$24))))),IF($M$4="",TRUE(),IF($M$4="(blank)",'Final Calculation Sheet'!$L$24="",IF($M$4="(nonblank)",'Final Calculation Sheet'!$L$24&lt;&gt;"",ISNUMBER(SEARCH($M$4,'Final Calculation Sheet'!$L$24))))),IF($N$4="",TRUE(),IF($N$4="(blank)",'Final Calculation Sheet'!$M$24="",IF($N$4="(nonblank)",'Final Calculation Sheet'!$M$24&lt;&gt;"",ISNUMBER(SEARCH($N$4,'Final Calculation Sheet'!$M$24))))),IF($O$4="",TRUE(),IF($O$4="(blank)",'Final Calculation Sheet'!$N$24="",IF($O$4="(nonblank)",'Final Calculation Sheet'!$N$24&lt;&gt;"",ISNUMBER(SEARCH($O$4,'Final Calculation Sheet'!$N$24))))),IF($P$4="",TRUE(),IF($P$4="(blank)",'Final Calculation Sheet'!$O$24="",IF($P$4="(nonblank)",'Final Calculation Sheet'!$O$24&lt;&gt;"",ISNUMBER(SEARCH($P$4,'Final Calculation Sheet'!$O$24))))),IF($Q$4="",TRUE(),IF($Q$4="(blank)",'Final Calculation Sheet'!$P$24="",IF($Q$4="(nonblank)",'Final Calculation Sheet'!$P$24&lt;&gt;"",ISNUMBER(SEARCH($Q$4,'Final Calculation Sheet'!$P$24))))),IF($R$4="",TRUE(),IF($R$4="(blank)",'Final Calculation Sheet'!$Q$24="",IF($R$4="(nonblank)",'Final Calculation Sheet'!$Q$24&lt;&gt;"",ISNUMBER(SEARCH($R$4,'Final Calculation Sheet'!$Q$24))))),IF($S$4="",TRUE(),IF($S$4="(blank)",'Final Calculation Sheet'!$R$24="",IF($S$4="(nonblank)",'Final Calculation Sheet'!$R$24&lt;&gt;"",ISNUMBER(SEARCH($S$4,'Final Calculation Sheet'!$R$24))))),IF($T$4="",TRUE(),IF($T$4="(blank)",'Final Calculation Sheet'!$S$24="",IF($T$4="(nonblank)",'Final Calculation Sheet'!$S$24&lt;&gt;"",ISNUMBER(SEARCH($T$4,'Final Calculation Sheet'!$S$24))))),IF($U$4="",TRUE(),IF($U$4="(blank)",'Final Calculation Sheet'!$T$24="",IF($U$4="(nonblank)",'Final Calculation Sheet'!$T$24&lt;&gt;"",ISNUMBER(SEARCH($U$4,'Final Calculation Sheet'!$T$24))))),IF($V$4="",TRUE(),IF($V$4="(blank)",'Final Calculation Sheet'!$U$24="",IF($V$4="(nonblank)",'Final Calculation Sheet'!$U$24&lt;&gt;"",ISNUMBER(SEARCH($V$4,'Final Calculation Sheet'!$U$24))))),IF($W$4="",TRUE(),IF($W$4="(blank)",'Final Calculation Sheet'!$V$24="",IF($W$4="(nonblank)",'Final Calculation Sheet'!$V$24&lt;&gt;"",ISNUMBER(SEARCH($W$4,'Final Calculation Sheet'!$V$24))))),IF($X$4="",TRUE(),IF($X$4="(blank)",'Final Calculation Sheet'!$W$24="",IF($X$4="(nonblank)",'Final Calculation Sheet'!$W$24&lt;&gt;"",ISNUMBER(SEARCH($X$4,'Final Calculation Sheet'!$W$24))))),IF($Y$4="",TRUE(),IF($Y$4="(blank)",'Final Calculation Sheet'!$X$24="",IF($Y$4="(nonblank)",'Final Calculation Sheet'!$X$24&lt;&gt;"",ISNUMBER(SEARCH($Y$4,'Final Calculation Sheet'!$X$24))))),IF($Z$4="",TRUE(),IF($Z$4="(blank)",'Final Calculation Sheet'!$Y$24="",IF($Z$4="(nonblank)",'Final Calculation Sheet'!$Y$24&lt;&gt;"",ISNUMBER(SEARCH($Z$4,'Final Calculation Sheet'!$Y$24))))),IF($AA$4="",TRUE(),IF($AA$4="(blank)",'Final Calculation Sheet'!$Z$24="",IF($AA$4="(nonblank)",'Final Calculation Sheet'!$Z$24&lt;&gt;"",ISNUMBER(SEARCH($AA$4,'Final Calculation Sheet'!$Z$24))))),IF($AB$4="",TRUE(),IF($AB$4="(blank)",'Final Calculation Sheet'!$AA$24="",IF($AB$4="(nonblank)",'Final Calculation Sheet'!$AA$24&lt;&gt;"",ISNUMBER(SEARCH($AB$4,'Final Calculation Sheet'!$AA$24))))),IF($AC$4="",TRUE(),IF($AC$4="(blank)",'Final Calculation Sheet'!$AB$24="",IF($AC$4="(nonblank)",'Final Calculation Sheet'!$AB$24&lt;&gt;"",ISNUMBER(SEARCH($AC$4,'Final Calculation Sheet'!$AB$24))))),IF($AD$4="",TRUE(),IF($AD$4="(blank)",'Final Calculation Sheet'!$AC$24="",IF($AD$4="(nonblank)",'Final Calculation Sheet'!$AC$24&lt;&gt;"",ISNUMBER(SEARCH($AD$4,'Final Calculation Sheet'!$AC$24))))),IF($AE$4="",TRUE(),IF($AE$4="(blank)",'Final Calculation Sheet'!$AD$24="",IF($AE$4="(nonblank)",'Final Calculation Sheet'!$AD$24&lt;&gt;"",ISNUMBER(SEARCH($AE$4,'Final Calculation Sheet'!$AD$24))))),IF($AG$4="",TRUE(),IF($AG$4="(blank)",'Final Calculation Sheet'!$AF$24="",IF($AG$4="(nonblank)",'Final Calculation Sheet'!$AF$24&lt;&gt;"",ISNUMBER(SEARCH($AG$4,'Final Calculation Sheet'!$AF$24))))),IF($AH$4="",TRUE(),IF($AH$4="(blank)",'Final Calculation Sheet'!$AG$24="",IF($AH$4="(nonblank)",'Final Calculation Sheet'!$AG$24&lt;&gt;"",ISNUMBER(SEARCH($AH$4,'Final Calculation Sheet'!$AG$24))))),IF($AI$4="",TRUE(),IF($AI$4="(blank)",'Final Calculation Sheet'!$AH$24="",IF($AI$4="(nonblank)",'Final Calculation Sheet'!$AH$24&lt;&gt;"",ISNUMBER(SEARCH($AI$4,'Final Calculation Sheet'!$AH$24))))),IF($AF$4="",TRUE(),IF($AF$4="(blank)",IF('Final Calculation Sheet'!$AD$24&lt;=5,"SETTLED","OUTSTANDING")="",IF($AF$4="(nonblank)",IF('Final Calculation Sheet'!$AD$24&lt;=5,"SETTLED","OUTSTANDING")&lt;&gt;"",ISNUMBER(SEARCH($AF$4,IF('Final Calculation Sheet'!$AD$24&lt;=5,"SETTLED","OUTSTANDING"))))))),1,0)</f>
      </c>
      <c r="AK25">
        <f>IF(AJ25=1,COUNTIF(AJ$7:AJ25,1),"")</f>
        <v/>
      </c>
    </row>
    <row r="26" outlineLevel="1" ht="15" customHeight="1" s="137">
      <c r="A26" s="67" t="n">
        <v>9</v>
      </c>
      <c r="B26" s="76">
        <f>IF('Final Calculation Sheet'!$F$26="","",'Final Calculation Sheet'!$F$26)</f>
        <v/>
      </c>
      <c r="C26" s="76">
        <f>IF('Final Calculation Sheet'!$G$26="","",'Final Calculation Sheet'!$G$26)</f>
        <v/>
      </c>
      <c r="D26" s="80">
        <f>IF('Final Calculation Sheet'!$B$26="","",'Final Calculation Sheet'!$B$26)</f>
        <v/>
      </c>
      <c r="E26" s="80">
        <f>IF('Final Calculation Sheet'!$D$26="","",'Final Calculation Sheet'!$D$26)</f>
        <v/>
      </c>
      <c r="F26" s="80">
        <f>IF('Final Calculation Sheet'!$A$26="","",'Final Calculation Sheet'!$A$26)</f>
        <v/>
      </c>
      <c r="G26" s="80">
        <f>IF('Final Calculation Sheet'!$E$26="","",'Final Calculation Sheet'!$E$26)</f>
        <v/>
      </c>
      <c r="H26" s="70">
        <f>IF('Final Calculation Sheet'!$C$26="","",'Final Calculation Sheet'!$C$26)</f>
        <v/>
      </c>
      <c r="I26" s="70">
        <f>IF('Final Calculation Sheet'!$H$26="","",'Final Calculation Sheet'!$H$26)</f>
        <v/>
      </c>
      <c r="J26" s="70">
        <f>IF('Final Calculation Sheet'!$I$26="","",'Final Calculation Sheet'!$I$26)</f>
        <v/>
      </c>
      <c r="K26" s="70">
        <f>IF('Final Calculation Sheet'!$J$26="","",'Final Calculation Sheet'!$J$26)</f>
        <v/>
      </c>
      <c r="L26" s="70">
        <f>IF('Final Calculation Sheet'!$K$26="","",'Final Calculation Sheet'!$K$26)</f>
        <v/>
      </c>
      <c r="M26" s="70">
        <f>IF('Final Calculation Sheet'!$L$26="","",'Final Calculation Sheet'!$L$26)</f>
        <v/>
      </c>
      <c r="N26" s="70">
        <f>IF('Final Calculation Sheet'!$M$26="","",'Final Calculation Sheet'!$M$26)</f>
        <v/>
      </c>
      <c r="O26" s="71">
        <f>IF('Final Calculation Sheet'!$N$26="","",'Final Calculation Sheet'!$N$26)</f>
        <v/>
      </c>
      <c r="P26" s="70">
        <f>IF('Final Calculation Sheet'!$O$26="","",'Final Calculation Sheet'!$O$26)</f>
        <v/>
      </c>
      <c r="Q26" s="70">
        <f>IF('Final Calculation Sheet'!$P$26="","",'Final Calculation Sheet'!$P$26)</f>
        <v/>
      </c>
      <c r="R26" s="72">
        <f>IF('Final Calculation Sheet'!$Q$26="","",'Final Calculation Sheet'!$Q$26)</f>
        <v/>
      </c>
      <c r="S26" s="70">
        <f>IF('Final Calculation Sheet'!$R$26="","",'Final Calculation Sheet'!$R$26)</f>
        <v/>
      </c>
      <c r="T26" s="70">
        <f>IF('Final Calculation Sheet'!$S$26="","",'Final Calculation Sheet'!$S$26)</f>
        <v/>
      </c>
      <c r="U26" s="70">
        <f>IF('Final Calculation Sheet'!$T$26="","",'Final Calculation Sheet'!$T$26)</f>
        <v/>
      </c>
      <c r="V26" s="73">
        <f>IF('Final Calculation Sheet'!$U$26="","",'Final Calculation Sheet'!$U$26)</f>
        <v/>
      </c>
      <c r="W26" s="70">
        <f>IF('Final Calculation Sheet'!$V$26="","",'Final Calculation Sheet'!$V$26)</f>
        <v/>
      </c>
      <c r="X26" s="70">
        <f>IF('Final Calculation Sheet'!$W$26="","",'Final Calculation Sheet'!$W$26)</f>
        <v/>
      </c>
      <c r="Y26" s="70">
        <f>IF('Final Calculation Sheet'!$X$26="","",'Final Calculation Sheet'!$X$26)</f>
        <v/>
      </c>
      <c r="Z26" s="70">
        <f>IF('Final Calculation Sheet'!$Y$26="","",'Final Calculation Sheet'!$Y$26)</f>
        <v/>
      </c>
      <c r="AA26" s="70">
        <f>IF('Final Calculation Sheet'!$Z$26="","",'Final Calculation Sheet'!$Z$26)</f>
        <v/>
      </c>
      <c r="AB26" s="70">
        <f>IF('Final Calculation Sheet'!$AA$26="","",'Final Calculation Sheet'!$AA$26)</f>
        <v/>
      </c>
      <c r="AC26" s="70">
        <f>IF('Final Calculation Sheet'!$AB$26="","",'Final Calculation Sheet'!$AB$26)</f>
        <v/>
      </c>
      <c r="AD26" s="70">
        <f>IF('Final Calculation Sheet'!$AC$26="","",'Final Calculation Sheet'!$AC$26)</f>
        <v/>
      </c>
      <c r="AE26" s="70">
        <f>IF('Final Calculation Sheet'!$AD$26="","",'Final Calculation Sheet'!$AD$26)</f>
        <v/>
      </c>
      <c r="AF26" s="75">
        <f>IF('Final Calculation Sheet'!$AD$26="","",IF('Final Calculation Sheet'!$AD$26&lt;=5,"SETTLED","OUTSTANDING"))</f>
        <v/>
      </c>
      <c r="AG26" s="70">
        <f>IF('Final Calculation Sheet'!$AF$26="","",'Final Calculation Sheet'!$AF$26)</f>
        <v/>
      </c>
      <c r="AH26" s="74">
        <f>IF('Final Calculation Sheet'!$AG$26="","",'Final Calculation Sheet'!$AG$26)</f>
        <v/>
      </c>
      <c r="AI26" s="70">
        <f>IF('Final Calculation Sheet'!$AH$26="","",'Final Calculation Sheet'!$AH$26)</f>
        <v/>
      </c>
      <c r="AJ26">
        <f>IF(AND(IF($B$4="",TRUE(),IF($B$4="(blank)",'Final Calculation Sheet'!$F$26="",IF($B$4="(nonblank)",'Final Calculation Sheet'!$F$26&lt;&gt;"",ISNUMBER(SEARCH($B$4,'Final Calculation Sheet'!$F$26))))),IF($C$4="",TRUE(),IF($C$4="(blank)",'Final Calculation Sheet'!$G$26="",IF($C$4="(nonblank)",'Final Calculation Sheet'!$G$26&lt;&gt;"",ISNUMBER(SEARCH($C$4,'Final Calculation Sheet'!$G$26))))),IF($D$4="",TRUE(),IF($D$4="(blank)",'Final Calculation Sheet'!$B$26="",IF($D$4="(nonblank)",'Final Calculation Sheet'!$B$26&lt;&gt;"",ISNUMBER(SEARCH($D$4,'Final Calculation Sheet'!$B$26))))),IF($E$4="",TRUE(),IF($E$4="(blank)",'Final Calculation Sheet'!$D$26="",IF($E$4="(nonblank)",'Final Calculation Sheet'!$D$26&lt;&gt;"",ISNUMBER(SEARCH($E$4,'Final Calculation Sheet'!$D$26))))),IF($F$4="",TRUE(),IF($F$4="(blank)",'Final Calculation Sheet'!$A$26="",IF($F$4="(nonblank)",'Final Calculation Sheet'!$A$26&lt;&gt;"",ISNUMBER(SEARCH($F$4,'Final Calculation Sheet'!$A$26))))),IF($G$4="",TRUE(),IF($G$4="(blank)",'Final Calculation Sheet'!$E$26="",IF($G$4="(nonblank)",'Final Calculation Sheet'!$E$26&lt;&gt;"",ISNUMBER(SEARCH($G$4,'Final Calculation Sheet'!$E$26))))),IF($H$4="",TRUE(),IF($H$4="(blank)",'Final Calculation Sheet'!$C$26="",IF($H$4="(nonblank)",'Final Calculation Sheet'!$C$26&lt;&gt;"",ISNUMBER(SEARCH($H$4,'Final Calculation Sheet'!$C$26))))),IF($I$4="",TRUE(),IF($I$4="(blank)",'Final Calculation Sheet'!$H$26="",IF($I$4="(nonblank)",'Final Calculation Sheet'!$H$26&lt;&gt;"",ISNUMBER(SEARCH($I$4,'Final Calculation Sheet'!$H$26))))),IF($J$4="",TRUE(),IF($J$4="(blank)",'Final Calculation Sheet'!$I$26="",IF($J$4="(nonblank)",'Final Calculation Sheet'!$I$26&lt;&gt;"",ISNUMBER(SEARCH($J$4,'Final Calculation Sheet'!$I$26))))),IF($K$4="",TRUE(),IF($K$4="(blank)",'Final Calculation Sheet'!$J$26="",IF($K$4="(nonblank)",'Final Calculation Sheet'!$J$26&lt;&gt;"",ISNUMBER(SEARCH($K$4,'Final Calculation Sheet'!$J$26))))),IF($L$4="",TRUE(),IF($L$4="(blank)",'Final Calculation Sheet'!$K$26="",IF($L$4="(nonblank)",'Final Calculation Sheet'!$K$26&lt;&gt;"",ISNUMBER(SEARCH($L$4,'Final Calculation Sheet'!$K$26))))),IF($M$4="",TRUE(),IF($M$4="(blank)",'Final Calculation Sheet'!$L$26="",IF($M$4="(nonblank)",'Final Calculation Sheet'!$L$26&lt;&gt;"",ISNUMBER(SEARCH($M$4,'Final Calculation Sheet'!$L$26))))),IF($N$4="",TRUE(),IF($N$4="(blank)",'Final Calculation Sheet'!$M$26="",IF($N$4="(nonblank)",'Final Calculation Sheet'!$M$26&lt;&gt;"",ISNUMBER(SEARCH($N$4,'Final Calculation Sheet'!$M$26))))),IF($O$4="",TRUE(),IF($O$4="(blank)",'Final Calculation Sheet'!$N$26="",IF($O$4="(nonblank)",'Final Calculation Sheet'!$N$26&lt;&gt;"",ISNUMBER(SEARCH($O$4,'Final Calculation Sheet'!$N$26))))),IF($P$4="",TRUE(),IF($P$4="(blank)",'Final Calculation Sheet'!$O$26="",IF($P$4="(nonblank)",'Final Calculation Sheet'!$O$26&lt;&gt;"",ISNUMBER(SEARCH($P$4,'Final Calculation Sheet'!$O$26))))),IF($Q$4="",TRUE(),IF($Q$4="(blank)",'Final Calculation Sheet'!$P$26="",IF($Q$4="(nonblank)",'Final Calculation Sheet'!$P$26&lt;&gt;"",ISNUMBER(SEARCH($Q$4,'Final Calculation Sheet'!$P$26))))),IF($R$4="",TRUE(),IF($R$4="(blank)",'Final Calculation Sheet'!$Q$26="",IF($R$4="(nonblank)",'Final Calculation Sheet'!$Q$26&lt;&gt;"",ISNUMBER(SEARCH($R$4,'Final Calculation Sheet'!$Q$26))))),IF($S$4="",TRUE(),IF($S$4="(blank)",'Final Calculation Sheet'!$R$26="",IF($S$4="(nonblank)",'Final Calculation Sheet'!$R$26&lt;&gt;"",ISNUMBER(SEARCH($S$4,'Final Calculation Sheet'!$R$26))))),IF($T$4="",TRUE(),IF($T$4="(blank)",'Final Calculation Sheet'!$S$26="",IF($T$4="(nonblank)",'Final Calculation Sheet'!$S$26&lt;&gt;"",ISNUMBER(SEARCH($T$4,'Final Calculation Sheet'!$S$26))))),IF($U$4="",TRUE(),IF($U$4="(blank)",'Final Calculation Sheet'!$T$26="",IF($U$4="(nonblank)",'Final Calculation Sheet'!$T$26&lt;&gt;"",ISNUMBER(SEARCH($U$4,'Final Calculation Sheet'!$T$26))))),IF($V$4="",TRUE(),IF($V$4="(blank)",'Final Calculation Sheet'!$U$26="",IF($V$4="(nonblank)",'Final Calculation Sheet'!$U$26&lt;&gt;"",ISNUMBER(SEARCH($V$4,'Final Calculation Sheet'!$U$26))))),IF($W$4="",TRUE(),IF($W$4="(blank)",'Final Calculation Sheet'!$V$26="",IF($W$4="(nonblank)",'Final Calculation Sheet'!$V$26&lt;&gt;"",ISNUMBER(SEARCH($W$4,'Final Calculation Sheet'!$V$26))))),IF($X$4="",TRUE(),IF($X$4="(blank)",'Final Calculation Sheet'!$W$26="",IF($X$4="(nonblank)",'Final Calculation Sheet'!$W$26&lt;&gt;"",ISNUMBER(SEARCH($X$4,'Final Calculation Sheet'!$W$26))))),IF($Y$4="",TRUE(),IF($Y$4="(blank)",'Final Calculation Sheet'!$X$26="",IF($Y$4="(nonblank)",'Final Calculation Sheet'!$X$26&lt;&gt;"",ISNUMBER(SEARCH($Y$4,'Final Calculation Sheet'!$X$26))))),IF($Z$4="",TRUE(),IF($Z$4="(blank)",'Final Calculation Sheet'!$Y$26="",IF($Z$4="(nonblank)",'Final Calculation Sheet'!$Y$26&lt;&gt;"",ISNUMBER(SEARCH($Z$4,'Final Calculation Sheet'!$Y$26))))),IF($AA$4="",TRUE(),IF($AA$4="(blank)",'Final Calculation Sheet'!$Z$26="",IF($AA$4="(nonblank)",'Final Calculation Sheet'!$Z$26&lt;&gt;"",ISNUMBER(SEARCH($AA$4,'Final Calculation Sheet'!$Z$26))))),IF($AB$4="",TRUE(),IF($AB$4="(blank)",'Final Calculation Sheet'!$AA$26="",IF($AB$4="(nonblank)",'Final Calculation Sheet'!$AA$26&lt;&gt;"",ISNUMBER(SEARCH($AB$4,'Final Calculation Sheet'!$AA$26))))),IF($AC$4="",TRUE(),IF($AC$4="(blank)",'Final Calculation Sheet'!$AB$26="",IF($AC$4="(nonblank)",'Final Calculation Sheet'!$AB$26&lt;&gt;"",ISNUMBER(SEARCH($AC$4,'Final Calculation Sheet'!$AB$26))))),IF($AD$4="",TRUE(),IF($AD$4="(blank)",'Final Calculation Sheet'!$AC$26="",IF($AD$4="(nonblank)",'Final Calculation Sheet'!$AC$26&lt;&gt;"",ISNUMBER(SEARCH($AD$4,'Final Calculation Sheet'!$AC$26))))),IF($AE$4="",TRUE(),IF($AE$4="(blank)",'Final Calculation Sheet'!$AD$26="",IF($AE$4="(nonblank)",'Final Calculation Sheet'!$AD$26&lt;&gt;"",ISNUMBER(SEARCH($AE$4,'Final Calculation Sheet'!$AD$26))))),IF($AG$4="",TRUE(),IF($AG$4="(blank)",'Final Calculation Sheet'!$AF$26="",IF($AG$4="(nonblank)",'Final Calculation Sheet'!$AF$26&lt;&gt;"",ISNUMBER(SEARCH($AG$4,'Final Calculation Sheet'!$AF$26))))),IF($AH$4="",TRUE(),IF($AH$4="(blank)",'Final Calculation Sheet'!$AG$26="",IF($AH$4="(nonblank)",'Final Calculation Sheet'!$AG$26&lt;&gt;"",ISNUMBER(SEARCH($AH$4,'Final Calculation Sheet'!$AG$26))))),IF($AI$4="",TRUE(),IF($AI$4="(blank)",'Final Calculation Sheet'!$AH$26="",IF($AI$4="(nonblank)",'Final Calculation Sheet'!$AH$26&lt;&gt;"",ISNUMBER(SEARCH($AI$4,'Final Calculation Sheet'!$AH$26))))),IF($AF$4="",TRUE(),IF($AF$4="(blank)",IF('Final Calculation Sheet'!$AD$26&lt;=5,"SETTLED","OUTSTANDING")="",IF($AF$4="(nonblank)",IF('Final Calculation Sheet'!$AD$26&lt;=5,"SETTLED","OUTSTANDING")&lt;&gt;"",ISNUMBER(SEARCH($AF$4,IF('Final Calculation Sheet'!$AD$26&lt;=5,"SETTLED","OUTSTANDING"))))))),1,0)</f>
      </c>
      <c r="AK26">
        <f>IF(AJ26=1,COUNTIF(AJ$7:AJ26,1),"")</f>
        <v/>
      </c>
    </row>
    <row r="27" outlineLevel="1" ht="15" customHeight="1" s="137">
      <c r="A27" s="90" t="n">
        <v>10</v>
      </c>
      <c r="B27" s="92">
        <f>IF('Final Calculation Sheet'!$F$30="","",'Final Calculation Sheet'!$F$30)</f>
        <v/>
      </c>
      <c r="C27" s="92">
        <f>IF('Final Calculation Sheet'!$G$30="","",'Final Calculation Sheet'!$G$30)</f>
        <v/>
      </c>
      <c r="D27" s="94">
        <f>IF('Final Calculation Sheet'!$B$30="","",'Final Calculation Sheet'!$B$30)</f>
        <v/>
      </c>
      <c r="E27" s="94">
        <f>IF('Final Calculation Sheet'!$D$30="","",'Final Calculation Sheet'!$D$30)</f>
        <v/>
      </c>
      <c r="F27" s="94">
        <f>IF('Final Calculation Sheet'!$A$30="","",'Final Calculation Sheet'!$A$30)</f>
        <v/>
      </c>
      <c r="G27" s="94">
        <f>IF('Final Calculation Sheet'!$E$30="","",'Final Calculation Sheet'!$E$30)</f>
        <v/>
      </c>
      <c r="H27" s="95">
        <f>IF('Final Calculation Sheet'!$C$30="","",'Final Calculation Sheet'!$C$30)</f>
        <v/>
      </c>
      <c r="I27" s="95">
        <f>IF('Final Calculation Sheet'!$H$30="","",'Final Calculation Sheet'!$H$30)</f>
        <v/>
      </c>
      <c r="J27" s="95">
        <f>IF('Final Calculation Sheet'!$I$30="","",'Final Calculation Sheet'!$I$30)</f>
        <v/>
      </c>
      <c r="K27" s="95">
        <f>IF('Final Calculation Sheet'!$J$30="","",'Final Calculation Sheet'!$J$30)</f>
        <v/>
      </c>
      <c r="L27" s="95">
        <f>IF('Final Calculation Sheet'!$K$30="","",'Final Calculation Sheet'!$K$30)</f>
        <v/>
      </c>
      <c r="M27" s="95">
        <f>IF('Final Calculation Sheet'!$L$30="","",'Final Calculation Sheet'!$L$30)</f>
        <v/>
      </c>
      <c r="N27" s="95">
        <f>IF('Final Calculation Sheet'!$M$30="","",'Final Calculation Sheet'!$M$30)</f>
        <v/>
      </c>
      <c r="O27" s="96">
        <f>IF('Final Calculation Sheet'!$N$30="","",'Final Calculation Sheet'!$N$30)</f>
        <v/>
      </c>
      <c r="P27" s="95">
        <f>IF('Final Calculation Sheet'!$O$30="","",'Final Calculation Sheet'!$O$30)</f>
        <v/>
      </c>
      <c r="Q27" s="95">
        <f>IF('Final Calculation Sheet'!$P$30="","",'Final Calculation Sheet'!$P$30)</f>
        <v/>
      </c>
      <c r="R27" s="97">
        <f>IF('Final Calculation Sheet'!$Q$30="","",'Final Calculation Sheet'!$Q$30)</f>
        <v/>
      </c>
      <c r="S27" s="95">
        <f>IF('Final Calculation Sheet'!$R$30="","",'Final Calculation Sheet'!$R$30)</f>
        <v/>
      </c>
      <c r="T27" s="95">
        <f>IF('Final Calculation Sheet'!$S$30="","",'Final Calculation Sheet'!$S$30)</f>
        <v/>
      </c>
      <c r="U27" s="95">
        <f>IF('Final Calculation Sheet'!$T$30="","",'Final Calculation Sheet'!$T$30)</f>
        <v/>
      </c>
      <c r="V27" s="98">
        <f>IF('Final Calculation Sheet'!$U$30="","",'Final Calculation Sheet'!$U$30)</f>
        <v/>
      </c>
      <c r="W27" s="95">
        <f>IF('Final Calculation Sheet'!$V$30="","",'Final Calculation Sheet'!$V$30)</f>
        <v/>
      </c>
      <c r="X27" s="95">
        <f>IF('Final Calculation Sheet'!$W$30="","",'Final Calculation Sheet'!$W$30)</f>
        <v/>
      </c>
      <c r="Y27" s="95">
        <f>IF('Final Calculation Sheet'!$X$30="","",'Final Calculation Sheet'!$X$30)</f>
        <v/>
      </c>
      <c r="Z27" s="95">
        <f>IF('Final Calculation Sheet'!$Y$30="","",'Final Calculation Sheet'!$Y$30)</f>
        <v/>
      </c>
      <c r="AA27" s="95">
        <f>IF('Final Calculation Sheet'!$Z$30="","",'Final Calculation Sheet'!$Z$30)</f>
        <v/>
      </c>
      <c r="AB27" s="95">
        <f>IF('Final Calculation Sheet'!$AA$30="","",'Final Calculation Sheet'!$AA$30)</f>
        <v/>
      </c>
      <c r="AC27" s="95">
        <f>IF('Final Calculation Sheet'!$AB$30="","",'Final Calculation Sheet'!$AB$30)</f>
        <v/>
      </c>
      <c r="AD27" s="95">
        <f>IF('Final Calculation Sheet'!$AC$30="","",'Final Calculation Sheet'!$AC$30)</f>
        <v/>
      </c>
      <c r="AE27" s="95">
        <f>IF('Final Calculation Sheet'!$AD$30="","",'Final Calculation Sheet'!$AD$30)</f>
        <v/>
      </c>
      <c r="AF27" s="100">
        <f>IF('Final Calculation Sheet'!$AD$30="","",IF('Final Calculation Sheet'!$AD$30&lt;=5,"SETTLED","OUTSTANDING"))</f>
        <v/>
      </c>
      <c r="AG27" s="95">
        <f>IF('Final Calculation Sheet'!$AF$30="","",'Final Calculation Sheet'!$AF$30)</f>
        <v/>
      </c>
      <c r="AH27" s="99">
        <f>IF('Final Calculation Sheet'!$AG$30="","",'Final Calculation Sheet'!$AG$30)</f>
        <v/>
      </c>
      <c r="AI27" s="95">
        <f>IF('Final Calculation Sheet'!$AH$30="","",'Final Calculation Sheet'!$AH$30)</f>
        <v/>
      </c>
      <c r="AJ27">
        <f>IF(AND(IF($B$4="",TRUE(),IF($B$4="(blank)",'Final Calculation Sheet'!$F$30="",IF($B$4="(nonblank)",'Final Calculation Sheet'!$F$30&lt;&gt;"",ISNUMBER(SEARCH($B$4,'Final Calculation Sheet'!$F$30))))),IF($C$4="",TRUE(),IF($C$4="(blank)",'Final Calculation Sheet'!$G$30="",IF($C$4="(nonblank)",'Final Calculation Sheet'!$G$30&lt;&gt;"",ISNUMBER(SEARCH($C$4,'Final Calculation Sheet'!$G$30))))),IF($D$4="",TRUE(),IF($D$4="(blank)",'Final Calculation Sheet'!$B$30="",IF($D$4="(nonblank)",'Final Calculation Sheet'!$B$30&lt;&gt;"",ISNUMBER(SEARCH($D$4,'Final Calculation Sheet'!$B$30))))),IF($E$4="",TRUE(),IF($E$4="(blank)",'Final Calculation Sheet'!$D$30="",IF($E$4="(nonblank)",'Final Calculation Sheet'!$D$30&lt;&gt;"",ISNUMBER(SEARCH($E$4,'Final Calculation Sheet'!$D$30))))),IF($F$4="",TRUE(),IF($F$4="(blank)",'Final Calculation Sheet'!$A$30="",IF($F$4="(nonblank)",'Final Calculation Sheet'!$A$30&lt;&gt;"",ISNUMBER(SEARCH($F$4,'Final Calculation Sheet'!$A$30))))),IF($G$4="",TRUE(),IF($G$4="(blank)",'Final Calculation Sheet'!$E$30="",IF($G$4="(nonblank)",'Final Calculation Sheet'!$E$30&lt;&gt;"",ISNUMBER(SEARCH($G$4,'Final Calculation Sheet'!$E$30))))),IF($H$4="",TRUE(),IF($H$4="(blank)",'Final Calculation Sheet'!$C$30="",IF($H$4="(nonblank)",'Final Calculation Sheet'!$C$30&lt;&gt;"",ISNUMBER(SEARCH($H$4,'Final Calculation Sheet'!$C$30))))),IF($I$4="",TRUE(),IF($I$4="(blank)",'Final Calculation Sheet'!$H$30="",IF($I$4="(nonblank)",'Final Calculation Sheet'!$H$30&lt;&gt;"",ISNUMBER(SEARCH($I$4,'Final Calculation Sheet'!$H$30))))),IF($J$4="",TRUE(),IF($J$4="(blank)",'Final Calculation Sheet'!$I$30="",IF($J$4="(nonblank)",'Final Calculation Sheet'!$I$30&lt;&gt;"",ISNUMBER(SEARCH($J$4,'Final Calculation Sheet'!$I$30))))),IF($K$4="",TRUE(),IF($K$4="(blank)",'Final Calculation Sheet'!$J$30="",IF($K$4="(nonblank)",'Final Calculation Sheet'!$J$30&lt;&gt;"",ISNUMBER(SEARCH($K$4,'Final Calculation Sheet'!$J$30))))),IF($L$4="",TRUE(),IF($L$4="(blank)",'Final Calculation Sheet'!$K$30="",IF($L$4="(nonblank)",'Final Calculation Sheet'!$K$30&lt;&gt;"",ISNUMBER(SEARCH($L$4,'Final Calculation Sheet'!$K$30))))),IF($M$4="",TRUE(),IF($M$4="(blank)",'Final Calculation Sheet'!$L$30="",IF($M$4="(nonblank)",'Final Calculation Sheet'!$L$30&lt;&gt;"",ISNUMBER(SEARCH($M$4,'Final Calculation Sheet'!$L$30))))),IF($N$4="",TRUE(),IF($N$4="(blank)",'Final Calculation Sheet'!$M$30="",IF($N$4="(nonblank)",'Final Calculation Sheet'!$M$30&lt;&gt;"",ISNUMBER(SEARCH($N$4,'Final Calculation Sheet'!$M$30))))),IF($O$4="",TRUE(),IF($O$4="(blank)",'Final Calculation Sheet'!$N$30="",IF($O$4="(nonblank)",'Final Calculation Sheet'!$N$30&lt;&gt;"",ISNUMBER(SEARCH($O$4,'Final Calculation Sheet'!$N$30))))),IF($P$4="",TRUE(),IF($P$4="(blank)",'Final Calculation Sheet'!$O$30="",IF($P$4="(nonblank)",'Final Calculation Sheet'!$O$30&lt;&gt;"",ISNUMBER(SEARCH($P$4,'Final Calculation Sheet'!$O$30))))),IF($Q$4="",TRUE(),IF($Q$4="(blank)",'Final Calculation Sheet'!$P$30="",IF($Q$4="(nonblank)",'Final Calculation Sheet'!$P$30&lt;&gt;"",ISNUMBER(SEARCH($Q$4,'Final Calculation Sheet'!$P$30))))),IF($R$4="",TRUE(),IF($R$4="(blank)",'Final Calculation Sheet'!$Q$30="",IF($R$4="(nonblank)",'Final Calculation Sheet'!$Q$30&lt;&gt;"",ISNUMBER(SEARCH($R$4,'Final Calculation Sheet'!$Q$30))))),IF($S$4="",TRUE(),IF($S$4="(blank)",'Final Calculation Sheet'!$R$30="",IF($S$4="(nonblank)",'Final Calculation Sheet'!$R$30&lt;&gt;"",ISNUMBER(SEARCH($S$4,'Final Calculation Sheet'!$R$30))))),IF($T$4="",TRUE(),IF($T$4="(blank)",'Final Calculation Sheet'!$S$30="",IF($T$4="(nonblank)",'Final Calculation Sheet'!$S$30&lt;&gt;"",ISNUMBER(SEARCH($T$4,'Final Calculation Sheet'!$S$30))))),IF($U$4="",TRUE(),IF($U$4="(blank)",'Final Calculation Sheet'!$T$30="",IF($U$4="(nonblank)",'Final Calculation Sheet'!$T$30&lt;&gt;"",ISNUMBER(SEARCH($U$4,'Final Calculation Sheet'!$T$30))))),IF($V$4="",TRUE(),IF($V$4="(blank)",'Final Calculation Sheet'!$U$30="",IF($V$4="(nonblank)",'Final Calculation Sheet'!$U$30&lt;&gt;"",ISNUMBER(SEARCH($V$4,'Final Calculation Sheet'!$U$30))))),IF($W$4="",TRUE(),IF($W$4="(blank)",'Final Calculation Sheet'!$V$30="",IF($W$4="(nonblank)",'Final Calculation Sheet'!$V$30&lt;&gt;"",ISNUMBER(SEARCH($W$4,'Final Calculation Sheet'!$V$30))))),IF($X$4="",TRUE(),IF($X$4="(blank)",'Final Calculation Sheet'!$W$30="",IF($X$4="(nonblank)",'Final Calculation Sheet'!$W$30&lt;&gt;"",ISNUMBER(SEARCH($X$4,'Final Calculation Sheet'!$W$30))))),IF($Y$4="",TRUE(),IF($Y$4="(blank)",'Final Calculation Sheet'!$X$30="",IF($Y$4="(nonblank)",'Final Calculation Sheet'!$X$30&lt;&gt;"",ISNUMBER(SEARCH($Y$4,'Final Calculation Sheet'!$X$30))))),IF($Z$4="",TRUE(),IF($Z$4="(blank)",'Final Calculation Sheet'!$Y$30="",IF($Z$4="(nonblank)",'Final Calculation Sheet'!$Y$30&lt;&gt;"",ISNUMBER(SEARCH($Z$4,'Final Calculation Sheet'!$Y$30))))),IF($AA$4="",TRUE(),IF($AA$4="(blank)",'Final Calculation Sheet'!$Z$30="",IF($AA$4="(nonblank)",'Final Calculation Sheet'!$Z$30&lt;&gt;"",ISNUMBER(SEARCH($AA$4,'Final Calculation Sheet'!$Z$30))))),IF($AB$4="",TRUE(),IF($AB$4="(blank)",'Final Calculation Sheet'!$AA$30="",IF($AB$4="(nonblank)",'Final Calculation Sheet'!$AA$30&lt;&gt;"",ISNUMBER(SEARCH($AB$4,'Final Calculation Sheet'!$AA$30))))),IF($AC$4="",TRUE(),IF($AC$4="(blank)",'Final Calculation Sheet'!$AB$30="",IF($AC$4="(nonblank)",'Final Calculation Sheet'!$AB$30&lt;&gt;"",ISNUMBER(SEARCH($AC$4,'Final Calculation Sheet'!$AB$30))))),IF($AD$4="",TRUE(),IF($AD$4="(blank)",'Final Calculation Sheet'!$AC$30="",IF($AD$4="(nonblank)",'Final Calculation Sheet'!$AC$30&lt;&gt;"",ISNUMBER(SEARCH($AD$4,'Final Calculation Sheet'!$AC$30))))),IF($AE$4="",TRUE(),IF($AE$4="(blank)",'Final Calculation Sheet'!$AD$30="",IF($AE$4="(nonblank)",'Final Calculation Sheet'!$AD$30&lt;&gt;"",ISNUMBER(SEARCH($AE$4,'Final Calculation Sheet'!$AD$30))))),IF($AG$4="",TRUE(),IF($AG$4="(blank)",'Final Calculation Sheet'!$AF$30="",IF($AG$4="(nonblank)",'Final Calculation Sheet'!$AF$30&lt;&gt;"",ISNUMBER(SEARCH($AG$4,'Final Calculation Sheet'!$AF$30))))),IF($AH$4="",TRUE(),IF($AH$4="(blank)",'Final Calculation Sheet'!$AG$30="",IF($AH$4="(nonblank)",'Final Calculation Sheet'!$AG$30&lt;&gt;"",ISNUMBER(SEARCH($AH$4,'Final Calculation Sheet'!$AG$30))))),IF($AI$4="",TRUE(),IF($AI$4="(blank)",'Final Calculation Sheet'!$AH$30="",IF($AI$4="(nonblank)",'Final Calculation Sheet'!$AH$30&lt;&gt;"",ISNUMBER(SEARCH($AI$4,'Final Calculation Sheet'!$AH$30))))),IF($AF$4="",TRUE(),IF($AF$4="(blank)",IF('Final Calculation Sheet'!$AD$30&lt;=5,"SETTLED","OUTSTANDING")="",IF($AF$4="(nonblank)",IF('Final Calculation Sheet'!$AD$30&lt;=5,"SETTLED","OUTSTANDING")&lt;&gt;"",ISNUMBER(SEARCH($AF$4,IF('Final Calculation Sheet'!$AD$30&lt;=5,"SETTLED","OUTSTANDING"))))))),1,0)</f>
      </c>
      <c r="AK27">
        <f>IF(AJ27=1,COUNTIF(AJ$7:AJ27,1),"")</f>
        <v/>
      </c>
    </row>
    <row r="28" outlineLevel="1" ht="15" customHeight="1" s="137">
      <c r="A28" s="67" t="n">
        <v>11</v>
      </c>
      <c r="B28" s="76">
        <f>IF('Final Calculation Sheet'!$F$32="","",'Final Calculation Sheet'!$F$32)</f>
        <v/>
      </c>
      <c r="C28" s="76">
        <f>IF('Final Calculation Sheet'!$G$32="","",'Final Calculation Sheet'!$G$32)</f>
        <v/>
      </c>
      <c r="D28" s="80">
        <f>IF('Final Calculation Sheet'!$B$32="","",'Final Calculation Sheet'!$B$32)</f>
        <v/>
      </c>
      <c r="E28" s="80">
        <f>IF('Final Calculation Sheet'!$D$32="","",'Final Calculation Sheet'!$D$32)</f>
        <v/>
      </c>
      <c r="F28" s="80">
        <f>IF('Final Calculation Sheet'!$A$32="","",'Final Calculation Sheet'!$A$32)</f>
        <v/>
      </c>
      <c r="G28" s="80">
        <f>IF('Final Calculation Sheet'!$E$32="","",'Final Calculation Sheet'!$E$32)</f>
        <v/>
      </c>
      <c r="H28" s="70">
        <f>IF('Final Calculation Sheet'!$C$32="","",'Final Calculation Sheet'!$C$32)</f>
        <v/>
      </c>
      <c r="I28" s="70">
        <f>IF('Final Calculation Sheet'!$H$32="","",'Final Calculation Sheet'!$H$32)</f>
        <v/>
      </c>
      <c r="J28" s="70">
        <f>IF('Final Calculation Sheet'!$I$32="","",'Final Calculation Sheet'!$I$32)</f>
        <v/>
      </c>
      <c r="K28" s="70">
        <f>IF('Final Calculation Sheet'!$J$32="","",'Final Calculation Sheet'!$J$32)</f>
        <v/>
      </c>
      <c r="L28" s="70">
        <f>IF('Final Calculation Sheet'!$K$32="","",'Final Calculation Sheet'!$K$32)</f>
        <v/>
      </c>
      <c r="M28" s="70">
        <f>IF('Final Calculation Sheet'!$L$32="","",'Final Calculation Sheet'!$L$32)</f>
        <v/>
      </c>
      <c r="N28" s="70">
        <f>IF('Final Calculation Sheet'!$M$32="","",'Final Calculation Sheet'!$M$32)</f>
        <v/>
      </c>
      <c r="O28" s="71">
        <f>IF('Final Calculation Sheet'!$N$32="","",'Final Calculation Sheet'!$N$32)</f>
        <v/>
      </c>
      <c r="P28" s="70">
        <f>IF('Final Calculation Sheet'!$O$32="","",'Final Calculation Sheet'!$O$32)</f>
        <v/>
      </c>
      <c r="Q28" s="70">
        <f>IF('Final Calculation Sheet'!$P$32="","",'Final Calculation Sheet'!$P$32)</f>
        <v/>
      </c>
      <c r="R28" s="72">
        <f>IF('Final Calculation Sheet'!$Q$32="","",'Final Calculation Sheet'!$Q$32)</f>
        <v/>
      </c>
      <c r="S28" s="70">
        <f>IF('Final Calculation Sheet'!$R$32="","",'Final Calculation Sheet'!$R$32)</f>
        <v/>
      </c>
      <c r="T28" s="70">
        <f>IF('Final Calculation Sheet'!$S$32="","",'Final Calculation Sheet'!$S$32)</f>
        <v/>
      </c>
      <c r="U28" s="70">
        <f>IF('Final Calculation Sheet'!$T$32="","",'Final Calculation Sheet'!$T$32)</f>
        <v/>
      </c>
      <c r="V28" s="73">
        <f>IF('Final Calculation Sheet'!$U$32="","",'Final Calculation Sheet'!$U$32)</f>
        <v/>
      </c>
      <c r="W28" s="70">
        <f>IF('Final Calculation Sheet'!$V$32="","",'Final Calculation Sheet'!$V$32)</f>
        <v/>
      </c>
      <c r="X28" s="70">
        <f>IF('Final Calculation Sheet'!$W$32="","",'Final Calculation Sheet'!$W$32)</f>
        <v/>
      </c>
      <c r="Y28" s="70">
        <f>IF('Final Calculation Sheet'!$X$32="","",'Final Calculation Sheet'!$X$32)</f>
        <v/>
      </c>
      <c r="Z28" s="70">
        <f>IF('Final Calculation Sheet'!$Y$32="","",'Final Calculation Sheet'!$Y$32)</f>
        <v/>
      </c>
      <c r="AA28" s="70">
        <f>IF('Final Calculation Sheet'!$Z$32="","",'Final Calculation Sheet'!$Z$32)</f>
        <v/>
      </c>
      <c r="AB28" s="70">
        <f>IF('Final Calculation Sheet'!$AA$32="","",'Final Calculation Sheet'!$AA$32)</f>
        <v/>
      </c>
      <c r="AC28" s="70">
        <f>IF('Final Calculation Sheet'!$AB$32="","",'Final Calculation Sheet'!$AB$32)</f>
        <v/>
      </c>
      <c r="AD28" s="70">
        <f>IF('Final Calculation Sheet'!$AC$32="","",'Final Calculation Sheet'!$AC$32)</f>
        <v/>
      </c>
      <c r="AE28" s="70">
        <f>IF('Final Calculation Sheet'!$AD$32="","",'Final Calculation Sheet'!$AD$32)</f>
        <v/>
      </c>
      <c r="AF28" s="75">
        <f>IF('Final Calculation Sheet'!$AD$32="","",IF('Final Calculation Sheet'!$AD$32&lt;=5,"SETTLED","OUTSTANDING"))</f>
        <v/>
      </c>
      <c r="AG28" s="70">
        <f>IF('Final Calculation Sheet'!$AF$32="","",'Final Calculation Sheet'!$AF$32)</f>
        <v/>
      </c>
      <c r="AH28" s="74">
        <f>IF('Final Calculation Sheet'!$AG$32="","",'Final Calculation Sheet'!$AG$32)</f>
        <v/>
      </c>
      <c r="AI28" s="70">
        <f>IF('Final Calculation Sheet'!$AH$32="","",'Final Calculation Sheet'!$AH$32)</f>
        <v/>
      </c>
      <c r="AJ28">
        <f>IF(AND(IF($B$4="",TRUE(),IF($B$4="(blank)",'Final Calculation Sheet'!$F$32="",IF($B$4="(nonblank)",'Final Calculation Sheet'!$F$32&lt;&gt;"",ISNUMBER(SEARCH($B$4,'Final Calculation Sheet'!$F$32))))),IF($C$4="",TRUE(),IF($C$4="(blank)",'Final Calculation Sheet'!$G$32="",IF($C$4="(nonblank)",'Final Calculation Sheet'!$G$32&lt;&gt;"",ISNUMBER(SEARCH($C$4,'Final Calculation Sheet'!$G$32))))),IF($D$4="",TRUE(),IF($D$4="(blank)",'Final Calculation Sheet'!$B$32="",IF($D$4="(nonblank)",'Final Calculation Sheet'!$B$32&lt;&gt;"",ISNUMBER(SEARCH($D$4,'Final Calculation Sheet'!$B$32))))),IF($E$4="",TRUE(),IF($E$4="(blank)",'Final Calculation Sheet'!$D$32="",IF($E$4="(nonblank)",'Final Calculation Sheet'!$D$32&lt;&gt;"",ISNUMBER(SEARCH($E$4,'Final Calculation Sheet'!$D$32))))),IF($F$4="",TRUE(),IF($F$4="(blank)",'Final Calculation Sheet'!$A$32="",IF($F$4="(nonblank)",'Final Calculation Sheet'!$A$32&lt;&gt;"",ISNUMBER(SEARCH($F$4,'Final Calculation Sheet'!$A$32))))),IF($G$4="",TRUE(),IF($G$4="(blank)",'Final Calculation Sheet'!$E$32="",IF($G$4="(nonblank)",'Final Calculation Sheet'!$E$32&lt;&gt;"",ISNUMBER(SEARCH($G$4,'Final Calculation Sheet'!$E$32))))),IF($H$4="",TRUE(),IF($H$4="(blank)",'Final Calculation Sheet'!$C$32="",IF($H$4="(nonblank)",'Final Calculation Sheet'!$C$32&lt;&gt;"",ISNUMBER(SEARCH($H$4,'Final Calculation Sheet'!$C$32))))),IF($I$4="",TRUE(),IF($I$4="(blank)",'Final Calculation Sheet'!$H$32="",IF($I$4="(nonblank)",'Final Calculation Sheet'!$H$32&lt;&gt;"",ISNUMBER(SEARCH($I$4,'Final Calculation Sheet'!$H$32))))),IF($J$4="",TRUE(),IF($J$4="(blank)",'Final Calculation Sheet'!$I$32="",IF($J$4="(nonblank)",'Final Calculation Sheet'!$I$32&lt;&gt;"",ISNUMBER(SEARCH($J$4,'Final Calculation Sheet'!$I$32))))),IF($K$4="",TRUE(),IF($K$4="(blank)",'Final Calculation Sheet'!$J$32="",IF($K$4="(nonblank)",'Final Calculation Sheet'!$J$32&lt;&gt;"",ISNUMBER(SEARCH($K$4,'Final Calculation Sheet'!$J$32))))),IF($L$4="",TRUE(),IF($L$4="(blank)",'Final Calculation Sheet'!$K$32="",IF($L$4="(nonblank)",'Final Calculation Sheet'!$K$32&lt;&gt;"",ISNUMBER(SEARCH($L$4,'Final Calculation Sheet'!$K$32))))),IF($M$4="",TRUE(),IF($M$4="(blank)",'Final Calculation Sheet'!$L$32="",IF($M$4="(nonblank)",'Final Calculation Sheet'!$L$32&lt;&gt;"",ISNUMBER(SEARCH($M$4,'Final Calculation Sheet'!$L$32))))),IF($N$4="",TRUE(),IF($N$4="(blank)",'Final Calculation Sheet'!$M$32="",IF($N$4="(nonblank)",'Final Calculation Sheet'!$M$32&lt;&gt;"",ISNUMBER(SEARCH($N$4,'Final Calculation Sheet'!$M$32))))),IF($O$4="",TRUE(),IF($O$4="(blank)",'Final Calculation Sheet'!$N$32="",IF($O$4="(nonblank)",'Final Calculation Sheet'!$N$32&lt;&gt;"",ISNUMBER(SEARCH($O$4,'Final Calculation Sheet'!$N$32))))),IF($P$4="",TRUE(),IF($P$4="(blank)",'Final Calculation Sheet'!$O$32="",IF($P$4="(nonblank)",'Final Calculation Sheet'!$O$32&lt;&gt;"",ISNUMBER(SEARCH($P$4,'Final Calculation Sheet'!$O$32))))),IF($Q$4="",TRUE(),IF($Q$4="(blank)",'Final Calculation Sheet'!$P$32="",IF($Q$4="(nonblank)",'Final Calculation Sheet'!$P$32&lt;&gt;"",ISNUMBER(SEARCH($Q$4,'Final Calculation Sheet'!$P$32))))),IF($R$4="",TRUE(),IF($R$4="(blank)",'Final Calculation Sheet'!$Q$32="",IF($R$4="(nonblank)",'Final Calculation Sheet'!$Q$32&lt;&gt;"",ISNUMBER(SEARCH($R$4,'Final Calculation Sheet'!$Q$32))))),IF($S$4="",TRUE(),IF($S$4="(blank)",'Final Calculation Sheet'!$R$32="",IF($S$4="(nonblank)",'Final Calculation Sheet'!$R$32&lt;&gt;"",ISNUMBER(SEARCH($S$4,'Final Calculation Sheet'!$R$32))))),IF($T$4="",TRUE(),IF($T$4="(blank)",'Final Calculation Sheet'!$S$32="",IF($T$4="(nonblank)",'Final Calculation Sheet'!$S$32&lt;&gt;"",ISNUMBER(SEARCH($T$4,'Final Calculation Sheet'!$S$32))))),IF($U$4="",TRUE(),IF($U$4="(blank)",'Final Calculation Sheet'!$T$32="",IF($U$4="(nonblank)",'Final Calculation Sheet'!$T$32&lt;&gt;"",ISNUMBER(SEARCH($U$4,'Final Calculation Sheet'!$T$32))))),IF($V$4="",TRUE(),IF($V$4="(blank)",'Final Calculation Sheet'!$U$32="",IF($V$4="(nonblank)",'Final Calculation Sheet'!$U$32&lt;&gt;"",ISNUMBER(SEARCH($V$4,'Final Calculation Sheet'!$U$32))))),IF($W$4="",TRUE(),IF($W$4="(blank)",'Final Calculation Sheet'!$V$32="",IF($W$4="(nonblank)",'Final Calculation Sheet'!$V$32&lt;&gt;"",ISNUMBER(SEARCH($W$4,'Final Calculation Sheet'!$V$32))))),IF($X$4="",TRUE(),IF($X$4="(blank)",'Final Calculation Sheet'!$W$32="",IF($X$4="(nonblank)",'Final Calculation Sheet'!$W$32&lt;&gt;"",ISNUMBER(SEARCH($X$4,'Final Calculation Sheet'!$W$32))))),IF($Y$4="",TRUE(),IF($Y$4="(blank)",'Final Calculation Sheet'!$X$32="",IF($Y$4="(nonblank)",'Final Calculation Sheet'!$X$32&lt;&gt;"",ISNUMBER(SEARCH($Y$4,'Final Calculation Sheet'!$X$32))))),IF($Z$4="",TRUE(),IF($Z$4="(blank)",'Final Calculation Sheet'!$Y$32="",IF($Z$4="(nonblank)",'Final Calculation Sheet'!$Y$32&lt;&gt;"",ISNUMBER(SEARCH($Z$4,'Final Calculation Sheet'!$Y$32))))),IF($AA$4="",TRUE(),IF($AA$4="(blank)",'Final Calculation Sheet'!$Z$32="",IF($AA$4="(nonblank)",'Final Calculation Sheet'!$Z$32&lt;&gt;"",ISNUMBER(SEARCH($AA$4,'Final Calculation Sheet'!$Z$32))))),IF($AB$4="",TRUE(),IF($AB$4="(blank)",'Final Calculation Sheet'!$AA$32="",IF($AB$4="(nonblank)",'Final Calculation Sheet'!$AA$32&lt;&gt;"",ISNUMBER(SEARCH($AB$4,'Final Calculation Sheet'!$AA$32))))),IF($AC$4="",TRUE(),IF($AC$4="(blank)",'Final Calculation Sheet'!$AB$32="",IF($AC$4="(nonblank)",'Final Calculation Sheet'!$AB$32&lt;&gt;"",ISNUMBER(SEARCH($AC$4,'Final Calculation Sheet'!$AB$32))))),IF($AD$4="",TRUE(),IF($AD$4="(blank)",'Final Calculation Sheet'!$AC$32="",IF($AD$4="(nonblank)",'Final Calculation Sheet'!$AC$32&lt;&gt;"",ISNUMBER(SEARCH($AD$4,'Final Calculation Sheet'!$AC$32))))),IF($AE$4="",TRUE(),IF($AE$4="(blank)",'Final Calculation Sheet'!$AD$32="",IF($AE$4="(nonblank)",'Final Calculation Sheet'!$AD$32&lt;&gt;"",ISNUMBER(SEARCH($AE$4,'Final Calculation Sheet'!$AD$32))))),IF($AG$4="",TRUE(),IF($AG$4="(blank)",'Final Calculation Sheet'!$AF$32="",IF($AG$4="(nonblank)",'Final Calculation Sheet'!$AF$32&lt;&gt;"",ISNUMBER(SEARCH($AG$4,'Final Calculation Sheet'!$AF$32))))),IF($AH$4="",TRUE(),IF($AH$4="(blank)",'Final Calculation Sheet'!$AG$32="",IF($AH$4="(nonblank)",'Final Calculation Sheet'!$AG$32&lt;&gt;"",ISNUMBER(SEARCH($AH$4,'Final Calculation Sheet'!$AG$32))))),IF($AI$4="",TRUE(),IF($AI$4="(blank)",'Final Calculation Sheet'!$AH$32="",IF($AI$4="(nonblank)",'Final Calculation Sheet'!$AH$32&lt;&gt;"",ISNUMBER(SEARCH($AI$4,'Final Calculation Sheet'!$AH$32))))),IF($AF$4="",TRUE(),IF($AF$4="(blank)",IF('Final Calculation Sheet'!$AD$32&lt;=5,"SETTLED","OUTSTANDING")="",IF($AF$4="(nonblank)",IF('Final Calculation Sheet'!$AD$32&lt;=5,"SETTLED","OUTSTANDING")&lt;&gt;"",ISNUMBER(SEARCH($AF$4,IF('Final Calculation Sheet'!$AD$32&lt;=5,"SETTLED","OUTSTANDING"))))))),1,0)</f>
      </c>
      <c r="AK28">
        <f>IF(AJ28=1,COUNTIF(AJ$7:AJ28,1),"")</f>
        <v/>
      </c>
    </row>
    <row r="29" outlineLevel="1" ht="15" customHeight="1" s="137">
      <c r="A29" s="90" t="n">
        <v>12</v>
      </c>
      <c r="B29" s="92">
        <f>IF('Final Calculation Sheet'!$F$33="","",'Final Calculation Sheet'!$F$33)</f>
        <v/>
      </c>
      <c r="C29" s="92">
        <f>IF('Final Calculation Sheet'!$G$33="","",'Final Calculation Sheet'!$G$33)</f>
        <v/>
      </c>
      <c r="D29" s="94">
        <f>IF('Final Calculation Sheet'!$B$33="","",'Final Calculation Sheet'!$B$33)</f>
        <v/>
      </c>
      <c r="E29" s="94">
        <f>IF('Final Calculation Sheet'!$D$33="","",'Final Calculation Sheet'!$D$33)</f>
        <v/>
      </c>
      <c r="F29" s="94">
        <f>IF('Final Calculation Sheet'!$A$33="","",'Final Calculation Sheet'!$A$33)</f>
        <v/>
      </c>
      <c r="G29" s="94">
        <f>IF('Final Calculation Sheet'!$E$33="","",'Final Calculation Sheet'!$E$33)</f>
        <v/>
      </c>
      <c r="H29" s="95">
        <f>IF('Final Calculation Sheet'!$C$33="","",'Final Calculation Sheet'!$C$33)</f>
        <v/>
      </c>
      <c r="I29" s="95">
        <f>IF('Final Calculation Sheet'!$H$33="","",'Final Calculation Sheet'!$H$33)</f>
        <v/>
      </c>
      <c r="J29" s="95">
        <f>IF('Final Calculation Sheet'!$I$33="","",'Final Calculation Sheet'!$I$33)</f>
        <v/>
      </c>
      <c r="K29" s="95">
        <f>IF('Final Calculation Sheet'!$J$33="","",'Final Calculation Sheet'!$J$33)</f>
        <v/>
      </c>
      <c r="L29" s="95">
        <f>IF('Final Calculation Sheet'!$K$33="","",'Final Calculation Sheet'!$K$33)</f>
        <v/>
      </c>
      <c r="M29" s="95">
        <f>IF('Final Calculation Sheet'!$L$33="","",'Final Calculation Sheet'!$L$33)</f>
        <v/>
      </c>
      <c r="N29" s="95">
        <f>IF('Final Calculation Sheet'!$M$33="","",'Final Calculation Sheet'!$M$33)</f>
        <v/>
      </c>
      <c r="O29" s="96">
        <f>IF('Final Calculation Sheet'!$N$33="","",'Final Calculation Sheet'!$N$33)</f>
        <v/>
      </c>
      <c r="P29" s="95">
        <f>IF('Final Calculation Sheet'!$O$33="","",'Final Calculation Sheet'!$O$33)</f>
        <v/>
      </c>
      <c r="Q29" s="95">
        <f>IF('Final Calculation Sheet'!$P$33="","",'Final Calculation Sheet'!$P$33)</f>
        <v/>
      </c>
      <c r="R29" s="97">
        <f>IF('Final Calculation Sheet'!$Q$33="","",'Final Calculation Sheet'!$Q$33)</f>
        <v/>
      </c>
      <c r="S29" s="95">
        <f>IF('Final Calculation Sheet'!$R$33="","",'Final Calculation Sheet'!$R$33)</f>
        <v/>
      </c>
      <c r="T29" s="95">
        <f>IF('Final Calculation Sheet'!$S$33="","",'Final Calculation Sheet'!$S$33)</f>
        <v/>
      </c>
      <c r="U29" s="95">
        <f>IF('Final Calculation Sheet'!$T$33="","",'Final Calculation Sheet'!$T$33)</f>
        <v/>
      </c>
      <c r="V29" s="98">
        <f>IF('Final Calculation Sheet'!$U$33="","",'Final Calculation Sheet'!$U$33)</f>
        <v/>
      </c>
      <c r="W29" s="95">
        <f>IF('Final Calculation Sheet'!$V$33="","",'Final Calculation Sheet'!$V$33)</f>
        <v/>
      </c>
      <c r="X29" s="95">
        <f>IF('Final Calculation Sheet'!$W$33="","",'Final Calculation Sheet'!$W$33)</f>
        <v/>
      </c>
      <c r="Y29" s="95">
        <f>IF('Final Calculation Sheet'!$X$33="","",'Final Calculation Sheet'!$X$33)</f>
        <v/>
      </c>
      <c r="Z29" s="95">
        <f>IF('Final Calculation Sheet'!$Y$33="","",'Final Calculation Sheet'!$Y$33)</f>
        <v/>
      </c>
      <c r="AA29" s="95">
        <f>IF('Final Calculation Sheet'!$Z$33="","",'Final Calculation Sheet'!$Z$33)</f>
        <v/>
      </c>
      <c r="AB29" s="95">
        <f>IF('Final Calculation Sheet'!$AA$33="","",'Final Calculation Sheet'!$AA$33)</f>
        <v/>
      </c>
      <c r="AC29" s="95">
        <f>IF('Final Calculation Sheet'!$AB$33="","",'Final Calculation Sheet'!$AB$33)</f>
        <v/>
      </c>
      <c r="AD29" s="95">
        <f>IF('Final Calculation Sheet'!$AC$33="","",'Final Calculation Sheet'!$AC$33)</f>
        <v/>
      </c>
      <c r="AE29" s="95">
        <f>IF('Final Calculation Sheet'!$AD$33="","",'Final Calculation Sheet'!$AD$33)</f>
        <v/>
      </c>
      <c r="AF29" s="100">
        <f>IF('Final Calculation Sheet'!$AD$33="","",IF('Final Calculation Sheet'!$AD$33&lt;=5,"SETTLED","OUTSTANDING"))</f>
        <v/>
      </c>
      <c r="AG29" s="95">
        <f>IF('Final Calculation Sheet'!$AF$33="","",'Final Calculation Sheet'!$AF$33)</f>
        <v/>
      </c>
      <c r="AH29" s="99">
        <f>IF('Final Calculation Sheet'!$AG$33="","",'Final Calculation Sheet'!$AG$33)</f>
        <v/>
      </c>
      <c r="AI29" s="95">
        <f>IF('Final Calculation Sheet'!$AH$33="","",'Final Calculation Sheet'!$AH$33)</f>
        <v/>
      </c>
      <c r="AJ29">
        <f>IF(AND(IF($B$4="",TRUE(),IF($B$4="(blank)",'Final Calculation Sheet'!$F$33="",IF($B$4="(nonblank)",'Final Calculation Sheet'!$F$33&lt;&gt;"",ISNUMBER(SEARCH($B$4,'Final Calculation Sheet'!$F$33))))),IF($C$4="",TRUE(),IF($C$4="(blank)",'Final Calculation Sheet'!$G$33="",IF($C$4="(nonblank)",'Final Calculation Sheet'!$G$33&lt;&gt;"",ISNUMBER(SEARCH($C$4,'Final Calculation Sheet'!$G$33))))),IF($D$4="",TRUE(),IF($D$4="(blank)",'Final Calculation Sheet'!$B$33="",IF($D$4="(nonblank)",'Final Calculation Sheet'!$B$33&lt;&gt;"",ISNUMBER(SEARCH($D$4,'Final Calculation Sheet'!$B$33))))),IF($E$4="",TRUE(),IF($E$4="(blank)",'Final Calculation Sheet'!$D$33="",IF($E$4="(nonblank)",'Final Calculation Sheet'!$D$33&lt;&gt;"",ISNUMBER(SEARCH($E$4,'Final Calculation Sheet'!$D$33))))),IF($F$4="",TRUE(),IF($F$4="(blank)",'Final Calculation Sheet'!$A$33="",IF($F$4="(nonblank)",'Final Calculation Sheet'!$A$33&lt;&gt;"",ISNUMBER(SEARCH($F$4,'Final Calculation Sheet'!$A$33))))),IF($G$4="",TRUE(),IF($G$4="(blank)",'Final Calculation Sheet'!$E$33="",IF($G$4="(nonblank)",'Final Calculation Sheet'!$E$33&lt;&gt;"",ISNUMBER(SEARCH($G$4,'Final Calculation Sheet'!$E$33))))),IF($H$4="",TRUE(),IF($H$4="(blank)",'Final Calculation Sheet'!$C$33="",IF($H$4="(nonblank)",'Final Calculation Sheet'!$C$33&lt;&gt;"",ISNUMBER(SEARCH($H$4,'Final Calculation Sheet'!$C$33))))),IF($I$4="",TRUE(),IF($I$4="(blank)",'Final Calculation Sheet'!$H$33="",IF($I$4="(nonblank)",'Final Calculation Sheet'!$H$33&lt;&gt;"",ISNUMBER(SEARCH($I$4,'Final Calculation Sheet'!$H$33))))),IF($J$4="",TRUE(),IF($J$4="(blank)",'Final Calculation Sheet'!$I$33="",IF($J$4="(nonblank)",'Final Calculation Sheet'!$I$33&lt;&gt;"",ISNUMBER(SEARCH($J$4,'Final Calculation Sheet'!$I$33))))),IF($K$4="",TRUE(),IF($K$4="(blank)",'Final Calculation Sheet'!$J$33="",IF($K$4="(nonblank)",'Final Calculation Sheet'!$J$33&lt;&gt;"",ISNUMBER(SEARCH($K$4,'Final Calculation Sheet'!$J$33))))),IF($L$4="",TRUE(),IF($L$4="(blank)",'Final Calculation Sheet'!$K$33="",IF($L$4="(nonblank)",'Final Calculation Sheet'!$K$33&lt;&gt;"",ISNUMBER(SEARCH($L$4,'Final Calculation Sheet'!$K$33))))),IF($M$4="",TRUE(),IF($M$4="(blank)",'Final Calculation Sheet'!$L$33="",IF($M$4="(nonblank)",'Final Calculation Sheet'!$L$33&lt;&gt;"",ISNUMBER(SEARCH($M$4,'Final Calculation Sheet'!$L$33))))),IF($N$4="",TRUE(),IF($N$4="(blank)",'Final Calculation Sheet'!$M$33="",IF($N$4="(nonblank)",'Final Calculation Sheet'!$M$33&lt;&gt;"",ISNUMBER(SEARCH($N$4,'Final Calculation Sheet'!$M$33))))),IF($O$4="",TRUE(),IF($O$4="(blank)",'Final Calculation Sheet'!$N$33="",IF($O$4="(nonblank)",'Final Calculation Sheet'!$N$33&lt;&gt;"",ISNUMBER(SEARCH($O$4,'Final Calculation Sheet'!$N$33))))),IF($P$4="",TRUE(),IF($P$4="(blank)",'Final Calculation Sheet'!$O$33="",IF($P$4="(nonblank)",'Final Calculation Sheet'!$O$33&lt;&gt;"",ISNUMBER(SEARCH($P$4,'Final Calculation Sheet'!$O$33))))),IF($Q$4="",TRUE(),IF($Q$4="(blank)",'Final Calculation Sheet'!$P$33="",IF($Q$4="(nonblank)",'Final Calculation Sheet'!$P$33&lt;&gt;"",ISNUMBER(SEARCH($Q$4,'Final Calculation Sheet'!$P$33))))),IF($R$4="",TRUE(),IF($R$4="(blank)",'Final Calculation Sheet'!$Q$33="",IF($R$4="(nonblank)",'Final Calculation Sheet'!$Q$33&lt;&gt;"",ISNUMBER(SEARCH($R$4,'Final Calculation Sheet'!$Q$33))))),IF($S$4="",TRUE(),IF($S$4="(blank)",'Final Calculation Sheet'!$R$33="",IF($S$4="(nonblank)",'Final Calculation Sheet'!$R$33&lt;&gt;"",ISNUMBER(SEARCH($S$4,'Final Calculation Sheet'!$R$33))))),IF($T$4="",TRUE(),IF($T$4="(blank)",'Final Calculation Sheet'!$S$33="",IF($T$4="(nonblank)",'Final Calculation Sheet'!$S$33&lt;&gt;"",ISNUMBER(SEARCH($T$4,'Final Calculation Sheet'!$S$33))))),IF($U$4="",TRUE(),IF($U$4="(blank)",'Final Calculation Sheet'!$T$33="",IF($U$4="(nonblank)",'Final Calculation Sheet'!$T$33&lt;&gt;"",ISNUMBER(SEARCH($U$4,'Final Calculation Sheet'!$T$33))))),IF($V$4="",TRUE(),IF($V$4="(blank)",'Final Calculation Sheet'!$U$33="",IF($V$4="(nonblank)",'Final Calculation Sheet'!$U$33&lt;&gt;"",ISNUMBER(SEARCH($V$4,'Final Calculation Sheet'!$U$33))))),IF($W$4="",TRUE(),IF($W$4="(blank)",'Final Calculation Sheet'!$V$33="",IF($W$4="(nonblank)",'Final Calculation Sheet'!$V$33&lt;&gt;"",ISNUMBER(SEARCH($W$4,'Final Calculation Sheet'!$V$33))))),IF($X$4="",TRUE(),IF($X$4="(blank)",'Final Calculation Sheet'!$W$33="",IF($X$4="(nonblank)",'Final Calculation Sheet'!$W$33&lt;&gt;"",ISNUMBER(SEARCH($X$4,'Final Calculation Sheet'!$W$33))))),IF($Y$4="",TRUE(),IF($Y$4="(blank)",'Final Calculation Sheet'!$X$33="",IF($Y$4="(nonblank)",'Final Calculation Sheet'!$X$33&lt;&gt;"",ISNUMBER(SEARCH($Y$4,'Final Calculation Sheet'!$X$33))))),IF($Z$4="",TRUE(),IF($Z$4="(blank)",'Final Calculation Sheet'!$Y$33="",IF($Z$4="(nonblank)",'Final Calculation Sheet'!$Y$33&lt;&gt;"",ISNUMBER(SEARCH($Z$4,'Final Calculation Sheet'!$Y$33))))),IF($AA$4="",TRUE(),IF($AA$4="(blank)",'Final Calculation Sheet'!$Z$33="",IF($AA$4="(nonblank)",'Final Calculation Sheet'!$Z$33&lt;&gt;"",ISNUMBER(SEARCH($AA$4,'Final Calculation Sheet'!$Z$33))))),IF($AB$4="",TRUE(),IF($AB$4="(blank)",'Final Calculation Sheet'!$AA$33="",IF($AB$4="(nonblank)",'Final Calculation Sheet'!$AA$33&lt;&gt;"",ISNUMBER(SEARCH($AB$4,'Final Calculation Sheet'!$AA$33))))),IF($AC$4="",TRUE(),IF($AC$4="(blank)",'Final Calculation Sheet'!$AB$33="",IF($AC$4="(nonblank)",'Final Calculation Sheet'!$AB$33&lt;&gt;"",ISNUMBER(SEARCH($AC$4,'Final Calculation Sheet'!$AB$33))))),IF($AD$4="",TRUE(),IF($AD$4="(blank)",'Final Calculation Sheet'!$AC$33="",IF($AD$4="(nonblank)",'Final Calculation Sheet'!$AC$33&lt;&gt;"",ISNUMBER(SEARCH($AD$4,'Final Calculation Sheet'!$AC$33))))),IF($AE$4="",TRUE(),IF($AE$4="(blank)",'Final Calculation Sheet'!$AD$33="",IF($AE$4="(nonblank)",'Final Calculation Sheet'!$AD$33&lt;&gt;"",ISNUMBER(SEARCH($AE$4,'Final Calculation Sheet'!$AD$33))))),IF($AG$4="",TRUE(),IF($AG$4="(blank)",'Final Calculation Sheet'!$AF$33="",IF($AG$4="(nonblank)",'Final Calculation Sheet'!$AF$33&lt;&gt;"",ISNUMBER(SEARCH($AG$4,'Final Calculation Sheet'!$AF$33))))),IF($AH$4="",TRUE(),IF($AH$4="(blank)",'Final Calculation Sheet'!$AG$33="",IF($AH$4="(nonblank)",'Final Calculation Sheet'!$AG$33&lt;&gt;"",ISNUMBER(SEARCH($AH$4,'Final Calculation Sheet'!$AG$33))))),IF($AI$4="",TRUE(),IF($AI$4="(blank)",'Final Calculation Sheet'!$AH$33="",IF($AI$4="(nonblank)",'Final Calculation Sheet'!$AH$33&lt;&gt;"",ISNUMBER(SEARCH($AI$4,'Final Calculation Sheet'!$AH$33))))),IF($AF$4="",TRUE(),IF($AF$4="(blank)",IF('Final Calculation Sheet'!$AD$33&lt;=5,"SETTLED","OUTSTANDING")="",IF($AF$4="(nonblank)",IF('Final Calculation Sheet'!$AD$33&lt;=5,"SETTLED","OUTSTANDING")&lt;&gt;"",ISNUMBER(SEARCH($AF$4,IF('Final Calculation Sheet'!$AD$33&lt;=5,"SETTLED","OUTSTANDING"))))))),1,0)</f>
      </c>
      <c r="AK29">
        <f>IF(AJ29=1,COUNTIF(AJ$7:AJ29,1),"")</f>
        <v/>
      </c>
    </row>
    <row r="30" outlineLevel="1" ht="15" customHeight="1" s="137">
      <c r="A30" s="67" t="n">
        <v>13</v>
      </c>
      <c r="B30" s="76">
        <f>IF('Final Calculation Sheet'!$F$37="","",'Final Calculation Sheet'!$F$37)</f>
        <v/>
      </c>
      <c r="C30" s="76">
        <f>IF('Final Calculation Sheet'!$G$37="","",'Final Calculation Sheet'!$G$37)</f>
        <v/>
      </c>
      <c r="D30" s="80">
        <f>IF('Final Calculation Sheet'!$B$37="","",'Final Calculation Sheet'!$B$37)</f>
        <v/>
      </c>
      <c r="E30" s="80">
        <f>IF('Final Calculation Sheet'!$D$37="","",'Final Calculation Sheet'!$D$37)</f>
        <v/>
      </c>
      <c r="F30" s="80">
        <f>IF('Final Calculation Sheet'!$A$37="","",'Final Calculation Sheet'!$A$37)</f>
        <v/>
      </c>
      <c r="G30" s="80">
        <f>IF('Final Calculation Sheet'!$E$37="","",'Final Calculation Sheet'!$E$37)</f>
        <v/>
      </c>
      <c r="H30" s="70">
        <f>IF('Final Calculation Sheet'!$C$37="","",'Final Calculation Sheet'!$C$37)</f>
        <v/>
      </c>
      <c r="I30" s="70">
        <f>IF('Final Calculation Sheet'!$H$37="","",'Final Calculation Sheet'!$H$37)</f>
        <v/>
      </c>
      <c r="J30" s="70">
        <f>IF('Final Calculation Sheet'!$I$37="","",'Final Calculation Sheet'!$I$37)</f>
        <v/>
      </c>
      <c r="K30" s="70">
        <f>IF('Final Calculation Sheet'!$J$37="","",'Final Calculation Sheet'!$J$37)</f>
        <v/>
      </c>
      <c r="L30" s="70">
        <f>IF('Final Calculation Sheet'!$K$37="","",'Final Calculation Sheet'!$K$37)</f>
        <v/>
      </c>
      <c r="M30" s="70">
        <f>IF('Final Calculation Sheet'!$L$37="","",'Final Calculation Sheet'!$L$37)</f>
        <v/>
      </c>
      <c r="N30" s="70">
        <f>IF('Final Calculation Sheet'!$M$37="","",'Final Calculation Sheet'!$M$37)</f>
        <v/>
      </c>
      <c r="O30" s="71">
        <f>IF('Final Calculation Sheet'!$N$37="","",'Final Calculation Sheet'!$N$37)</f>
        <v/>
      </c>
      <c r="P30" s="70">
        <f>IF('Final Calculation Sheet'!$O$37="","",'Final Calculation Sheet'!$O$37)</f>
        <v/>
      </c>
      <c r="Q30" s="70">
        <f>IF('Final Calculation Sheet'!$P$37="","",'Final Calculation Sheet'!$P$37)</f>
        <v/>
      </c>
      <c r="R30" s="72">
        <f>IF('Final Calculation Sheet'!$Q$37="","",'Final Calculation Sheet'!$Q$37)</f>
        <v/>
      </c>
      <c r="S30" s="70">
        <f>IF('Final Calculation Sheet'!$R$37="","",'Final Calculation Sheet'!$R$37)</f>
        <v/>
      </c>
      <c r="T30" s="70">
        <f>IF('Final Calculation Sheet'!$S$37="","",'Final Calculation Sheet'!$S$37)</f>
        <v/>
      </c>
      <c r="U30" s="70">
        <f>IF('Final Calculation Sheet'!$T$37="","",'Final Calculation Sheet'!$T$37)</f>
        <v/>
      </c>
      <c r="V30" s="73">
        <f>IF('Final Calculation Sheet'!$U$37="","",'Final Calculation Sheet'!$U$37)</f>
        <v/>
      </c>
      <c r="W30" s="70">
        <f>IF('Final Calculation Sheet'!$V$37="","",'Final Calculation Sheet'!$V$37)</f>
        <v/>
      </c>
      <c r="X30" s="70">
        <f>IF('Final Calculation Sheet'!$W$37="","",'Final Calculation Sheet'!$W$37)</f>
        <v/>
      </c>
      <c r="Y30" s="70">
        <f>IF('Final Calculation Sheet'!$X$37="","",'Final Calculation Sheet'!$X$37)</f>
        <v/>
      </c>
      <c r="Z30" s="70">
        <f>IF('Final Calculation Sheet'!$Y$37="","",'Final Calculation Sheet'!$Y$37)</f>
        <v/>
      </c>
      <c r="AA30" s="70">
        <f>IF('Final Calculation Sheet'!$Z$37="","",'Final Calculation Sheet'!$Z$37)</f>
        <v/>
      </c>
      <c r="AB30" s="70">
        <f>IF('Final Calculation Sheet'!$AA$37="","",'Final Calculation Sheet'!$AA$37)</f>
        <v/>
      </c>
      <c r="AC30" s="70">
        <f>IF('Final Calculation Sheet'!$AB$37="","",'Final Calculation Sheet'!$AB$37)</f>
        <v/>
      </c>
      <c r="AD30" s="70">
        <f>IF('Final Calculation Sheet'!$AC$37="","",'Final Calculation Sheet'!$AC$37)</f>
        <v/>
      </c>
      <c r="AE30" s="70">
        <f>IF('Final Calculation Sheet'!$AD$37="","",'Final Calculation Sheet'!$AD$37)</f>
        <v/>
      </c>
      <c r="AF30" s="75">
        <f>IF('Final Calculation Sheet'!$AD$37="","",IF('Final Calculation Sheet'!$AD$37&lt;=5,"SETTLED","OUTSTANDING"))</f>
        <v/>
      </c>
      <c r="AG30" s="70">
        <f>IF('Final Calculation Sheet'!$AF$37="","",'Final Calculation Sheet'!$AF$37)</f>
        <v/>
      </c>
      <c r="AH30" s="74">
        <f>IF('Final Calculation Sheet'!$AG$37="","",'Final Calculation Sheet'!$AG$37)</f>
        <v/>
      </c>
      <c r="AI30" s="70">
        <f>IF('Final Calculation Sheet'!$AH$37="","",'Final Calculation Sheet'!$AH$37)</f>
        <v/>
      </c>
      <c r="AJ30">
        <f>IF(AND(IF($B$4="",TRUE(),IF($B$4="(blank)",'Final Calculation Sheet'!$F$37="",IF($B$4="(nonblank)",'Final Calculation Sheet'!$F$37&lt;&gt;"",ISNUMBER(SEARCH($B$4,'Final Calculation Sheet'!$F$37))))),IF($C$4="",TRUE(),IF($C$4="(blank)",'Final Calculation Sheet'!$G$37="",IF($C$4="(nonblank)",'Final Calculation Sheet'!$G$37&lt;&gt;"",ISNUMBER(SEARCH($C$4,'Final Calculation Sheet'!$G$37))))),IF($D$4="",TRUE(),IF($D$4="(blank)",'Final Calculation Sheet'!$B$37="",IF($D$4="(nonblank)",'Final Calculation Sheet'!$B$37&lt;&gt;"",ISNUMBER(SEARCH($D$4,'Final Calculation Sheet'!$B$37))))),IF($E$4="",TRUE(),IF($E$4="(blank)",'Final Calculation Sheet'!$D$37="",IF($E$4="(nonblank)",'Final Calculation Sheet'!$D$37&lt;&gt;"",ISNUMBER(SEARCH($E$4,'Final Calculation Sheet'!$D$37))))),IF($F$4="",TRUE(),IF($F$4="(blank)",'Final Calculation Sheet'!$A$37="",IF($F$4="(nonblank)",'Final Calculation Sheet'!$A$37&lt;&gt;"",ISNUMBER(SEARCH($F$4,'Final Calculation Sheet'!$A$37))))),IF($G$4="",TRUE(),IF($G$4="(blank)",'Final Calculation Sheet'!$E$37="",IF($G$4="(nonblank)",'Final Calculation Sheet'!$E$37&lt;&gt;"",ISNUMBER(SEARCH($G$4,'Final Calculation Sheet'!$E$37))))),IF($H$4="",TRUE(),IF($H$4="(blank)",'Final Calculation Sheet'!$C$37="",IF($H$4="(nonblank)",'Final Calculation Sheet'!$C$37&lt;&gt;"",ISNUMBER(SEARCH($H$4,'Final Calculation Sheet'!$C$37))))),IF($I$4="",TRUE(),IF($I$4="(blank)",'Final Calculation Sheet'!$H$37="",IF($I$4="(nonblank)",'Final Calculation Sheet'!$H$37&lt;&gt;"",ISNUMBER(SEARCH($I$4,'Final Calculation Sheet'!$H$37))))),IF($J$4="",TRUE(),IF($J$4="(blank)",'Final Calculation Sheet'!$I$37="",IF($J$4="(nonblank)",'Final Calculation Sheet'!$I$37&lt;&gt;"",ISNUMBER(SEARCH($J$4,'Final Calculation Sheet'!$I$37))))),IF($K$4="",TRUE(),IF($K$4="(blank)",'Final Calculation Sheet'!$J$37="",IF($K$4="(nonblank)",'Final Calculation Sheet'!$J$37&lt;&gt;"",ISNUMBER(SEARCH($K$4,'Final Calculation Sheet'!$J$37))))),IF($L$4="",TRUE(),IF($L$4="(blank)",'Final Calculation Sheet'!$K$37="",IF($L$4="(nonblank)",'Final Calculation Sheet'!$K$37&lt;&gt;"",ISNUMBER(SEARCH($L$4,'Final Calculation Sheet'!$K$37))))),IF($M$4="",TRUE(),IF($M$4="(blank)",'Final Calculation Sheet'!$L$37="",IF($M$4="(nonblank)",'Final Calculation Sheet'!$L$37&lt;&gt;"",ISNUMBER(SEARCH($M$4,'Final Calculation Sheet'!$L$37))))),IF($N$4="",TRUE(),IF($N$4="(blank)",'Final Calculation Sheet'!$M$37="",IF($N$4="(nonblank)",'Final Calculation Sheet'!$M$37&lt;&gt;"",ISNUMBER(SEARCH($N$4,'Final Calculation Sheet'!$M$37))))),IF($O$4="",TRUE(),IF($O$4="(blank)",'Final Calculation Sheet'!$N$37="",IF($O$4="(nonblank)",'Final Calculation Sheet'!$N$37&lt;&gt;"",ISNUMBER(SEARCH($O$4,'Final Calculation Sheet'!$N$37))))),IF($P$4="",TRUE(),IF($P$4="(blank)",'Final Calculation Sheet'!$O$37="",IF($P$4="(nonblank)",'Final Calculation Sheet'!$O$37&lt;&gt;"",ISNUMBER(SEARCH($P$4,'Final Calculation Sheet'!$O$37))))),IF($Q$4="",TRUE(),IF($Q$4="(blank)",'Final Calculation Sheet'!$P$37="",IF($Q$4="(nonblank)",'Final Calculation Sheet'!$P$37&lt;&gt;"",ISNUMBER(SEARCH($Q$4,'Final Calculation Sheet'!$P$37))))),IF($R$4="",TRUE(),IF($R$4="(blank)",'Final Calculation Sheet'!$Q$37="",IF($R$4="(nonblank)",'Final Calculation Sheet'!$Q$37&lt;&gt;"",ISNUMBER(SEARCH($R$4,'Final Calculation Sheet'!$Q$37))))),IF($S$4="",TRUE(),IF($S$4="(blank)",'Final Calculation Sheet'!$R$37="",IF($S$4="(nonblank)",'Final Calculation Sheet'!$R$37&lt;&gt;"",ISNUMBER(SEARCH($S$4,'Final Calculation Sheet'!$R$37))))),IF($T$4="",TRUE(),IF($T$4="(blank)",'Final Calculation Sheet'!$S$37="",IF($T$4="(nonblank)",'Final Calculation Sheet'!$S$37&lt;&gt;"",ISNUMBER(SEARCH($T$4,'Final Calculation Sheet'!$S$37))))),IF($U$4="",TRUE(),IF($U$4="(blank)",'Final Calculation Sheet'!$T$37="",IF($U$4="(nonblank)",'Final Calculation Sheet'!$T$37&lt;&gt;"",ISNUMBER(SEARCH($U$4,'Final Calculation Sheet'!$T$37))))),IF($V$4="",TRUE(),IF($V$4="(blank)",'Final Calculation Sheet'!$U$37="",IF($V$4="(nonblank)",'Final Calculation Sheet'!$U$37&lt;&gt;"",ISNUMBER(SEARCH($V$4,'Final Calculation Sheet'!$U$37))))),IF($W$4="",TRUE(),IF($W$4="(blank)",'Final Calculation Sheet'!$V$37="",IF($W$4="(nonblank)",'Final Calculation Sheet'!$V$37&lt;&gt;"",ISNUMBER(SEARCH($W$4,'Final Calculation Sheet'!$V$37))))),IF($X$4="",TRUE(),IF($X$4="(blank)",'Final Calculation Sheet'!$W$37="",IF($X$4="(nonblank)",'Final Calculation Sheet'!$W$37&lt;&gt;"",ISNUMBER(SEARCH($X$4,'Final Calculation Sheet'!$W$37))))),IF($Y$4="",TRUE(),IF($Y$4="(blank)",'Final Calculation Sheet'!$X$37="",IF($Y$4="(nonblank)",'Final Calculation Sheet'!$X$37&lt;&gt;"",ISNUMBER(SEARCH($Y$4,'Final Calculation Sheet'!$X$37))))),IF($Z$4="",TRUE(),IF($Z$4="(blank)",'Final Calculation Sheet'!$Y$37="",IF($Z$4="(nonblank)",'Final Calculation Sheet'!$Y$37&lt;&gt;"",ISNUMBER(SEARCH($Z$4,'Final Calculation Sheet'!$Y$37))))),IF($AA$4="",TRUE(),IF($AA$4="(blank)",'Final Calculation Sheet'!$Z$37="",IF($AA$4="(nonblank)",'Final Calculation Sheet'!$Z$37&lt;&gt;"",ISNUMBER(SEARCH($AA$4,'Final Calculation Sheet'!$Z$37))))),IF($AB$4="",TRUE(),IF($AB$4="(blank)",'Final Calculation Sheet'!$AA$37="",IF($AB$4="(nonblank)",'Final Calculation Sheet'!$AA$37&lt;&gt;"",ISNUMBER(SEARCH($AB$4,'Final Calculation Sheet'!$AA$37))))),IF($AC$4="",TRUE(),IF($AC$4="(blank)",'Final Calculation Sheet'!$AB$37="",IF($AC$4="(nonblank)",'Final Calculation Sheet'!$AB$37&lt;&gt;"",ISNUMBER(SEARCH($AC$4,'Final Calculation Sheet'!$AB$37))))),IF($AD$4="",TRUE(),IF($AD$4="(blank)",'Final Calculation Sheet'!$AC$37="",IF($AD$4="(nonblank)",'Final Calculation Sheet'!$AC$37&lt;&gt;"",ISNUMBER(SEARCH($AD$4,'Final Calculation Sheet'!$AC$37))))),IF($AE$4="",TRUE(),IF($AE$4="(blank)",'Final Calculation Sheet'!$AD$37="",IF($AE$4="(nonblank)",'Final Calculation Sheet'!$AD$37&lt;&gt;"",ISNUMBER(SEARCH($AE$4,'Final Calculation Sheet'!$AD$37))))),IF($AG$4="",TRUE(),IF($AG$4="(blank)",'Final Calculation Sheet'!$AF$37="",IF($AG$4="(nonblank)",'Final Calculation Sheet'!$AF$37&lt;&gt;"",ISNUMBER(SEARCH($AG$4,'Final Calculation Sheet'!$AF$37))))),IF($AH$4="",TRUE(),IF($AH$4="(blank)",'Final Calculation Sheet'!$AG$37="",IF($AH$4="(nonblank)",'Final Calculation Sheet'!$AG$37&lt;&gt;"",ISNUMBER(SEARCH($AH$4,'Final Calculation Sheet'!$AG$37))))),IF($AI$4="",TRUE(),IF($AI$4="(blank)",'Final Calculation Sheet'!$AH$37="",IF($AI$4="(nonblank)",'Final Calculation Sheet'!$AH$37&lt;&gt;"",ISNUMBER(SEARCH($AI$4,'Final Calculation Sheet'!$AH$37))))),IF($AF$4="",TRUE(),IF($AF$4="(blank)",IF('Final Calculation Sheet'!$AD$37&lt;=5,"SETTLED","OUTSTANDING")="",IF($AF$4="(nonblank)",IF('Final Calculation Sheet'!$AD$37&lt;=5,"SETTLED","OUTSTANDING")&lt;&gt;"",ISNUMBER(SEARCH($AF$4,IF('Final Calculation Sheet'!$AD$37&lt;=5,"SETTLED","OUTSTANDING"))))))),1,0)</f>
      </c>
      <c r="AK30">
        <f>IF(AJ30=1,COUNTIF(AJ$7:AJ30,1),"")</f>
        <v/>
      </c>
    </row>
    <row r="31" ht="15" customHeight="1" s="137">
      <c r="A31" s="81" t="inlineStr">
        <is>
          <t>∑</t>
        </is>
      </c>
      <c r="B31" s="83" t="n"/>
      <c r="C31" s="83">
        <f>ROWS($C$18:$C$30)&amp;" lot(s)"</f>
        <v/>
      </c>
      <c r="D31" s="83" t="inlineStr">
        <is>
          <t>SUBTOTAL — NATIONAL ENTERPRISES</t>
        </is>
      </c>
      <c r="E31" s="83" t="inlineStr">
        <is>
          <t>–</t>
        </is>
      </c>
      <c r="F31" s="83">
        <f>SUM(F18:F30)</f>
        <v/>
      </c>
      <c r="G31" s="83" t="inlineStr">
        <is>
          <t>–</t>
        </is>
      </c>
      <c r="H31" s="84" t="inlineStr">
        <is>
          <t>–</t>
        </is>
      </c>
      <c r="I31" s="84">
        <f>SUM(I18:I30)</f>
        <v/>
      </c>
      <c r="J31" s="84">
        <f>SUM(J18:J30)</f>
        <v/>
      </c>
      <c r="K31" s="84">
        <f>SUM(K18:K30)</f>
        <v/>
      </c>
      <c r="L31" s="84">
        <f>SUM(L18:L30)</f>
        <v/>
      </c>
      <c r="M31" s="84">
        <f>SUM(M18:M30)</f>
        <v/>
      </c>
      <c r="N31" s="84">
        <f>SUM(N18:N30)</f>
        <v/>
      </c>
      <c r="O31" s="85">
        <f>SUM(O18:O30)</f>
        <v/>
      </c>
      <c r="P31" s="84">
        <f>SUM(P18:P30)</f>
        <v/>
      </c>
      <c r="Q31" s="84">
        <f>SUM(Q18:Q30)</f>
        <v/>
      </c>
      <c r="R31" s="86" t="inlineStr">
        <is>
          <t>–</t>
        </is>
      </c>
      <c r="S31" s="84">
        <f>SUM(S18:S30)</f>
        <v/>
      </c>
      <c r="T31" s="84">
        <f>SUM(T18:T30)</f>
        <v/>
      </c>
      <c r="U31" s="84">
        <f>SUM(U18:U30)</f>
        <v/>
      </c>
      <c r="V31" s="87">
        <f>SUM(V18:V30)</f>
        <v/>
      </c>
      <c r="W31" s="84" t="inlineStr">
        <is>
          <t>–</t>
        </is>
      </c>
      <c r="X31" s="84">
        <f>SUM(X18:X30)</f>
        <v/>
      </c>
      <c r="Y31" s="84">
        <f>SUM(Y18:Y30)</f>
        <v/>
      </c>
      <c r="Z31" s="84" t="inlineStr">
        <is>
          <t>–</t>
        </is>
      </c>
      <c r="AA31" s="84">
        <f>SUM(AA18:AA30)</f>
        <v/>
      </c>
      <c r="AB31" s="84">
        <f>SUM(AB18:AB30)</f>
        <v/>
      </c>
      <c r="AC31" s="84" t="inlineStr">
        <is>
          <t>–</t>
        </is>
      </c>
      <c r="AD31" s="84">
        <f>SUM(AD18:AD30)</f>
        <v/>
      </c>
      <c r="AE31" s="84">
        <f>SUM(AE18:AE30)</f>
        <v/>
      </c>
      <c r="AF31" s="89">
        <f>IF(AE31&lt;=5,"SETTLED","OUTSTANDING")</f>
        <v/>
      </c>
      <c r="AG31" s="84" t="inlineStr">
        <is>
          <t>–</t>
        </is>
      </c>
      <c r="AH31" s="88" t="inlineStr">
        <is>
          <t>–</t>
        </is>
      </c>
      <c r="AI31" s="84" t="inlineStr">
        <is>
          <t>–</t>
        </is>
      </c>
    </row>
    <row r="32" outlineLevel="1" ht="15" customHeight="1" s="137">
      <c r="A32" s="67" t="n">
        <v>1</v>
      </c>
      <c r="B32" s="76">
        <f>IF('Final Calculation Sheet'!$F$21="","",'Final Calculation Sheet'!$F$21)</f>
        <v/>
      </c>
      <c r="C32" s="76">
        <f>IF('Final Calculation Sheet'!$G$21="","",'Final Calculation Sheet'!$G$21)</f>
        <v/>
      </c>
      <c r="D32" s="80">
        <f>IF('Final Calculation Sheet'!$B$21="","",'Final Calculation Sheet'!$B$21)</f>
        <v/>
      </c>
      <c r="E32" s="80">
        <f>IF('Final Calculation Sheet'!$D$21="","",'Final Calculation Sheet'!$D$21)</f>
        <v/>
      </c>
      <c r="F32" s="80">
        <f>IF('Final Calculation Sheet'!$A$21="","",'Final Calculation Sheet'!$A$21)</f>
        <v/>
      </c>
      <c r="G32" s="80">
        <f>IF('Final Calculation Sheet'!$E$21="","",'Final Calculation Sheet'!$E$21)</f>
        <v/>
      </c>
      <c r="H32" s="70">
        <f>IF('Final Calculation Sheet'!$C$21="","",'Final Calculation Sheet'!$C$21)</f>
        <v/>
      </c>
      <c r="I32" s="70">
        <f>IF('Final Calculation Sheet'!$H$21="","",'Final Calculation Sheet'!$H$21)</f>
        <v/>
      </c>
      <c r="J32" s="70">
        <f>IF('Final Calculation Sheet'!$I$21="","",'Final Calculation Sheet'!$I$21)</f>
        <v/>
      </c>
      <c r="K32" s="70">
        <f>IF('Final Calculation Sheet'!$J$21="","",'Final Calculation Sheet'!$J$21)</f>
        <v/>
      </c>
      <c r="L32" s="70">
        <f>IF('Final Calculation Sheet'!$K$21="","",'Final Calculation Sheet'!$K$21)</f>
        <v/>
      </c>
      <c r="M32" s="70">
        <f>IF('Final Calculation Sheet'!$L$21="","",'Final Calculation Sheet'!$L$21)</f>
        <v/>
      </c>
      <c r="N32" s="70">
        <f>IF('Final Calculation Sheet'!$M$21="","",'Final Calculation Sheet'!$M$21)</f>
        <v/>
      </c>
      <c r="O32" s="71">
        <f>IF('Final Calculation Sheet'!$N$21="","",'Final Calculation Sheet'!$N$21)</f>
        <v/>
      </c>
      <c r="P32" s="70">
        <f>IF('Final Calculation Sheet'!$O$21="","",'Final Calculation Sheet'!$O$21)</f>
        <v/>
      </c>
      <c r="Q32" s="70">
        <f>IF('Final Calculation Sheet'!$P$21="","",'Final Calculation Sheet'!$P$21)</f>
        <v/>
      </c>
      <c r="R32" s="72">
        <f>IF('Final Calculation Sheet'!$Q$21="","",'Final Calculation Sheet'!$Q$21)</f>
        <v/>
      </c>
      <c r="S32" s="70">
        <f>IF('Final Calculation Sheet'!$R$21="","",'Final Calculation Sheet'!$R$21)</f>
        <v/>
      </c>
      <c r="T32" s="70">
        <f>IF('Final Calculation Sheet'!$S$21="","",'Final Calculation Sheet'!$S$21)</f>
        <v/>
      </c>
      <c r="U32" s="70">
        <f>IF('Final Calculation Sheet'!$T$21="","",'Final Calculation Sheet'!$T$21)</f>
        <v/>
      </c>
      <c r="V32" s="73">
        <f>IF('Final Calculation Sheet'!$U$21="","",'Final Calculation Sheet'!$U$21)</f>
        <v/>
      </c>
      <c r="W32" s="70">
        <f>IF('Final Calculation Sheet'!$V$21="","",'Final Calculation Sheet'!$V$21)</f>
        <v/>
      </c>
      <c r="X32" s="70">
        <f>IF('Final Calculation Sheet'!$W$21="","",'Final Calculation Sheet'!$W$21)</f>
        <v/>
      </c>
      <c r="Y32" s="70">
        <f>IF('Final Calculation Sheet'!$X$21="","",'Final Calculation Sheet'!$X$21)</f>
        <v/>
      </c>
      <c r="Z32" s="70">
        <f>IF('Final Calculation Sheet'!$Y$21="","",'Final Calculation Sheet'!$Y$21)</f>
        <v/>
      </c>
      <c r="AA32" s="70">
        <f>IF('Final Calculation Sheet'!$Z$21="","",'Final Calculation Sheet'!$Z$21)</f>
        <v/>
      </c>
      <c r="AB32" s="70">
        <f>IF('Final Calculation Sheet'!$AA$21="","",'Final Calculation Sheet'!$AA$21)</f>
        <v/>
      </c>
      <c r="AC32" s="70">
        <f>IF('Final Calculation Sheet'!$AB$21="","",'Final Calculation Sheet'!$AB$21)</f>
        <v/>
      </c>
      <c r="AD32" s="70">
        <f>IF('Final Calculation Sheet'!$AC$21="","",'Final Calculation Sheet'!$AC$21)</f>
        <v/>
      </c>
      <c r="AE32" s="70">
        <f>IF('Final Calculation Sheet'!$AD$21="","",'Final Calculation Sheet'!$AD$21)</f>
        <v/>
      </c>
      <c r="AF32" s="75">
        <f>IF('Final Calculation Sheet'!$AD$21="","",IF('Final Calculation Sheet'!$AD$21&lt;=5,"SETTLED","OUTSTANDING"))</f>
        <v/>
      </c>
      <c r="AG32" s="70">
        <f>IF('Final Calculation Sheet'!$AF$21="","",'Final Calculation Sheet'!$AF$21)</f>
        <v/>
      </c>
      <c r="AH32" s="74">
        <f>IF('Final Calculation Sheet'!$AG$21="","",'Final Calculation Sheet'!$AG$21)</f>
        <v/>
      </c>
      <c r="AI32" s="70">
        <f>IF('Final Calculation Sheet'!$AH$21="","",'Final Calculation Sheet'!$AH$21)</f>
        <v/>
      </c>
      <c r="AJ32">
        <f>IF(AND(IF($B$4="",TRUE(),IF($B$4="(blank)",'Final Calculation Sheet'!$F$21="",IF($B$4="(nonblank)",'Final Calculation Sheet'!$F$21&lt;&gt;"",ISNUMBER(SEARCH($B$4,'Final Calculation Sheet'!$F$21))))),IF($C$4="",TRUE(),IF($C$4="(blank)",'Final Calculation Sheet'!$G$21="",IF($C$4="(nonblank)",'Final Calculation Sheet'!$G$21&lt;&gt;"",ISNUMBER(SEARCH($C$4,'Final Calculation Sheet'!$G$21))))),IF($D$4="",TRUE(),IF($D$4="(blank)",'Final Calculation Sheet'!$B$21="",IF($D$4="(nonblank)",'Final Calculation Sheet'!$B$21&lt;&gt;"",ISNUMBER(SEARCH($D$4,'Final Calculation Sheet'!$B$21))))),IF($E$4="",TRUE(),IF($E$4="(blank)",'Final Calculation Sheet'!$D$21="",IF($E$4="(nonblank)",'Final Calculation Sheet'!$D$21&lt;&gt;"",ISNUMBER(SEARCH($E$4,'Final Calculation Sheet'!$D$21))))),IF($F$4="",TRUE(),IF($F$4="(blank)",'Final Calculation Sheet'!$A$21="",IF($F$4="(nonblank)",'Final Calculation Sheet'!$A$21&lt;&gt;"",ISNUMBER(SEARCH($F$4,'Final Calculation Sheet'!$A$21))))),IF($G$4="",TRUE(),IF($G$4="(blank)",'Final Calculation Sheet'!$E$21="",IF($G$4="(nonblank)",'Final Calculation Sheet'!$E$21&lt;&gt;"",ISNUMBER(SEARCH($G$4,'Final Calculation Sheet'!$E$21))))),IF($H$4="",TRUE(),IF($H$4="(blank)",'Final Calculation Sheet'!$C$21="",IF($H$4="(nonblank)",'Final Calculation Sheet'!$C$21&lt;&gt;"",ISNUMBER(SEARCH($H$4,'Final Calculation Sheet'!$C$21))))),IF($I$4="",TRUE(),IF($I$4="(blank)",'Final Calculation Sheet'!$H$21="",IF($I$4="(nonblank)",'Final Calculation Sheet'!$H$21&lt;&gt;"",ISNUMBER(SEARCH($I$4,'Final Calculation Sheet'!$H$21))))),IF($J$4="",TRUE(),IF($J$4="(blank)",'Final Calculation Sheet'!$I$21="",IF($J$4="(nonblank)",'Final Calculation Sheet'!$I$21&lt;&gt;"",ISNUMBER(SEARCH($J$4,'Final Calculation Sheet'!$I$21))))),IF($K$4="",TRUE(),IF($K$4="(blank)",'Final Calculation Sheet'!$J$21="",IF($K$4="(nonblank)",'Final Calculation Sheet'!$J$21&lt;&gt;"",ISNUMBER(SEARCH($K$4,'Final Calculation Sheet'!$J$21))))),IF($L$4="",TRUE(),IF($L$4="(blank)",'Final Calculation Sheet'!$K$21="",IF($L$4="(nonblank)",'Final Calculation Sheet'!$K$21&lt;&gt;"",ISNUMBER(SEARCH($L$4,'Final Calculation Sheet'!$K$21))))),IF($M$4="",TRUE(),IF($M$4="(blank)",'Final Calculation Sheet'!$L$21="",IF($M$4="(nonblank)",'Final Calculation Sheet'!$L$21&lt;&gt;"",ISNUMBER(SEARCH($M$4,'Final Calculation Sheet'!$L$21))))),IF($N$4="",TRUE(),IF($N$4="(blank)",'Final Calculation Sheet'!$M$21="",IF($N$4="(nonblank)",'Final Calculation Sheet'!$M$21&lt;&gt;"",ISNUMBER(SEARCH($N$4,'Final Calculation Sheet'!$M$21))))),IF($O$4="",TRUE(),IF($O$4="(blank)",'Final Calculation Sheet'!$N$21="",IF($O$4="(nonblank)",'Final Calculation Sheet'!$N$21&lt;&gt;"",ISNUMBER(SEARCH($O$4,'Final Calculation Sheet'!$N$21))))),IF($P$4="",TRUE(),IF($P$4="(blank)",'Final Calculation Sheet'!$O$21="",IF($P$4="(nonblank)",'Final Calculation Sheet'!$O$21&lt;&gt;"",ISNUMBER(SEARCH($P$4,'Final Calculation Sheet'!$O$21))))),IF($Q$4="",TRUE(),IF($Q$4="(blank)",'Final Calculation Sheet'!$P$21="",IF($Q$4="(nonblank)",'Final Calculation Sheet'!$P$21&lt;&gt;"",ISNUMBER(SEARCH($Q$4,'Final Calculation Sheet'!$P$21))))),IF($R$4="",TRUE(),IF($R$4="(blank)",'Final Calculation Sheet'!$Q$21="",IF($R$4="(nonblank)",'Final Calculation Sheet'!$Q$21&lt;&gt;"",ISNUMBER(SEARCH($R$4,'Final Calculation Sheet'!$Q$21))))),IF($S$4="",TRUE(),IF($S$4="(blank)",'Final Calculation Sheet'!$R$21="",IF($S$4="(nonblank)",'Final Calculation Sheet'!$R$21&lt;&gt;"",ISNUMBER(SEARCH($S$4,'Final Calculation Sheet'!$R$21))))),IF($T$4="",TRUE(),IF($T$4="(blank)",'Final Calculation Sheet'!$S$21="",IF($T$4="(nonblank)",'Final Calculation Sheet'!$S$21&lt;&gt;"",ISNUMBER(SEARCH($T$4,'Final Calculation Sheet'!$S$21))))),IF($U$4="",TRUE(),IF($U$4="(blank)",'Final Calculation Sheet'!$T$21="",IF($U$4="(nonblank)",'Final Calculation Sheet'!$T$21&lt;&gt;"",ISNUMBER(SEARCH($U$4,'Final Calculation Sheet'!$T$21))))),IF($V$4="",TRUE(),IF($V$4="(blank)",'Final Calculation Sheet'!$U$21="",IF($V$4="(nonblank)",'Final Calculation Sheet'!$U$21&lt;&gt;"",ISNUMBER(SEARCH($V$4,'Final Calculation Sheet'!$U$21))))),IF($W$4="",TRUE(),IF($W$4="(blank)",'Final Calculation Sheet'!$V$21="",IF($W$4="(nonblank)",'Final Calculation Sheet'!$V$21&lt;&gt;"",ISNUMBER(SEARCH($W$4,'Final Calculation Sheet'!$V$21))))),IF($X$4="",TRUE(),IF($X$4="(blank)",'Final Calculation Sheet'!$W$21="",IF($X$4="(nonblank)",'Final Calculation Sheet'!$W$21&lt;&gt;"",ISNUMBER(SEARCH($X$4,'Final Calculation Sheet'!$W$21))))),IF($Y$4="",TRUE(),IF($Y$4="(blank)",'Final Calculation Sheet'!$X$21="",IF($Y$4="(nonblank)",'Final Calculation Sheet'!$X$21&lt;&gt;"",ISNUMBER(SEARCH($Y$4,'Final Calculation Sheet'!$X$21))))),IF($Z$4="",TRUE(),IF($Z$4="(blank)",'Final Calculation Sheet'!$Y$21="",IF($Z$4="(nonblank)",'Final Calculation Sheet'!$Y$21&lt;&gt;"",ISNUMBER(SEARCH($Z$4,'Final Calculation Sheet'!$Y$21))))),IF($AA$4="",TRUE(),IF($AA$4="(blank)",'Final Calculation Sheet'!$Z$21="",IF($AA$4="(nonblank)",'Final Calculation Sheet'!$Z$21&lt;&gt;"",ISNUMBER(SEARCH($AA$4,'Final Calculation Sheet'!$Z$21))))),IF($AB$4="",TRUE(),IF($AB$4="(blank)",'Final Calculation Sheet'!$AA$21="",IF($AB$4="(nonblank)",'Final Calculation Sheet'!$AA$21&lt;&gt;"",ISNUMBER(SEARCH($AB$4,'Final Calculation Sheet'!$AA$21))))),IF($AC$4="",TRUE(),IF($AC$4="(blank)",'Final Calculation Sheet'!$AB$21="",IF($AC$4="(nonblank)",'Final Calculation Sheet'!$AB$21&lt;&gt;"",ISNUMBER(SEARCH($AC$4,'Final Calculation Sheet'!$AB$21))))),IF($AD$4="",TRUE(),IF($AD$4="(blank)",'Final Calculation Sheet'!$AC$21="",IF($AD$4="(nonblank)",'Final Calculation Sheet'!$AC$21&lt;&gt;"",ISNUMBER(SEARCH($AD$4,'Final Calculation Sheet'!$AC$21))))),IF($AE$4="",TRUE(),IF($AE$4="(blank)",'Final Calculation Sheet'!$AD$21="",IF($AE$4="(nonblank)",'Final Calculation Sheet'!$AD$21&lt;&gt;"",ISNUMBER(SEARCH($AE$4,'Final Calculation Sheet'!$AD$21))))),IF($AG$4="",TRUE(),IF($AG$4="(blank)",'Final Calculation Sheet'!$AF$21="",IF($AG$4="(nonblank)",'Final Calculation Sheet'!$AF$21&lt;&gt;"",ISNUMBER(SEARCH($AG$4,'Final Calculation Sheet'!$AF$21))))),IF($AH$4="",TRUE(),IF($AH$4="(blank)",'Final Calculation Sheet'!$AG$21="",IF($AH$4="(nonblank)",'Final Calculation Sheet'!$AG$21&lt;&gt;"",ISNUMBER(SEARCH($AH$4,'Final Calculation Sheet'!$AG$21))))),IF($AI$4="",TRUE(),IF($AI$4="(blank)",'Final Calculation Sheet'!$AH$21="",IF($AI$4="(nonblank)",'Final Calculation Sheet'!$AH$21&lt;&gt;"",ISNUMBER(SEARCH($AI$4,'Final Calculation Sheet'!$AH$21))))),IF($AF$4="",TRUE(),IF($AF$4="(blank)",IF('Final Calculation Sheet'!$AD$21&lt;=5,"SETTLED","OUTSTANDING")="",IF($AF$4="(nonblank)",IF('Final Calculation Sheet'!$AD$21&lt;=5,"SETTLED","OUTSTANDING")&lt;&gt;"",ISNUMBER(SEARCH($AF$4,IF('Final Calculation Sheet'!$AD$21&lt;=5,"SETTLED","OUTSTANDING"))))))),1,0)</f>
      </c>
      <c r="AK32">
        <f>IF(AJ32=1,COUNTIF(AJ$7:AJ32,1),"")</f>
        <v/>
      </c>
    </row>
    <row r="33" ht="15" customHeight="1" s="137">
      <c r="A33" s="81" t="inlineStr">
        <is>
          <t>∑</t>
        </is>
      </c>
      <c r="B33" s="83" t="n"/>
      <c r="C33" s="83">
        <f>ROWS($C$32:$C$32)&amp;" lot(s)"</f>
        <v/>
      </c>
      <c r="D33" s="83" t="inlineStr">
        <is>
          <t>SUBTOTAL — NATIONAL SCRAP AND BUILDING MATERIAL SUPPLIER</t>
        </is>
      </c>
      <c r="E33" s="83" t="inlineStr">
        <is>
          <t>–</t>
        </is>
      </c>
      <c r="F33" s="83">
        <f>SUM(F32:F32)</f>
        <v/>
      </c>
      <c r="G33" s="83" t="inlineStr">
        <is>
          <t>–</t>
        </is>
      </c>
      <c r="H33" s="84" t="inlineStr">
        <is>
          <t>–</t>
        </is>
      </c>
      <c r="I33" s="84">
        <f>SUM(I32:I32)</f>
        <v/>
      </c>
      <c r="J33" s="84">
        <f>SUM(J32:J32)</f>
        <v/>
      </c>
      <c r="K33" s="84">
        <f>SUM(K32:K32)</f>
        <v/>
      </c>
      <c r="L33" s="84">
        <f>SUM(L32:L32)</f>
        <v/>
      </c>
      <c r="M33" s="84">
        <f>SUM(M32:M32)</f>
        <v/>
      </c>
      <c r="N33" s="84">
        <f>SUM(N32:N32)</f>
        <v/>
      </c>
      <c r="O33" s="85">
        <f>SUM(O32:O32)</f>
        <v/>
      </c>
      <c r="P33" s="84">
        <f>SUM(P32:P32)</f>
        <v/>
      </c>
      <c r="Q33" s="84">
        <f>SUM(Q32:Q32)</f>
        <v/>
      </c>
      <c r="R33" s="86" t="inlineStr">
        <is>
          <t>–</t>
        </is>
      </c>
      <c r="S33" s="84">
        <f>SUM(S32:S32)</f>
        <v/>
      </c>
      <c r="T33" s="84">
        <f>SUM(T32:T32)</f>
        <v/>
      </c>
      <c r="U33" s="84">
        <f>SUM(U32:U32)</f>
        <v/>
      </c>
      <c r="V33" s="87">
        <f>SUM(V32:V32)</f>
        <v/>
      </c>
      <c r="W33" s="84" t="inlineStr">
        <is>
          <t>–</t>
        </is>
      </c>
      <c r="X33" s="84">
        <f>SUM(X32:X32)</f>
        <v/>
      </c>
      <c r="Y33" s="84">
        <f>SUM(Y32:Y32)</f>
        <v/>
      </c>
      <c r="Z33" s="84" t="inlineStr">
        <is>
          <t>–</t>
        </is>
      </c>
      <c r="AA33" s="84">
        <f>SUM(AA32:AA32)</f>
        <v/>
      </c>
      <c r="AB33" s="84">
        <f>SUM(AB32:AB32)</f>
        <v/>
      </c>
      <c r="AC33" s="84" t="inlineStr">
        <is>
          <t>–</t>
        </is>
      </c>
      <c r="AD33" s="84">
        <f>SUM(AD32:AD32)</f>
        <v/>
      </c>
      <c r="AE33" s="84">
        <f>SUM(AE32:AE32)</f>
        <v/>
      </c>
      <c r="AF33" s="89">
        <f>IF(AE33&lt;=5,"SETTLED","OUTSTANDING")</f>
        <v/>
      </c>
      <c r="AG33" s="84" t="inlineStr">
        <is>
          <t>–</t>
        </is>
      </c>
      <c r="AH33" s="88" t="inlineStr">
        <is>
          <t>–</t>
        </is>
      </c>
      <c r="AI33" s="84" t="inlineStr">
        <is>
          <t>–</t>
        </is>
      </c>
    </row>
    <row r="34" outlineLevel="1" ht="15" customHeight="1" s="137">
      <c r="A34" s="67" t="n">
        <v>1</v>
      </c>
      <c r="B34" s="76">
        <f>IF('Final Calculation Sheet'!$F$8="","",'Final Calculation Sheet'!$F$8)</f>
        <v/>
      </c>
      <c r="C34" s="76">
        <f>IF('Final Calculation Sheet'!$G$8="","",'Final Calculation Sheet'!$G$8)</f>
        <v/>
      </c>
      <c r="D34" s="80">
        <f>IF('Final Calculation Sheet'!$B$8="","",'Final Calculation Sheet'!$B$8)</f>
        <v/>
      </c>
      <c r="E34" s="80">
        <f>IF('Final Calculation Sheet'!$D$8="","",'Final Calculation Sheet'!$D$8)</f>
        <v/>
      </c>
      <c r="F34" s="80">
        <f>IF('Final Calculation Sheet'!$A$8="","",'Final Calculation Sheet'!$A$8)</f>
        <v/>
      </c>
      <c r="G34" s="80">
        <f>IF('Final Calculation Sheet'!$E$8="","",'Final Calculation Sheet'!$E$8)</f>
        <v/>
      </c>
      <c r="H34" s="70">
        <f>IF('Final Calculation Sheet'!$C$8="","",'Final Calculation Sheet'!$C$8)</f>
        <v/>
      </c>
      <c r="I34" s="70">
        <f>IF('Final Calculation Sheet'!$H$8="","",'Final Calculation Sheet'!$H$8)</f>
        <v/>
      </c>
      <c r="J34" s="70">
        <f>IF('Final Calculation Sheet'!$I$8="","",'Final Calculation Sheet'!$I$8)</f>
        <v/>
      </c>
      <c r="K34" s="70">
        <f>IF('Final Calculation Sheet'!$J$8="","",'Final Calculation Sheet'!$J$8)</f>
        <v/>
      </c>
      <c r="L34" s="70">
        <f>IF('Final Calculation Sheet'!$K$8="","",'Final Calculation Sheet'!$K$8)</f>
        <v/>
      </c>
      <c r="M34" s="70">
        <f>IF('Final Calculation Sheet'!$L$8="","",'Final Calculation Sheet'!$L$8)</f>
        <v/>
      </c>
      <c r="N34" s="70">
        <f>IF('Final Calculation Sheet'!$M$8="","",'Final Calculation Sheet'!$M$8)</f>
        <v/>
      </c>
      <c r="O34" s="71">
        <f>IF('Final Calculation Sheet'!$N$8="","",'Final Calculation Sheet'!$N$8)</f>
        <v/>
      </c>
      <c r="P34" s="70">
        <f>IF('Final Calculation Sheet'!$O$8="","",'Final Calculation Sheet'!$O$8)</f>
        <v/>
      </c>
      <c r="Q34" s="70">
        <f>IF('Final Calculation Sheet'!$P$8="","",'Final Calculation Sheet'!$P$8)</f>
        <v/>
      </c>
      <c r="R34" s="72">
        <f>IF('Final Calculation Sheet'!$Q$8="","",'Final Calculation Sheet'!$Q$8)</f>
        <v/>
      </c>
      <c r="S34" s="70">
        <f>IF('Final Calculation Sheet'!$R$8="","",'Final Calculation Sheet'!$R$8)</f>
        <v/>
      </c>
      <c r="T34" s="70">
        <f>IF('Final Calculation Sheet'!$S$8="","",'Final Calculation Sheet'!$S$8)</f>
        <v/>
      </c>
      <c r="U34" s="70">
        <f>IF('Final Calculation Sheet'!$T$8="","",'Final Calculation Sheet'!$T$8)</f>
        <v/>
      </c>
      <c r="V34" s="73">
        <f>IF('Final Calculation Sheet'!$U$8="","",'Final Calculation Sheet'!$U$8)</f>
        <v/>
      </c>
      <c r="W34" s="70">
        <f>IF('Final Calculation Sheet'!$V$8="","",'Final Calculation Sheet'!$V$8)</f>
        <v/>
      </c>
      <c r="X34" s="70">
        <f>IF('Final Calculation Sheet'!$W$8="","",'Final Calculation Sheet'!$W$8)</f>
        <v/>
      </c>
      <c r="Y34" s="70">
        <f>IF('Final Calculation Sheet'!$X$8="","",'Final Calculation Sheet'!$X$8)</f>
        <v/>
      </c>
      <c r="Z34" s="70">
        <f>IF('Final Calculation Sheet'!$Y$8="","",'Final Calculation Sheet'!$Y$8)</f>
        <v/>
      </c>
      <c r="AA34" s="70">
        <f>IF('Final Calculation Sheet'!$Z$8="","",'Final Calculation Sheet'!$Z$8)</f>
        <v/>
      </c>
      <c r="AB34" s="70">
        <f>IF('Final Calculation Sheet'!$AA$8="","",'Final Calculation Sheet'!$AA$8)</f>
        <v/>
      </c>
      <c r="AC34" s="70">
        <f>IF('Final Calculation Sheet'!$AB$8="","",'Final Calculation Sheet'!$AB$8)</f>
        <v/>
      </c>
      <c r="AD34" s="70">
        <f>IF('Final Calculation Sheet'!$AC$8="","",'Final Calculation Sheet'!$AC$8)</f>
        <v/>
      </c>
      <c r="AE34" s="70">
        <f>IF('Final Calculation Sheet'!$AD$8="","",'Final Calculation Sheet'!$AD$8)</f>
        <v/>
      </c>
      <c r="AF34" s="75">
        <f>IF('Final Calculation Sheet'!$AD$8="","",IF('Final Calculation Sheet'!$AD$8&lt;=5,"SETTLED","OUTSTANDING"))</f>
        <v/>
      </c>
      <c r="AG34" s="70">
        <f>IF('Final Calculation Sheet'!$AF$8="","",'Final Calculation Sheet'!$AF$8)</f>
        <v/>
      </c>
      <c r="AH34" s="74">
        <f>IF('Final Calculation Sheet'!$AG$8="","",'Final Calculation Sheet'!$AG$8)</f>
        <v/>
      </c>
      <c r="AI34" s="70">
        <f>IF('Final Calculation Sheet'!$AH$8="","",'Final Calculation Sheet'!$AH$8)</f>
        <v/>
      </c>
      <c r="AJ34">
        <f>IF(AND(IF($B$4="",TRUE(),IF($B$4="(blank)",'Final Calculation Sheet'!$F$8="",IF($B$4="(nonblank)",'Final Calculation Sheet'!$F$8&lt;&gt;"",ISNUMBER(SEARCH($B$4,'Final Calculation Sheet'!$F$8))))),IF($C$4="",TRUE(),IF($C$4="(blank)",'Final Calculation Sheet'!$G$8="",IF($C$4="(nonblank)",'Final Calculation Sheet'!$G$8&lt;&gt;"",ISNUMBER(SEARCH($C$4,'Final Calculation Sheet'!$G$8))))),IF($D$4="",TRUE(),IF($D$4="(blank)",'Final Calculation Sheet'!$B$8="",IF($D$4="(nonblank)",'Final Calculation Sheet'!$B$8&lt;&gt;"",ISNUMBER(SEARCH($D$4,'Final Calculation Sheet'!$B$8))))),IF($E$4="",TRUE(),IF($E$4="(blank)",'Final Calculation Sheet'!$D$8="",IF($E$4="(nonblank)",'Final Calculation Sheet'!$D$8&lt;&gt;"",ISNUMBER(SEARCH($E$4,'Final Calculation Sheet'!$D$8))))),IF($F$4="",TRUE(),IF($F$4="(blank)",'Final Calculation Sheet'!$A$8="",IF($F$4="(nonblank)",'Final Calculation Sheet'!$A$8&lt;&gt;"",ISNUMBER(SEARCH($F$4,'Final Calculation Sheet'!$A$8))))),IF($G$4="",TRUE(),IF($G$4="(blank)",'Final Calculation Sheet'!$E$8="",IF($G$4="(nonblank)",'Final Calculation Sheet'!$E$8&lt;&gt;"",ISNUMBER(SEARCH($G$4,'Final Calculation Sheet'!$E$8))))),IF($H$4="",TRUE(),IF($H$4="(blank)",'Final Calculation Sheet'!$C$8="",IF($H$4="(nonblank)",'Final Calculation Sheet'!$C$8&lt;&gt;"",ISNUMBER(SEARCH($H$4,'Final Calculation Sheet'!$C$8))))),IF($I$4="",TRUE(),IF($I$4="(blank)",'Final Calculation Sheet'!$H$8="",IF($I$4="(nonblank)",'Final Calculation Sheet'!$H$8&lt;&gt;"",ISNUMBER(SEARCH($I$4,'Final Calculation Sheet'!$H$8))))),IF($J$4="",TRUE(),IF($J$4="(blank)",'Final Calculation Sheet'!$I$8="",IF($J$4="(nonblank)",'Final Calculation Sheet'!$I$8&lt;&gt;"",ISNUMBER(SEARCH($J$4,'Final Calculation Sheet'!$I$8))))),IF($K$4="",TRUE(),IF($K$4="(blank)",'Final Calculation Sheet'!$J$8="",IF($K$4="(nonblank)",'Final Calculation Sheet'!$J$8&lt;&gt;"",ISNUMBER(SEARCH($K$4,'Final Calculation Sheet'!$J$8))))),IF($L$4="",TRUE(),IF($L$4="(blank)",'Final Calculation Sheet'!$K$8="",IF($L$4="(nonblank)",'Final Calculation Sheet'!$K$8&lt;&gt;"",ISNUMBER(SEARCH($L$4,'Final Calculation Sheet'!$K$8))))),IF($M$4="",TRUE(),IF($M$4="(blank)",'Final Calculation Sheet'!$L$8="",IF($M$4="(nonblank)",'Final Calculation Sheet'!$L$8&lt;&gt;"",ISNUMBER(SEARCH($M$4,'Final Calculation Sheet'!$L$8))))),IF($N$4="",TRUE(),IF($N$4="(blank)",'Final Calculation Sheet'!$M$8="",IF($N$4="(nonblank)",'Final Calculation Sheet'!$M$8&lt;&gt;"",ISNUMBER(SEARCH($N$4,'Final Calculation Sheet'!$M$8))))),IF($O$4="",TRUE(),IF($O$4="(blank)",'Final Calculation Sheet'!$N$8="",IF($O$4="(nonblank)",'Final Calculation Sheet'!$N$8&lt;&gt;"",ISNUMBER(SEARCH($O$4,'Final Calculation Sheet'!$N$8))))),IF($P$4="",TRUE(),IF($P$4="(blank)",'Final Calculation Sheet'!$O$8="",IF($P$4="(nonblank)",'Final Calculation Sheet'!$O$8&lt;&gt;"",ISNUMBER(SEARCH($P$4,'Final Calculation Sheet'!$O$8))))),IF($Q$4="",TRUE(),IF($Q$4="(blank)",'Final Calculation Sheet'!$P$8="",IF($Q$4="(nonblank)",'Final Calculation Sheet'!$P$8&lt;&gt;"",ISNUMBER(SEARCH($Q$4,'Final Calculation Sheet'!$P$8))))),IF($R$4="",TRUE(),IF($R$4="(blank)",'Final Calculation Sheet'!$Q$8="",IF($R$4="(nonblank)",'Final Calculation Sheet'!$Q$8&lt;&gt;"",ISNUMBER(SEARCH($R$4,'Final Calculation Sheet'!$Q$8))))),IF($S$4="",TRUE(),IF($S$4="(blank)",'Final Calculation Sheet'!$R$8="",IF($S$4="(nonblank)",'Final Calculation Sheet'!$R$8&lt;&gt;"",ISNUMBER(SEARCH($S$4,'Final Calculation Sheet'!$R$8))))),IF($T$4="",TRUE(),IF($T$4="(blank)",'Final Calculation Sheet'!$S$8="",IF($T$4="(nonblank)",'Final Calculation Sheet'!$S$8&lt;&gt;"",ISNUMBER(SEARCH($T$4,'Final Calculation Sheet'!$S$8))))),IF($U$4="",TRUE(),IF($U$4="(blank)",'Final Calculation Sheet'!$T$8="",IF($U$4="(nonblank)",'Final Calculation Sheet'!$T$8&lt;&gt;"",ISNUMBER(SEARCH($U$4,'Final Calculation Sheet'!$T$8))))),IF($V$4="",TRUE(),IF($V$4="(blank)",'Final Calculation Sheet'!$U$8="",IF($V$4="(nonblank)",'Final Calculation Sheet'!$U$8&lt;&gt;"",ISNUMBER(SEARCH($V$4,'Final Calculation Sheet'!$U$8))))),IF($W$4="",TRUE(),IF($W$4="(blank)",'Final Calculation Sheet'!$V$8="",IF($W$4="(nonblank)",'Final Calculation Sheet'!$V$8&lt;&gt;"",ISNUMBER(SEARCH($W$4,'Final Calculation Sheet'!$V$8))))),IF($X$4="",TRUE(),IF($X$4="(blank)",'Final Calculation Sheet'!$W$8="",IF($X$4="(nonblank)",'Final Calculation Sheet'!$W$8&lt;&gt;"",ISNUMBER(SEARCH($X$4,'Final Calculation Sheet'!$W$8))))),IF($Y$4="",TRUE(),IF($Y$4="(blank)",'Final Calculation Sheet'!$X$8="",IF($Y$4="(nonblank)",'Final Calculation Sheet'!$X$8&lt;&gt;"",ISNUMBER(SEARCH($Y$4,'Final Calculation Sheet'!$X$8))))),IF($Z$4="",TRUE(),IF($Z$4="(blank)",'Final Calculation Sheet'!$Y$8="",IF($Z$4="(nonblank)",'Final Calculation Sheet'!$Y$8&lt;&gt;"",ISNUMBER(SEARCH($Z$4,'Final Calculation Sheet'!$Y$8))))),IF($AA$4="",TRUE(),IF($AA$4="(blank)",'Final Calculation Sheet'!$Z$8="",IF($AA$4="(nonblank)",'Final Calculation Sheet'!$Z$8&lt;&gt;"",ISNUMBER(SEARCH($AA$4,'Final Calculation Sheet'!$Z$8))))),IF($AB$4="",TRUE(),IF($AB$4="(blank)",'Final Calculation Sheet'!$AA$8="",IF($AB$4="(nonblank)",'Final Calculation Sheet'!$AA$8&lt;&gt;"",ISNUMBER(SEARCH($AB$4,'Final Calculation Sheet'!$AA$8))))),IF($AC$4="",TRUE(),IF($AC$4="(blank)",'Final Calculation Sheet'!$AB$8="",IF($AC$4="(nonblank)",'Final Calculation Sheet'!$AB$8&lt;&gt;"",ISNUMBER(SEARCH($AC$4,'Final Calculation Sheet'!$AB$8))))),IF($AD$4="",TRUE(),IF($AD$4="(blank)",'Final Calculation Sheet'!$AC$8="",IF($AD$4="(nonblank)",'Final Calculation Sheet'!$AC$8&lt;&gt;"",ISNUMBER(SEARCH($AD$4,'Final Calculation Sheet'!$AC$8))))),IF($AE$4="",TRUE(),IF($AE$4="(blank)",'Final Calculation Sheet'!$AD$8="",IF($AE$4="(nonblank)",'Final Calculation Sheet'!$AD$8&lt;&gt;"",ISNUMBER(SEARCH($AE$4,'Final Calculation Sheet'!$AD$8))))),IF($AG$4="",TRUE(),IF($AG$4="(blank)",'Final Calculation Sheet'!$AF$8="",IF($AG$4="(nonblank)",'Final Calculation Sheet'!$AF$8&lt;&gt;"",ISNUMBER(SEARCH($AG$4,'Final Calculation Sheet'!$AF$8))))),IF($AH$4="",TRUE(),IF($AH$4="(blank)",'Final Calculation Sheet'!$AG$8="",IF($AH$4="(nonblank)",'Final Calculation Sheet'!$AG$8&lt;&gt;"",ISNUMBER(SEARCH($AH$4,'Final Calculation Sheet'!$AG$8))))),IF($AI$4="",TRUE(),IF($AI$4="(blank)",'Final Calculation Sheet'!$AH$8="",IF($AI$4="(nonblank)",'Final Calculation Sheet'!$AH$8&lt;&gt;"",ISNUMBER(SEARCH($AI$4,'Final Calculation Sheet'!$AH$8))))),IF($AF$4="",TRUE(),IF($AF$4="(blank)",IF('Final Calculation Sheet'!$AD$8&lt;=5,"SETTLED","OUTSTANDING")="",IF($AF$4="(nonblank)",IF('Final Calculation Sheet'!$AD$8&lt;=5,"SETTLED","OUTSTANDING")&lt;&gt;"",ISNUMBER(SEARCH($AF$4,IF('Final Calculation Sheet'!$AD$8&lt;=5,"SETTLED","OUTSTANDING"))))))),1,0)</f>
      </c>
      <c r="AK34">
        <f>IF(AJ34=1,COUNTIF(AJ$7:AJ34,1),"")</f>
        <v/>
      </c>
    </row>
    <row r="35" outlineLevel="1" ht="15" customHeight="1" s="137">
      <c r="A35" s="90" t="n">
        <v>2</v>
      </c>
      <c r="B35" s="92">
        <f>IF('Final Calculation Sheet'!$F$20="","",'Final Calculation Sheet'!$F$20)</f>
        <v/>
      </c>
      <c r="C35" s="92">
        <f>IF('Final Calculation Sheet'!$G$20="","",'Final Calculation Sheet'!$G$20)</f>
        <v/>
      </c>
      <c r="D35" s="94">
        <f>IF('Final Calculation Sheet'!$B$20="","",'Final Calculation Sheet'!$B$20)</f>
        <v/>
      </c>
      <c r="E35" s="94">
        <f>IF('Final Calculation Sheet'!$D$20="","",'Final Calculation Sheet'!$D$20)</f>
        <v/>
      </c>
      <c r="F35" s="94">
        <f>IF('Final Calculation Sheet'!$A$20="","",'Final Calculation Sheet'!$A$20)</f>
        <v/>
      </c>
      <c r="G35" s="94">
        <f>IF('Final Calculation Sheet'!$E$20="","",'Final Calculation Sheet'!$E$20)</f>
        <v/>
      </c>
      <c r="H35" s="95">
        <f>IF('Final Calculation Sheet'!$C$20="","",'Final Calculation Sheet'!$C$20)</f>
        <v/>
      </c>
      <c r="I35" s="95">
        <f>IF('Final Calculation Sheet'!$H$20="","",'Final Calculation Sheet'!$H$20)</f>
        <v/>
      </c>
      <c r="J35" s="95">
        <f>IF('Final Calculation Sheet'!$I$20="","",'Final Calculation Sheet'!$I$20)</f>
        <v/>
      </c>
      <c r="K35" s="95">
        <f>IF('Final Calculation Sheet'!$J$20="","",'Final Calculation Sheet'!$J$20)</f>
        <v/>
      </c>
      <c r="L35" s="95">
        <f>IF('Final Calculation Sheet'!$K$20="","",'Final Calculation Sheet'!$K$20)</f>
        <v/>
      </c>
      <c r="M35" s="95">
        <f>IF('Final Calculation Sheet'!$L$20="","",'Final Calculation Sheet'!$L$20)</f>
        <v/>
      </c>
      <c r="N35" s="95">
        <f>IF('Final Calculation Sheet'!$M$20="","",'Final Calculation Sheet'!$M$20)</f>
        <v/>
      </c>
      <c r="O35" s="96">
        <f>IF('Final Calculation Sheet'!$N$20="","",'Final Calculation Sheet'!$N$20)</f>
        <v/>
      </c>
      <c r="P35" s="95">
        <f>IF('Final Calculation Sheet'!$O$20="","",'Final Calculation Sheet'!$O$20)</f>
        <v/>
      </c>
      <c r="Q35" s="95">
        <f>IF('Final Calculation Sheet'!$P$20="","",'Final Calculation Sheet'!$P$20)</f>
        <v/>
      </c>
      <c r="R35" s="97">
        <f>IF('Final Calculation Sheet'!$Q$20="","",'Final Calculation Sheet'!$Q$20)</f>
        <v/>
      </c>
      <c r="S35" s="95">
        <f>IF('Final Calculation Sheet'!$R$20="","",'Final Calculation Sheet'!$R$20)</f>
        <v/>
      </c>
      <c r="T35" s="95">
        <f>IF('Final Calculation Sheet'!$S$20="","",'Final Calculation Sheet'!$S$20)</f>
        <v/>
      </c>
      <c r="U35" s="95">
        <f>IF('Final Calculation Sheet'!$T$20="","",'Final Calculation Sheet'!$T$20)</f>
        <v/>
      </c>
      <c r="V35" s="98">
        <f>IF('Final Calculation Sheet'!$U$20="","",'Final Calculation Sheet'!$U$20)</f>
        <v/>
      </c>
      <c r="W35" s="95">
        <f>IF('Final Calculation Sheet'!$V$20="","",'Final Calculation Sheet'!$V$20)</f>
        <v/>
      </c>
      <c r="X35" s="95">
        <f>IF('Final Calculation Sheet'!$W$20="","",'Final Calculation Sheet'!$W$20)</f>
        <v/>
      </c>
      <c r="Y35" s="95">
        <f>IF('Final Calculation Sheet'!$X$20="","",'Final Calculation Sheet'!$X$20)</f>
        <v/>
      </c>
      <c r="Z35" s="95">
        <f>IF('Final Calculation Sheet'!$Y$20="","",'Final Calculation Sheet'!$Y$20)</f>
        <v/>
      </c>
      <c r="AA35" s="95">
        <f>IF('Final Calculation Sheet'!$Z$20="","",'Final Calculation Sheet'!$Z$20)</f>
        <v/>
      </c>
      <c r="AB35" s="95">
        <f>IF('Final Calculation Sheet'!$AA$20="","",'Final Calculation Sheet'!$AA$20)</f>
        <v/>
      </c>
      <c r="AC35" s="95">
        <f>IF('Final Calculation Sheet'!$AB$20="","",'Final Calculation Sheet'!$AB$20)</f>
        <v/>
      </c>
      <c r="AD35" s="95">
        <f>IF('Final Calculation Sheet'!$AC$20="","",'Final Calculation Sheet'!$AC$20)</f>
        <v/>
      </c>
      <c r="AE35" s="95">
        <f>IF('Final Calculation Sheet'!$AD$20="","",'Final Calculation Sheet'!$AD$20)</f>
        <v/>
      </c>
      <c r="AF35" s="100">
        <f>IF('Final Calculation Sheet'!$AD$20="","",IF('Final Calculation Sheet'!$AD$20&lt;=5,"SETTLED","OUTSTANDING"))</f>
        <v/>
      </c>
      <c r="AG35" s="95">
        <f>IF('Final Calculation Sheet'!$AF$20="","",'Final Calculation Sheet'!$AF$20)</f>
        <v/>
      </c>
      <c r="AH35" s="99">
        <f>IF('Final Calculation Sheet'!$AG$20="","",'Final Calculation Sheet'!$AG$20)</f>
        <v/>
      </c>
      <c r="AI35" s="95">
        <f>IF('Final Calculation Sheet'!$AH$20="","",'Final Calculation Sheet'!$AH$20)</f>
        <v/>
      </c>
      <c r="AJ35">
        <f>IF(AND(IF($B$4="",TRUE(),IF($B$4="(blank)",'Final Calculation Sheet'!$F$20="",IF($B$4="(nonblank)",'Final Calculation Sheet'!$F$20&lt;&gt;"",ISNUMBER(SEARCH($B$4,'Final Calculation Sheet'!$F$20))))),IF($C$4="",TRUE(),IF($C$4="(blank)",'Final Calculation Sheet'!$G$20="",IF($C$4="(nonblank)",'Final Calculation Sheet'!$G$20&lt;&gt;"",ISNUMBER(SEARCH($C$4,'Final Calculation Sheet'!$G$20))))),IF($D$4="",TRUE(),IF($D$4="(blank)",'Final Calculation Sheet'!$B$20="",IF($D$4="(nonblank)",'Final Calculation Sheet'!$B$20&lt;&gt;"",ISNUMBER(SEARCH($D$4,'Final Calculation Sheet'!$B$20))))),IF($E$4="",TRUE(),IF($E$4="(blank)",'Final Calculation Sheet'!$D$20="",IF($E$4="(nonblank)",'Final Calculation Sheet'!$D$20&lt;&gt;"",ISNUMBER(SEARCH($E$4,'Final Calculation Sheet'!$D$20))))),IF($F$4="",TRUE(),IF($F$4="(blank)",'Final Calculation Sheet'!$A$20="",IF($F$4="(nonblank)",'Final Calculation Sheet'!$A$20&lt;&gt;"",ISNUMBER(SEARCH($F$4,'Final Calculation Sheet'!$A$20))))),IF($G$4="",TRUE(),IF($G$4="(blank)",'Final Calculation Sheet'!$E$20="",IF($G$4="(nonblank)",'Final Calculation Sheet'!$E$20&lt;&gt;"",ISNUMBER(SEARCH($G$4,'Final Calculation Sheet'!$E$20))))),IF($H$4="",TRUE(),IF($H$4="(blank)",'Final Calculation Sheet'!$C$20="",IF($H$4="(nonblank)",'Final Calculation Sheet'!$C$20&lt;&gt;"",ISNUMBER(SEARCH($H$4,'Final Calculation Sheet'!$C$20))))),IF($I$4="",TRUE(),IF($I$4="(blank)",'Final Calculation Sheet'!$H$20="",IF($I$4="(nonblank)",'Final Calculation Sheet'!$H$20&lt;&gt;"",ISNUMBER(SEARCH($I$4,'Final Calculation Sheet'!$H$20))))),IF($J$4="",TRUE(),IF($J$4="(blank)",'Final Calculation Sheet'!$I$20="",IF($J$4="(nonblank)",'Final Calculation Sheet'!$I$20&lt;&gt;"",ISNUMBER(SEARCH($J$4,'Final Calculation Sheet'!$I$20))))),IF($K$4="",TRUE(),IF($K$4="(blank)",'Final Calculation Sheet'!$J$20="",IF($K$4="(nonblank)",'Final Calculation Sheet'!$J$20&lt;&gt;"",ISNUMBER(SEARCH($K$4,'Final Calculation Sheet'!$J$20))))),IF($L$4="",TRUE(),IF($L$4="(blank)",'Final Calculation Sheet'!$K$20="",IF($L$4="(nonblank)",'Final Calculation Sheet'!$K$20&lt;&gt;"",ISNUMBER(SEARCH($L$4,'Final Calculation Sheet'!$K$20))))),IF($M$4="",TRUE(),IF($M$4="(blank)",'Final Calculation Sheet'!$L$20="",IF($M$4="(nonblank)",'Final Calculation Sheet'!$L$20&lt;&gt;"",ISNUMBER(SEARCH($M$4,'Final Calculation Sheet'!$L$20))))),IF($N$4="",TRUE(),IF($N$4="(blank)",'Final Calculation Sheet'!$M$20="",IF($N$4="(nonblank)",'Final Calculation Sheet'!$M$20&lt;&gt;"",ISNUMBER(SEARCH($N$4,'Final Calculation Sheet'!$M$20))))),IF($O$4="",TRUE(),IF($O$4="(blank)",'Final Calculation Sheet'!$N$20="",IF($O$4="(nonblank)",'Final Calculation Sheet'!$N$20&lt;&gt;"",ISNUMBER(SEARCH($O$4,'Final Calculation Sheet'!$N$20))))),IF($P$4="",TRUE(),IF($P$4="(blank)",'Final Calculation Sheet'!$O$20="",IF($P$4="(nonblank)",'Final Calculation Sheet'!$O$20&lt;&gt;"",ISNUMBER(SEARCH($P$4,'Final Calculation Sheet'!$O$20))))),IF($Q$4="",TRUE(),IF($Q$4="(blank)",'Final Calculation Sheet'!$P$20="",IF($Q$4="(nonblank)",'Final Calculation Sheet'!$P$20&lt;&gt;"",ISNUMBER(SEARCH($Q$4,'Final Calculation Sheet'!$P$20))))),IF($R$4="",TRUE(),IF($R$4="(blank)",'Final Calculation Sheet'!$Q$20="",IF($R$4="(nonblank)",'Final Calculation Sheet'!$Q$20&lt;&gt;"",ISNUMBER(SEARCH($R$4,'Final Calculation Sheet'!$Q$20))))),IF($S$4="",TRUE(),IF($S$4="(blank)",'Final Calculation Sheet'!$R$20="",IF($S$4="(nonblank)",'Final Calculation Sheet'!$R$20&lt;&gt;"",ISNUMBER(SEARCH($S$4,'Final Calculation Sheet'!$R$20))))),IF($T$4="",TRUE(),IF($T$4="(blank)",'Final Calculation Sheet'!$S$20="",IF($T$4="(nonblank)",'Final Calculation Sheet'!$S$20&lt;&gt;"",ISNUMBER(SEARCH($T$4,'Final Calculation Sheet'!$S$20))))),IF($U$4="",TRUE(),IF($U$4="(blank)",'Final Calculation Sheet'!$T$20="",IF($U$4="(nonblank)",'Final Calculation Sheet'!$T$20&lt;&gt;"",ISNUMBER(SEARCH($U$4,'Final Calculation Sheet'!$T$20))))),IF($V$4="",TRUE(),IF($V$4="(blank)",'Final Calculation Sheet'!$U$20="",IF($V$4="(nonblank)",'Final Calculation Sheet'!$U$20&lt;&gt;"",ISNUMBER(SEARCH($V$4,'Final Calculation Sheet'!$U$20))))),IF($W$4="",TRUE(),IF($W$4="(blank)",'Final Calculation Sheet'!$V$20="",IF($W$4="(nonblank)",'Final Calculation Sheet'!$V$20&lt;&gt;"",ISNUMBER(SEARCH($W$4,'Final Calculation Sheet'!$V$20))))),IF($X$4="",TRUE(),IF($X$4="(blank)",'Final Calculation Sheet'!$W$20="",IF($X$4="(nonblank)",'Final Calculation Sheet'!$W$20&lt;&gt;"",ISNUMBER(SEARCH($X$4,'Final Calculation Sheet'!$W$20))))),IF($Y$4="",TRUE(),IF($Y$4="(blank)",'Final Calculation Sheet'!$X$20="",IF($Y$4="(nonblank)",'Final Calculation Sheet'!$X$20&lt;&gt;"",ISNUMBER(SEARCH($Y$4,'Final Calculation Sheet'!$X$20))))),IF($Z$4="",TRUE(),IF($Z$4="(blank)",'Final Calculation Sheet'!$Y$20="",IF($Z$4="(nonblank)",'Final Calculation Sheet'!$Y$20&lt;&gt;"",ISNUMBER(SEARCH($Z$4,'Final Calculation Sheet'!$Y$20))))),IF($AA$4="",TRUE(),IF($AA$4="(blank)",'Final Calculation Sheet'!$Z$20="",IF($AA$4="(nonblank)",'Final Calculation Sheet'!$Z$20&lt;&gt;"",ISNUMBER(SEARCH($AA$4,'Final Calculation Sheet'!$Z$20))))),IF($AB$4="",TRUE(),IF($AB$4="(blank)",'Final Calculation Sheet'!$AA$20="",IF($AB$4="(nonblank)",'Final Calculation Sheet'!$AA$20&lt;&gt;"",ISNUMBER(SEARCH($AB$4,'Final Calculation Sheet'!$AA$20))))),IF($AC$4="",TRUE(),IF($AC$4="(blank)",'Final Calculation Sheet'!$AB$20="",IF($AC$4="(nonblank)",'Final Calculation Sheet'!$AB$20&lt;&gt;"",ISNUMBER(SEARCH($AC$4,'Final Calculation Sheet'!$AB$20))))),IF($AD$4="",TRUE(),IF($AD$4="(blank)",'Final Calculation Sheet'!$AC$20="",IF($AD$4="(nonblank)",'Final Calculation Sheet'!$AC$20&lt;&gt;"",ISNUMBER(SEARCH($AD$4,'Final Calculation Sheet'!$AC$20))))),IF($AE$4="",TRUE(),IF($AE$4="(blank)",'Final Calculation Sheet'!$AD$20="",IF($AE$4="(nonblank)",'Final Calculation Sheet'!$AD$20&lt;&gt;"",ISNUMBER(SEARCH($AE$4,'Final Calculation Sheet'!$AD$20))))),IF($AG$4="",TRUE(),IF($AG$4="(blank)",'Final Calculation Sheet'!$AF$20="",IF($AG$4="(nonblank)",'Final Calculation Sheet'!$AF$20&lt;&gt;"",ISNUMBER(SEARCH($AG$4,'Final Calculation Sheet'!$AF$20))))),IF($AH$4="",TRUE(),IF($AH$4="(blank)",'Final Calculation Sheet'!$AG$20="",IF($AH$4="(nonblank)",'Final Calculation Sheet'!$AG$20&lt;&gt;"",ISNUMBER(SEARCH($AH$4,'Final Calculation Sheet'!$AG$20))))),IF($AI$4="",TRUE(),IF($AI$4="(blank)",'Final Calculation Sheet'!$AH$20="",IF($AI$4="(nonblank)",'Final Calculation Sheet'!$AH$20&lt;&gt;"",ISNUMBER(SEARCH($AI$4,'Final Calculation Sheet'!$AH$20))))),IF($AF$4="",TRUE(),IF($AF$4="(blank)",IF('Final Calculation Sheet'!$AD$20&lt;=5,"SETTLED","OUTSTANDING")="",IF($AF$4="(nonblank)",IF('Final Calculation Sheet'!$AD$20&lt;=5,"SETTLED","OUTSTANDING")&lt;&gt;"",ISNUMBER(SEARCH($AF$4,IF('Final Calculation Sheet'!$AD$20&lt;=5,"SETTLED","OUTSTANDING"))))))),1,0)</f>
      </c>
      <c r="AK35">
        <f>IF(AJ35=1,COUNTIF(AJ$7:AJ35,1),"")</f>
        <v/>
      </c>
    </row>
    <row r="36" ht="15" customHeight="1" s="137">
      <c r="A36" s="81" t="inlineStr">
        <is>
          <t>∑</t>
        </is>
      </c>
      <c r="B36" s="83" t="n"/>
      <c r="C36" s="83">
        <f>ROWS($C$34:$C$35)&amp;" lot(s)"</f>
        <v/>
      </c>
      <c r="D36" s="83" t="inlineStr">
        <is>
          <t>SUBTOTAL — OMKAR STEELS</t>
        </is>
      </c>
      <c r="E36" s="83" t="inlineStr">
        <is>
          <t>–</t>
        </is>
      </c>
      <c r="F36" s="83">
        <f>SUM(F34:F35)</f>
        <v/>
      </c>
      <c r="G36" s="83" t="inlineStr">
        <is>
          <t>–</t>
        </is>
      </c>
      <c r="H36" s="84" t="inlineStr">
        <is>
          <t>–</t>
        </is>
      </c>
      <c r="I36" s="84">
        <f>SUM(I34:I35)</f>
        <v/>
      </c>
      <c r="J36" s="84">
        <f>SUM(J34:J35)</f>
        <v/>
      </c>
      <c r="K36" s="84">
        <f>SUM(K34:K35)</f>
        <v/>
      </c>
      <c r="L36" s="84">
        <f>SUM(L34:L35)</f>
        <v/>
      </c>
      <c r="M36" s="84">
        <f>SUM(M34:M35)</f>
        <v/>
      </c>
      <c r="N36" s="84">
        <f>SUM(N34:N35)</f>
        <v/>
      </c>
      <c r="O36" s="85">
        <f>SUM(O34:O35)</f>
        <v/>
      </c>
      <c r="P36" s="84">
        <f>SUM(P34:P35)</f>
        <v/>
      </c>
      <c r="Q36" s="84">
        <f>SUM(Q34:Q35)</f>
        <v/>
      </c>
      <c r="R36" s="86" t="inlineStr">
        <is>
          <t>–</t>
        </is>
      </c>
      <c r="S36" s="84">
        <f>SUM(S34:S35)</f>
        <v/>
      </c>
      <c r="T36" s="84">
        <f>SUM(T34:T35)</f>
        <v/>
      </c>
      <c r="U36" s="84">
        <f>SUM(U34:U35)</f>
        <v/>
      </c>
      <c r="V36" s="87">
        <f>SUM(V34:V35)</f>
        <v/>
      </c>
      <c r="W36" s="84" t="inlineStr">
        <is>
          <t>–</t>
        </is>
      </c>
      <c r="X36" s="84">
        <f>SUM(X34:X35)</f>
        <v/>
      </c>
      <c r="Y36" s="84">
        <f>SUM(Y34:Y35)</f>
        <v/>
      </c>
      <c r="Z36" s="84" t="inlineStr">
        <is>
          <t>–</t>
        </is>
      </c>
      <c r="AA36" s="84">
        <f>SUM(AA34:AA35)</f>
        <v/>
      </c>
      <c r="AB36" s="84">
        <f>SUM(AB34:AB35)</f>
        <v/>
      </c>
      <c r="AC36" s="84" t="inlineStr">
        <is>
          <t>–</t>
        </is>
      </c>
      <c r="AD36" s="84">
        <f>SUM(AD34:AD35)</f>
        <v/>
      </c>
      <c r="AE36" s="84">
        <f>SUM(AE34:AE35)</f>
        <v/>
      </c>
      <c r="AF36" s="89">
        <f>IF(AE36&lt;=5,"SETTLED","OUTSTANDING")</f>
        <v/>
      </c>
      <c r="AG36" s="84" t="inlineStr">
        <is>
          <t>–</t>
        </is>
      </c>
      <c r="AH36" s="88" t="inlineStr">
        <is>
          <t>–</t>
        </is>
      </c>
      <c r="AI36" s="84" t="inlineStr">
        <is>
          <t>–</t>
        </is>
      </c>
    </row>
    <row r="37" outlineLevel="1" ht="15" customHeight="1" s="137">
      <c r="A37" s="67" t="n">
        <v>1</v>
      </c>
      <c r="B37" s="76">
        <f>IF('Final Calculation Sheet'!$F$39="","",'Final Calculation Sheet'!$F$39)</f>
        <v/>
      </c>
      <c r="C37" s="76">
        <f>IF('Final Calculation Sheet'!$G$39="","",'Final Calculation Sheet'!$G$39)</f>
        <v/>
      </c>
      <c r="D37" s="80">
        <f>IF('Final Calculation Sheet'!$B$39="","",'Final Calculation Sheet'!$B$39)</f>
        <v/>
      </c>
      <c r="E37" s="80">
        <f>IF('Final Calculation Sheet'!$D$39="","",'Final Calculation Sheet'!$D$39)</f>
        <v/>
      </c>
      <c r="F37" s="80">
        <f>IF('Final Calculation Sheet'!$A$39="","",'Final Calculation Sheet'!$A$39)</f>
        <v/>
      </c>
      <c r="G37" s="80">
        <f>IF('Final Calculation Sheet'!$E$39="","",'Final Calculation Sheet'!$E$39)</f>
        <v/>
      </c>
      <c r="H37" s="70">
        <f>IF('Final Calculation Sheet'!$C$39="","",'Final Calculation Sheet'!$C$39)</f>
        <v/>
      </c>
      <c r="I37" s="70">
        <f>IF('Final Calculation Sheet'!$H$39="","",'Final Calculation Sheet'!$H$39)</f>
        <v/>
      </c>
      <c r="J37" s="70">
        <f>IF('Final Calculation Sheet'!$I$39="","",'Final Calculation Sheet'!$I$39)</f>
        <v/>
      </c>
      <c r="K37" s="70">
        <f>IF('Final Calculation Sheet'!$J$39="","",'Final Calculation Sheet'!$J$39)</f>
        <v/>
      </c>
      <c r="L37" s="70">
        <f>IF('Final Calculation Sheet'!$K$39="","",'Final Calculation Sheet'!$K$39)</f>
        <v/>
      </c>
      <c r="M37" s="70">
        <f>IF('Final Calculation Sheet'!$L$39="","",'Final Calculation Sheet'!$L$39)</f>
        <v/>
      </c>
      <c r="N37" s="70">
        <f>IF('Final Calculation Sheet'!$M$39="","",'Final Calculation Sheet'!$M$39)</f>
        <v/>
      </c>
      <c r="O37" s="71">
        <f>IF('Final Calculation Sheet'!$N$39="","",'Final Calculation Sheet'!$N$39)</f>
        <v/>
      </c>
      <c r="P37" s="70">
        <f>IF('Final Calculation Sheet'!$O$39="","",'Final Calculation Sheet'!$O$39)</f>
        <v/>
      </c>
      <c r="Q37" s="70">
        <f>IF('Final Calculation Sheet'!$P$39="","",'Final Calculation Sheet'!$P$39)</f>
        <v/>
      </c>
      <c r="R37" s="72">
        <f>IF('Final Calculation Sheet'!$Q$39="","",'Final Calculation Sheet'!$Q$39)</f>
        <v/>
      </c>
      <c r="S37" s="70">
        <f>IF('Final Calculation Sheet'!$R$39="","",'Final Calculation Sheet'!$R$39)</f>
        <v/>
      </c>
      <c r="T37" s="70">
        <f>IF('Final Calculation Sheet'!$S$39="","",'Final Calculation Sheet'!$S$39)</f>
        <v/>
      </c>
      <c r="U37" s="70">
        <f>IF('Final Calculation Sheet'!$T$39="","",'Final Calculation Sheet'!$T$39)</f>
        <v/>
      </c>
      <c r="V37" s="73">
        <f>IF('Final Calculation Sheet'!$U$39="","",'Final Calculation Sheet'!$U$39)</f>
        <v/>
      </c>
      <c r="W37" s="70">
        <f>IF('Final Calculation Sheet'!$V$39="","",'Final Calculation Sheet'!$V$39)</f>
        <v/>
      </c>
      <c r="X37" s="70">
        <f>IF('Final Calculation Sheet'!$W$39="","",'Final Calculation Sheet'!$W$39)</f>
        <v/>
      </c>
      <c r="Y37" s="70">
        <f>IF('Final Calculation Sheet'!$X$39="","",'Final Calculation Sheet'!$X$39)</f>
        <v/>
      </c>
      <c r="Z37" s="70">
        <f>IF('Final Calculation Sheet'!$Y$39="","",'Final Calculation Sheet'!$Y$39)</f>
        <v/>
      </c>
      <c r="AA37" s="70">
        <f>IF('Final Calculation Sheet'!$Z$39="","",'Final Calculation Sheet'!$Z$39)</f>
        <v/>
      </c>
      <c r="AB37" s="70">
        <f>IF('Final Calculation Sheet'!$AA$39="","",'Final Calculation Sheet'!$AA$39)</f>
        <v/>
      </c>
      <c r="AC37" s="70">
        <f>IF('Final Calculation Sheet'!$AB$39="","",'Final Calculation Sheet'!$AB$39)</f>
        <v/>
      </c>
      <c r="AD37" s="70">
        <f>IF('Final Calculation Sheet'!$AC$39="","",'Final Calculation Sheet'!$AC$39)</f>
        <v/>
      </c>
      <c r="AE37" s="70">
        <f>IF('Final Calculation Sheet'!$AD$39="","",'Final Calculation Sheet'!$AD$39)</f>
        <v/>
      </c>
      <c r="AF37" s="75">
        <f>IF('Final Calculation Sheet'!$AD$39="","",IF('Final Calculation Sheet'!$AD$39&lt;=5,"SETTLED","OUTSTANDING"))</f>
        <v/>
      </c>
      <c r="AG37" s="70">
        <f>IF('Final Calculation Sheet'!$AF$39="","",'Final Calculation Sheet'!$AF$39)</f>
        <v/>
      </c>
      <c r="AH37" s="74">
        <f>IF('Final Calculation Sheet'!$AG$39="","",'Final Calculation Sheet'!$AG$39)</f>
        <v/>
      </c>
      <c r="AI37" s="70">
        <f>IF('Final Calculation Sheet'!$AH$39="","",'Final Calculation Sheet'!$AH$39)</f>
        <v/>
      </c>
      <c r="AJ37">
        <f>IF(AND(IF($B$4="",TRUE(),IF($B$4="(blank)",'Final Calculation Sheet'!$F$39="",IF($B$4="(nonblank)",'Final Calculation Sheet'!$F$39&lt;&gt;"",ISNUMBER(SEARCH($B$4,'Final Calculation Sheet'!$F$39))))),IF($C$4="",TRUE(),IF($C$4="(blank)",'Final Calculation Sheet'!$G$39="",IF($C$4="(nonblank)",'Final Calculation Sheet'!$G$39&lt;&gt;"",ISNUMBER(SEARCH($C$4,'Final Calculation Sheet'!$G$39))))),IF($D$4="",TRUE(),IF($D$4="(blank)",'Final Calculation Sheet'!$B$39="",IF($D$4="(nonblank)",'Final Calculation Sheet'!$B$39&lt;&gt;"",ISNUMBER(SEARCH($D$4,'Final Calculation Sheet'!$B$39))))),IF($E$4="",TRUE(),IF($E$4="(blank)",'Final Calculation Sheet'!$D$39="",IF($E$4="(nonblank)",'Final Calculation Sheet'!$D$39&lt;&gt;"",ISNUMBER(SEARCH($E$4,'Final Calculation Sheet'!$D$39))))),IF($F$4="",TRUE(),IF($F$4="(blank)",'Final Calculation Sheet'!$A$39="",IF($F$4="(nonblank)",'Final Calculation Sheet'!$A$39&lt;&gt;"",ISNUMBER(SEARCH($F$4,'Final Calculation Sheet'!$A$39))))),IF($G$4="",TRUE(),IF($G$4="(blank)",'Final Calculation Sheet'!$E$39="",IF($G$4="(nonblank)",'Final Calculation Sheet'!$E$39&lt;&gt;"",ISNUMBER(SEARCH($G$4,'Final Calculation Sheet'!$E$39))))),IF($H$4="",TRUE(),IF($H$4="(blank)",'Final Calculation Sheet'!$C$39="",IF($H$4="(nonblank)",'Final Calculation Sheet'!$C$39&lt;&gt;"",ISNUMBER(SEARCH($H$4,'Final Calculation Sheet'!$C$39))))),IF($I$4="",TRUE(),IF($I$4="(blank)",'Final Calculation Sheet'!$H$39="",IF($I$4="(nonblank)",'Final Calculation Sheet'!$H$39&lt;&gt;"",ISNUMBER(SEARCH($I$4,'Final Calculation Sheet'!$H$39))))),IF($J$4="",TRUE(),IF($J$4="(blank)",'Final Calculation Sheet'!$I$39="",IF($J$4="(nonblank)",'Final Calculation Sheet'!$I$39&lt;&gt;"",ISNUMBER(SEARCH($J$4,'Final Calculation Sheet'!$I$39))))),IF($K$4="",TRUE(),IF($K$4="(blank)",'Final Calculation Sheet'!$J$39="",IF($K$4="(nonblank)",'Final Calculation Sheet'!$J$39&lt;&gt;"",ISNUMBER(SEARCH($K$4,'Final Calculation Sheet'!$J$39))))),IF($L$4="",TRUE(),IF($L$4="(blank)",'Final Calculation Sheet'!$K$39="",IF($L$4="(nonblank)",'Final Calculation Sheet'!$K$39&lt;&gt;"",ISNUMBER(SEARCH($L$4,'Final Calculation Sheet'!$K$39))))),IF($M$4="",TRUE(),IF($M$4="(blank)",'Final Calculation Sheet'!$L$39="",IF($M$4="(nonblank)",'Final Calculation Sheet'!$L$39&lt;&gt;"",ISNUMBER(SEARCH($M$4,'Final Calculation Sheet'!$L$39))))),IF($N$4="",TRUE(),IF($N$4="(blank)",'Final Calculation Sheet'!$M$39="",IF($N$4="(nonblank)",'Final Calculation Sheet'!$M$39&lt;&gt;"",ISNUMBER(SEARCH($N$4,'Final Calculation Sheet'!$M$39))))),IF($O$4="",TRUE(),IF($O$4="(blank)",'Final Calculation Sheet'!$N$39="",IF($O$4="(nonblank)",'Final Calculation Sheet'!$N$39&lt;&gt;"",ISNUMBER(SEARCH($O$4,'Final Calculation Sheet'!$N$39))))),IF($P$4="",TRUE(),IF($P$4="(blank)",'Final Calculation Sheet'!$O$39="",IF($P$4="(nonblank)",'Final Calculation Sheet'!$O$39&lt;&gt;"",ISNUMBER(SEARCH($P$4,'Final Calculation Sheet'!$O$39))))),IF($Q$4="",TRUE(),IF($Q$4="(blank)",'Final Calculation Sheet'!$P$39="",IF($Q$4="(nonblank)",'Final Calculation Sheet'!$P$39&lt;&gt;"",ISNUMBER(SEARCH($Q$4,'Final Calculation Sheet'!$P$39))))),IF($R$4="",TRUE(),IF($R$4="(blank)",'Final Calculation Sheet'!$Q$39="",IF($R$4="(nonblank)",'Final Calculation Sheet'!$Q$39&lt;&gt;"",ISNUMBER(SEARCH($R$4,'Final Calculation Sheet'!$Q$39))))),IF($S$4="",TRUE(),IF($S$4="(blank)",'Final Calculation Sheet'!$R$39="",IF($S$4="(nonblank)",'Final Calculation Sheet'!$R$39&lt;&gt;"",ISNUMBER(SEARCH($S$4,'Final Calculation Sheet'!$R$39))))),IF($T$4="",TRUE(),IF($T$4="(blank)",'Final Calculation Sheet'!$S$39="",IF($T$4="(nonblank)",'Final Calculation Sheet'!$S$39&lt;&gt;"",ISNUMBER(SEARCH($T$4,'Final Calculation Sheet'!$S$39))))),IF($U$4="",TRUE(),IF($U$4="(blank)",'Final Calculation Sheet'!$T$39="",IF($U$4="(nonblank)",'Final Calculation Sheet'!$T$39&lt;&gt;"",ISNUMBER(SEARCH($U$4,'Final Calculation Sheet'!$T$39))))),IF($V$4="",TRUE(),IF($V$4="(blank)",'Final Calculation Sheet'!$U$39="",IF($V$4="(nonblank)",'Final Calculation Sheet'!$U$39&lt;&gt;"",ISNUMBER(SEARCH($V$4,'Final Calculation Sheet'!$U$39))))),IF($W$4="",TRUE(),IF($W$4="(blank)",'Final Calculation Sheet'!$V$39="",IF($W$4="(nonblank)",'Final Calculation Sheet'!$V$39&lt;&gt;"",ISNUMBER(SEARCH($W$4,'Final Calculation Sheet'!$V$39))))),IF($X$4="",TRUE(),IF($X$4="(blank)",'Final Calculation Sheet'!$W$39="",IF($X$4="(nonblank)",'Final Calculation Sheet'!$W$39&lt;&gt;"",ISNUMBER(SEARCH($X$4,'Final Calculation Sheet'!$W$39))))),IF($Y$4="",TRUE(),IF($Y$4="(blank)",'Final Calculation Sheet'!$X$39="",IF($Y$4="(nonblank)",'Final Calculation Sheet'!$X$39&lt;&gt;"",ISNUMBER(SEARCH($Y$4,'Final Calculation Sheet'!$X$39))))),IF($Z$4="",TRUE(),IF($Z$4="(blank)",'Final Calculation Sheet'!$Y$39="",IF($Z$4="(nonblank)",'Final Calculation Sheet'!$Y$39&lt;&gt;"",ISNUMBER(SEARCH($Z$4,'Final Calculation Sheet'!$Y$39))))),IF($AA$4="",TRUE(),IF($AA$4="(blank)",'Final Calculation Sheet'!$Z$39="",IF($AA$4="(nonblank)",'Final Calculation Sheet'!$Z$39&lt;&gt;"",ISNUMBER(SEARCH($AA$4,'Final Calculation Sheet'!$Z$39))))),IF($AB$4="",TRUE(),IF($AB$4="(blank)",'Final Calculation Sheet'!$AA$39="",IF($AB$4="(nonblank)",'Final Calculation Sheet'!$AA$39&lt;&gt;"",ISNUMBER(SEARCH($AB$4,'Final Calculation Sheet'!$AA$39))))),IF($AC$4="",TRUE(),IF($AC$4="(blank)",'Final Calculation Sheet'!$AB$39="",IF($AC$4="(nonblank)",'Final Calculation Sheet'!$AB$39&lt;&gt;"",ISNUMBER(SEARCH($AC$4,'Final Calculation Sheet'!$AB$39))))),IF($AD$4="",TRUE(),IF($AD$4="(blank)",'Final Calculation Sheet'!$AC$39="",IF($AD$4="(nonblank)",'Final Calculation Sheet'!$AC$39&lt;&gt;"",ISNUMBER(SEARCH($AD$4,'Final Calculation Sheet'!$AC$39))))),IF($AE$4="",TRUE(),IF($AE$4="(blank)",'Final Calculation Sheet'!$AD$39="",IF($AE$4="(nonblank)",'Final Calculation Sheet'!$AD$39&lt;&gt;"",ISNUMBER(SEARCH($AE$4,'Final Calculation Sheet'!$AD$39))))),IF($AG$4="",TRUE(),IF($AG$4="(blank)",'Final Calculation Sheet'!$AF$39="",IF($AG$4="(nonblank)",'Final Calculation Sheet'!$AF$39&lt;&gt;"",ISNUMBER(SEARCH($AG$4,'Final Calculation Sheet'!$AF$39))))),IF($AH$4="",TRUE(),IF($AH$4="(blank)",'Final Calculation Sheet'!$AG$39="",IF($AH$4="(nonblank)",'Final Calculation Sheet'!$AG$39&lt;&gt;"",ISNUMBER(SEARCH($AH$4,'Final Calculation Sheet'!$AG$39))))),IF($AI$4="",TRUE(),IF($AI$4="(blank)",'Final Calculation Sheet'!$AH$39="",IF($AI$4="(nonblank)",'Final Calculation Sheet'!$AH$39&lt;&gt;"",ISNUMBER(SEARCH($AI$4,'Final Calculation Sheet'!$AH$39))))),IF($AF$4="",TRUE(),IF($AF$4="(blank)",IF('Final Calculation Sheet'!$AD$39&lt;=5,"SETTLED","OUTSTANDING")="",IF($AF$4="(nonblank)",IF('Final Calculation Sheet'!$AD$39&lt;=5,"SETTLED","OUTSTANDING")&lt;&gt;"",ISNUMBER(SEARCH($AF$4,IF('Final Calculation Sheet'!$AD$39&lt;=5,"SETTLED","OUTSTANDING"))))))),1,0)</f>
      </c>
      <c r="AK37">
        <f>IF(AJ37=1,COUNTIF(AJ$7:AJ37,1),"")</f>
        <v/>
      </c>
    </row>
    <row r="38" outlineLevel="1" ht="15" customHeight="1" s="137">
      <c r="A38" s="90" t="n">
        <v>2</v>
      </c>
      <c r="B38" s="92">
        <f>IF('Final Calculation Sheet'!$F$40="","",'Final Calculation Sheet'!$F$40)</f>
        <v/>
      </c>
      <c r="C38" s="92">
        <f>IF('Final Calculation Sheet'!$G$40="","",'Final Calculation Sheet'!$G$40)</f>
        <v/>
      </c>
      <c r="D38" s="94">
        <f>IF('Final Calculation Sheet'!$B$40="","",'Final Calculation Sheet'!$B$40)</f>
        <v/>
      </c>
      <c r="E38" s="94">
        <f>IF('Final Calculation Sheet'!$D$40="","",'Final Calculation Sheet'!$D$40)</f>
        <v/>
      </c>
      <c r="F38" s="94">
        <f>IF('Final Calculation Sheet'!$A$40="","",'Final Calculation Sheet'!$A$40)</f>
        <v/>
      </c>
      <c r="G38" s="94">
        <f>IF('Final Calculation Sheet'!$E$40="","",'Final Calculation Sheet'!$E$40)</f>
        <v/>
      </c>
      <c r="H38" s="95">
        <f>IF('Final Calculation Sheet'!$C$40="","",'Final Calculation Sheet'!$C$40)</f>
        <v/>
      </c>
      <c r="I38" s="95">
        <f>IF('Final Calculation Sheet'!$H$40="","",'Final Calculation Sheet'!$H$40)</f>
        <v/>
      </c>
      <c r="J38" s="95">
        <f>IF('Final Calculation Sheet'!$I$40="","",'Final Calculation Sheet'!$I$40)</f>
        <v/>
      </c>
      <c r="K38" s="95">
        <f>IF('Final Calculation Sheet'!$J$40="","",'Final Calculation Sheet'!$J$40)</f>
        <v/>
      </c>
      <c r="L38" s="95">
        <f>IF('Final Calculation Sheet'!$K$40="","",'Final Calculation Sheet'!$K$40)</f>
        <v/>
      </c>
      <c r="M38" s="95">
        <f>IF('Final Calculation Sheet'!$L$40="","",'Final Calculation Sheet'!$L$40)</f>
        <v/>
      </c>
      <c r="N38" s="95">
        <f>IF('Final Calculation Sheet'!$M$40="","",'Final Calculation Sheet'!$M$40)</f>
        <v/>
      </c>
      <c r="O38" s="96">
        <f>IF('Final Calculation Sheet'!$N$40="","",'Final Calculation Sheet'!$N$40)</f>
        <v/>
      </c>
      <c r="P38" s="95">
        <f>IF('Final Calculation Sheet'!$O$40="","",'Final Calculation Sheet'!$O$40)</f>
        <v/>
      </c>
      <c r="Q38" s="95">
        <f>IF('Final Calculation Sheet'!$P$40="","",'Final Calculation Sheet'!$P$40)</f>
        <v/>
      </c>
      <c r="R38" s="97">
        <f>IF('Final Calculation Sheet'!$Q$40="","",'Final Calculation Sheet'!$Q$40)</f>
        <v/>
      </c>
      <c r="S38" s="95">
        <f>IF('Final Calculation Sheet'!$R$40="","",'Final Calculation Sheet'!$R$40)</f>
        <v/>
      </c>
      <c r="T38" s="95">
        <f>IF('Final Calculation Sheet'!$S$40="","",'Final Calculation Sheet'!$S$40)</f>
        <v/>
      </c>
      <c r="U38" s="95">
        <f>IF('Final Calculation Sheet'!$T$40="","",'Final Calculation Sheet'!$T$40)</f>
        <v/>
      </c>
      <c r="V38" s="98">
        <f>IF('Final Calculation Sheet'!$U$40="","",'Final Calculation Sheet'!$U$40)</f>
        <v/>
      </c>
      <c r="W38" s="95">
        <f>IF('Final Calculation Sheet'!$V$40="","",'Final Calculation Sheet'!$V$40)</f>
        <v/>
      </c>
      <c r="X38" s="95">
        <f>IF('Final Calculation Sheet'!$W$40="","",'Final Calculation Sheet'!$W$40)</f>
        <v/>
      </c>
      <c r="Y38" s="95">
        <f>IF('Final Calculation Sheet'!$X$40="","",'Final Calculation Sheet'!$X$40)</f>
        <v/>
      </c>
      <c r="Z38" s="95">
        <f>IF('Final Calculation Sheet'!$Y$40="","",'Final Calculation Sheet'!$Y$40)</f>
        <v/>
      </c>
      <c r="AA38" s="95">
        <f>IF('Final Calculation Sheet'!$Z$40="","",'Final Calculation Sheet'!$Z$40)</f>
        <v/>
      </c>
      <c r="AB38" s="95">
        <f>IF('Final Calculation Sheet'!$AA$40="","",'Final Calculation Sheet'!$AA$40)</f>
        <v/>
      </c>
      <c r="AC38" s="95">
        <f>IF('Final Calculation Sheet'!$AB$40="","",'Final Calculation Sheet'!$AB$40)</f>
        <v/>
      </c>
      <c r="AD38" s="95">
        <f>IF('Final Calculation Sheet'!$AC$40="","",'Final Calculation Sheet'!$AC$40)</f>
        <v/>
      </c>
      <c r="AE38" s="95">
        <f>IF('Final Calculation Sheet'!$AD$40="","",'Final Calculation Sheet'!$AD$40)</f>
        <v/>
      </c>
      <c r="AF38" s="100">
        <f>IF('Final Calculation Sheet'!$AD$40="","",IF('Final Calculation Sheet'!$AD$40&lt;=5,"SETTLED","OUTSTANDING"))</f>
        <v/>
      </c>
      <c r="AG38" s="95">
        <f>IF('Final Calculation Sheet'!$AF$40="","",'Final Calculation Sheet'!$AF$40)</f>
        <v/>
      </c>
      <c r="AH38" s="99">
        <f>IF('Final Calculation Sheet'!$AG$40="","",'Final Calculation Sheet'!$AG$40)</f>
        <v/>
      </c>
      <c r="AI38" s="95">
        <f>IF('Final Calculation Sheet'!$AH$40="","",'Final Calculation Sheet'!$AH$40)</f>
        <v/>
      </c>
      <c r="AJ38">
        <f>IF(AND(IF($B$4="",TRUE(),IF($B$4="(blank)",'Final Calculation Sheet'!$F$40="",IF($B$4="(nonblank)",'Final Calculation Sheet'!$F$40&lt;&gt;"",ISNUMBER(SEARCH($B$4,'Final Calculation Sheet'!$F$40))))),IF($C$4="",TRUE(),IF($C$4="(blank)",'Final Calculation Sheet'!$G$40="",IF($C$4="(nonblank)",'Final Calculation Sheet'!$G$40&lt;&gt;"",ISNUMBER(SEARCH($C$4,'Final Calculation Sheet'!$G$40))))),IF($D$4="",TRUE(),IF($D$4="(blank)",'Final Calculation Sheet'!$B$40="",IF($D$4="(nonblank)",'Final Calculation Sheet'!$B$40&lt;&gt;"",ISNUMBER(SEARCH($D$4,'Final Calculation Sheet'!$B$40))))),IF($E$4="",TRUE(),IF($E$4="(blank)",'Final Calculation Sheet'!$D$40="",IF($E$4="(nonblank)",'Final Calculation Sheet'!$D$40&lt;&gt;"",ISNUMBER(SEARCH($E$4,'Final Calculation Sheet'!$D$40))))),IF($F$4="",TRUE(),IF($F$4="(blank)",'Final Calculation Sheet'!$A$40="",IF($F$4="(nonblank)",'Final Calculation Sheet'!$A$40&lt;&gt;"",ISNUMBER(SEARCH($F$4,'Final Calculation Sheet'!$A$40))))),IF($G$4="",TRUE(),IF($G$4="(blank)",'Final Calculation Sheet'!$E$40="",IF($G$4="(nonblank)",'Final Calculation Sheet'!$E$40&lt;&gt;"",ISNUMBER(SEARCH($G$4,'Final Calculation Sheet'!$E$40))))),IF($H$4="",TRUE(),IF($H$4="(blank)",'Final Calculation Sheet'!$C$40="",IF($H$4="(nonblank)",'Final Calculation Sheet'!$C$40&lt;&gt;"",ISNUMBER(SEARCH($H$4,'Final Calculation Sheet'!$C$40))))),IF($I$4="",TRUE(),IF($I$4="(blank)",'Final Calculation Sheet'!$H$40="",IF($I$4="(nonblank)",'Final Calculation Sheet'!$H$40&lt;&gt;"",ISNUMBER(SEARCH($I$4,'Final Calculation Sheet'!$H$40))))),IF($J$4="",TRUE(),IF($J$4="(blank)",'Final Calculation Sheet'!$I$40="",IF($J$4="(nonblank)",'Final Calculation Sheet'!$I$40&lt;&gt;"",ISNUMBER(SEARCH($J$4,'Final Calculation Sheet'!$I$40))))),IF($K$4="",TRUE(),IF($K$4="(blank)",'Final Calculation Sheet'!$J$40="",IF($K$4="(nonblank)",'Final Calculation Sheet'!$J$40&lt;&gt;"",ISNUMBER(SEARCH($K$4,'Final Calculation Sheet'!$J$40))))),IF($L$4="",TRUE(),IF($L$4="(blank)",'Final Calculation Sheet'!$K$40="",IF($L$4="(nonblank)",'Final Calculation Sheet'!$K$40&lt;&gt;"",ISNUMBER(SEARCH($L$4,'Final Calculation Sheet'!$K$40))))),IF($M$4="",TRUE(),IF($M$4="(blank)",'Final Calculation Sheet'!$L$40="",IF($M$4="(nonblank)",'Final Calculation Sheet'!$L$40&lt;&gt;"",ISNUMBER(SEARCH($M$4,'Final Calculation Sheet'!$L$40))))),IF($N$4="",TRUE(),IF($N$4="(blank)",'Final Calculation Sheet'!$M$40="",IF($N$4="(nonblank)",'Final Calculation Sheet'!$M$40&lt;&gt;"",ISNUMBER(SEARCH($N$4,'Final Calculation Sheet'!$M$40))))),IF($O$4="",TRUE(),IF($O$4="(blank)",'Final Calculation Sheet'!$N$40="",IF($O$4="(nonblank)",'Final Calculation Sheet'!$N$40&lt;&gt;"",ISNUMBER(SEARCH($O$4,'Final Calculation Sheet'!$N$40))))),IF($P$4="",TRUE(),IF($P$4="(blank)",'Final Calculation Sheet'!$O$40="",IF($P$4="(nonblank)",'Final Calculation Sheet'!$O$40&lt;&gt;"",ISNUMBER(SEARCH($P$4,'Final Calculation Sheet'!$O$40))))),IF($Q$4="",TRUE(),IF($Q$4="(blank)",'Final Calculation Sheet'!$P$40="",IF($Q$4="(nonblank)",'Final Calculation Sheet'!$P$40&lt;&gt;"",ISNUMBER(SEARCH($Q$4,'Final Calculation Sheet'!$P$40))))),IF($R$4="",TRUE(),IF($R$4="(blank)",'Final Calculation Sheet'!$Q$40="",IF($R$4="(nonblank)",'Final Calculation Sheet'!$Q$40&lt;&gt;"",ISNUMBER(SEARCH($R$4,'Final Calculation Sheet'!$Q$40))))),IF($S$4="",TRUE(),IF($S$4="(blank)",'Final Calculation Sheet'!$R$40="",IF($S$4="(nonblank)",'Final Calculation Sheet'!$R$40&lt;&gt;"",ISNUMBER(SEARCH($S$4,'Final Calculation Sheet'!$R$40))))),IF($T$4="",TRUE(),IF($T$4="(blank)",'Final Calculation Sheet'!$S$40="",IF($T$4="(nonblank)",'Final Calculation Sheet'!$S$40&lt;&gt;"",ISNUMBER(SEARCH($T$4,'Final Calculation Sheet'!$S$40))))),IF($U$4="",TRUE(),IF($U$4="(blank)",'Final Calculation Sheet'!$T$40="",IF($U$4="(nonblank)",'Final Calculation Sheet'!$T$40&lt;&gt;"",ISNUMBER(SEARCH($U$4,'Final Calculation Sheet'!$T$40))))),IF($V$4="",TRUE(),IF($V$4="(blank)",'Final Calculation Sheet'!$U$40="",IF($V$4="(nonblank)",'Final Calculation Sheet'!$U$40&lt;&gt;"",ISNUMBER(SEARCH($V$4,'Final Calculation Sheet'!$U$40))))),IF($W$4="",TRUE(),IF($W$4="(blank)",'Final Calculation Sheet'!$V$40="",IF($W$4="(nonblank)",'Final Calculation Sheet'!$V$40&lt;&gt;"",ISNUMBER(SEARCH($W$4,'Final Calculation Sheet'!$V$40))))),IF($X$4="",TRUE(),IF($X$4="(blank)",'Final Calculation Sheet'!$W$40="",IF($X$4="(nonblank)",'Final Calculation Sheet'!$W$40&lt;&gt;"",ISNUMBER(SEARCH($X$4,'Final Calculation Sheet'!$W$40))))),IF($Y$4="",TRUE(),IF($Y$4="(blank)",'Final Calculation Sheet'!$X$40="",IF($Y$4="(nonblank)",'Final Calculation Sheet'!$X$40&lt;&gt;"",ISNUMBER(SEARCH($Y$4,'Final Calculation Sheet'!$X$40))))),IF($Z$4="",TRUE(),IF($Z$4="(blank)",'Final Calculation Sheet'!$Y$40="",IF($Z$4="(nonblank)",'Final Calculation Sheet'!$Y$40&lt;&gt;"",ISNUMBER(SEARCH($Z$4,'Final Calculation Sheet'!$Y$40))))),IF($AA$4="",TRUE(),IF($AA$4="(blank)",'Final Calculation Sheet'!$Z$40="",IF($AA$4="(nonblank)",'Final Calculation Sheet'!$Z$40&lt;&gt;"",ISNUMBER(SEARCH($AA$4,'Final Calculation Sheet'!$Z$40))))),IF($AB$4="",TRUE(),IF($AB$4="(blank)",'Final Calculation Sheet'!$AA$40="",IF($AB$4="(nonblank)",'Final Calculation Sheet'!$AA$40&lt;&gt;"",ISNUMBER(SEARCH($AB$4,'Final Calculation Sheet'!$AA$40))))),IF($AC$4="",TRUE(),IF($AC$4="(blank)",'Final Calculation Sheet'!$AB$40="",IF($AC$4="(nonblank)",'Final Calculation Sheet'!$AB$40&lt;&gt;"",ISNUMBER(SEARCH($AC$4,'Final Calculation Sheet'!$AB$40))))),IF($AD$4="",TRUE(),IF($AD$4="(blank)",'Final Calculation Sheet'!$AC$40="",IF($AD$4="(nonblank)",'Final Calculation Sheet'!$AC$40&lt;&gt;"",ISNUMBER(SEARCH($AD$4,'Final Calculation Sheet'!$AC$40))))),IF($AE$4="",TRUE(),IF($AE$4="(blank)",'Final Calculation Sheet'!$AD$40="",IF($AE$4="(nonblank)",'Final Calculation Sheet'!$AD$40&lt;&gt;"",ISNUMBER(SEARCH($AE$4,'Final Calculation Sheet'!$AD$40))))),IF($AG$4="",TRUE(),IF($AG$4="(blank)",'Final Calculation Sheet'!$AF$40="",IF($AG$4="(nonblank)",'Final Calculation Sheet'!$AF$40&lt;&gt;"",ISNUMBER(SEARCH($AG$4,'Final Calculation Sheet'!$AF$40))))),IF($AH$4="",TRUE(),IF($AH$4="(blank)",'Final Calculation Sheet'!$AG$40="",IF($AH$4="(nonblank)",'Final Calculation Sheet'!$AG$40&lt;&gt;"",ISNUMBER(SEARCH($AH$4,'Final Calculation Sheet'!$AG$40))))),IF($AI$4="",TRUE(),IF($AI$4="(blank)",'Final Calculation Sheet'!$AH$40="",IF($AI$4="(nonblank)",'Final Calculation Sheet'!$AH$40&lt;&gt;"",ISNUMBER(SEARCH($AI$4,'Final Calculation Sheet'!$AH$40))))),IF($AF$4="",TRUE(),IF($AF$4="(blank)",IF('Final Calculation Sheet'!$AD$40&lt;=5,"SETTLED","OUTSTANDING")="",IF($AF$4="(nonblank)",IF('Final Calculation Sheet'!$AD$40&lt;=5,"SETTLED","OUTSTANDING")&lt;&gt;"",ISNUMBER(SEARCH($AF$4,IF('Final Calculation Sheet'!$AD$40&lt;=5,"SETTLED","OUTSTANDING"))))))),1,0)</f>
      </c>
      <c r="AK38">
        <f>IF(AJ38=1,COUNTIF(AJ$7:AJ38,1),"")</f>
        <v/>
      </c>
    </row>
    <row r="39" ht="15" customHeight="1" s="137">
      <c r="A39" s="81" t="inlineStr">
        <is>
          <t>∑</t>
        </is>
      </c>
      <c r="B39" s="83" t="n"/>
      <c r="C39" s="83">
        <f>ROWS($C$37:$C$38)&amp;" lot(s)"</f>
        <v/>
      </c>
      <c r="D39" s="83" t="inlineStr">
        <is>
          <t>SUBTOTAL — S M ENTERPRISES</t>
        </is>
      </c>
      <c r="E39" s="83" t="inlineStr">
        <is>
          <t>–</t>
        </is>
      </c>
      <c r="F39" s="83">
        <f>SUM(F37:F38)</f>
        <v/>
      </c>
      <c r="G39" s="83" t="inlineStr">
        <is>
          <t>–</t>
        </is>
      </c>
      <c r="H39" s="84" t="inlineStr">
        <is>
          <t>–</t>
        </is>
      </c>
      <c r="I39" s="84">
        <f>SUM(I37:I38)</f>
        <v/>
      </c>
      <c r="J39" s="84">
        <f>SUM(J37:J38)</f>
        <v/>
      </c>
      <c r="K39" s="84">
        <f>SUM(K37:K38)</f>
        <v/>
      </c>
      <c r="L39" s="84">
        <f>SUM(L37:L38)</f>
        <v/>
      </c>
      <c r="M39" s="84">
        <f>SUM(M37:M38)</f>
        <v/>
      </c>
      <c r="N39" s="84">
        <f>SUM(N37:N38)</f>
        <v/>
      </c>
      <c r="O39" s="85">
        <f>SUM(O37:O38)</f>
        <v/>
      </c>
      <c r="P39" s="84">
        <f>SUM(P37:P38)</f>
        <v/>
      </c>
      <c r="Q39" s="84">
        <f>SUM(Q37:Q38)</f>
        <v/>
      </c>
      <c r="R39" s="86" t="inlineStr">
        <is>
          <t>–</t>
        </is>
      </c>
      <c r="S39" s="84">
        <f>SUM(S37:S38)</f>
        <v/>
      </c>
      <c r="T39" s="84">
        <f>SUM(T37:T38)</f>
        <v/>
      </c>
      <c r="U39" s="84">
        <f>SUM(U37:U38)</f>
        <v/>
      </c>
      <c r="V39" s="87">
        <f>SUM(V37:V38)</f>
        <v/>
      </c>
      <c r="W39" s="84" t="inlineStr">
        <is>
          <t>–</t>
        </is>
      </c>
      <c r="X39" s="84">
        <f>SUM(X37:X38)</f>
        <v/>
      </c>
      <c r="Y39" s="84">
        <f>SUM(Y37:Y38)</f>
        <v/>
      </c>
      <c r="Z39" s="84" t="inlineStr">
        <is>
          <t>–</t>
        </is>
      </c>
      <c r="AA39" s="84">
        <f>SUM(AA37:AA38)</f>
        <v/>
      </c>
      <c r="AB39" s="84">
        <f>SUM(AB37:AB38)</f>
        <v/>
      </c>
      <c r="AC39" s="84" t="inlineStr">
        <is>
          <t>–</t>
        </is>
      </c>
      <c r="AD39" s="84">
        <f>SUM(AD37:AD38)</f>
        <v/>
      </c>
      <c r="AE39" s="84">
        <f>SUM(AE37:AE38)</f>
        <v/>
      </c>
      <c r="AF39" s="89">
        <f>IF(AE39&lt;=5,"SETTLED","OUTSTANDING")</f>
        <v/>
      </c>
      <c r="AG39" s="84" t="inlineStr">
        <is>
          <t>–</t>
        </is>
      </c>
      <c r="AH39" s="88" t="inlineStr">
        <is>
          <t>–</t>
        </is>
      </c>
      <c r="AI39" s="84" t="inlineStr">
        <is>
          <t>–</t>
        </is>
      </c>
    </row>
    <row r="40" outlineLevel="1" ht="15" customHeight="1" s="137">
      <c r="A40" s="67" t="n">
        <v>1</v>
      </c>
      <c r="B40" s="76">
        <f>IF('Final Calculation Sheet'!$F$31="","",'Final Calculation Sheet'!$F$31)</f>
        <v/>
      </c>
      <c r="C40" s="76">
        <f>IF('Final Calculation Sheet'!$G$31="","",'Final Calculation Sheet'!$G$31)</f>
        <v/>
      </c>
      <c r="D40" s="80">
        <f>IF('Final Calculation Sheet'!$B$31="","",'Final Calculation Sheet'!$B$31)</f>
        <v/>
      </c>
      <c r="E40" s="80">
        <f>IF('Final Calculation Sheet'!$D$31="","",'Final Calculation Sheet'!$D$31)</f>
        <v/>
      </c>
      <c r="F40" s="80">
        <f>IF('Final Calculation Sheet'!$A$31="","",'Final Calculation Sheet'!$A$31)</f>
        <v/>
      </c>
      <c r="G40" s="80">
        <f>IF('Final Calculation Sheet'!$E$31="","",'Final Calculation Sheet'!$E$31)</f>
        <v/>
      </c>
      <c r="H40" s="70">
        <f>IF('Final Calculation Sheet'!$C$31="","",'Final Calculation Sheet'!$C$31)</f>
        <v/>
      </c>
      <c r="I40" s="70">
        <f>IF('Final Calculation Sheet'!$H$31="","",'Final Calculation Sheet'!$H$31)</f>
        <v/>
      </c>
      <c r="J40" s="70">
        <f>IF('Final Calculation Sheet'!$I$31="","",'Final Calculation Sheet'!$I$31)</f>
        <v/>
      </c>
      <c r="K40" s="70">
        <f>IF('Final Calculation Sheet'!$J$31="","",'Final Calculation Sheet'!$J$31)</f>
        <v/>
      </c>
      <c r="L40" s="70">
        <f>IF('Final Calculation Sheet'!$K$31="","",'Final Calculation Sheet'!$K$31)</f>
        <v/>
      </c>
      <c r="M40" s="70">
        <f>IF('Final Calculation Sheet'!$L$31="","",'Final Calculation Sheet'!$L$31)</f>
        <v/>
      </c>
      <c r="N40" s="70">
        <f>IF('Final Calculation Sheet'!$M$31="","",'Final Calculation Sheet'!$M$31)</f>
        <v/>
      </c>
      <c r="O40" s="71">
        <f>IF('Final Calculation Sheet'!$N$31="","",'Final Calculation Sheet'!$N$31)</f>
        <v/>
      </c>
      <c r="P40" s="70">
        <f>IF('Final Calculation Sheet'!$O$31="","",'Final Calculation Sheet'!$O$31)</f>
        <v/>
      </c>
      <c r="Q40" s="70">
        <f>IF('Final Calculation Sheet'!$P$31="","",'Final Calculation Sheet'!$P$31)</f>
        <v/>
      </c>
      <c r="R40" s="72">
        <f>IF('Final Calculation Sheet'!$Q$31="","",'Final Calculation Sheet'!$Q$31)</f>
        <v/>
      </c>
      <c r="S40" s="70">
        <f>IF('Final Calculation Sheet'!$R$31="","",'Final Calculation Sheet'!$R$31)</f>
        <v/>
      </c>
      <c r="T40" s="70">
        <f>IF('Final Calculation Sheet'!$S$31="","",'Final Calculation Sheet'!$S$31)</f>
        <v/>
      </c>
      <c r="U40" s="70">
        <f>IF('Final Calculation Sheet'!$T$31="","",'Final Calculation Sheet'!$T$31)</f>
        <v/>
      </c>
      <c r="V40" s="73">
        <f>IF('Final Calculation Sheet'!$U$31="","",'Final Calculation Sheet'!$U$31)</f>
        <v/>
      </c>
      <c r="W40" s="70">
        <f>IF('Final Calculation Sheet'!$V$31="","",'Final Calculation Sheet'!$V$31)</f>
        <v/>
      </c>
      <c r="X40" s="70">
        <f>IF('Final Calculation Sheet'!$W$31="","",'Final Calculation Sheet'!$W$31)</f>
        <v/>
      </c>
      <c r="Y40" s="70">
        <f>IF('Final Calculation Sheet'!$X$31="","",'Final Calculation Sheet'!$X$31)</f>
        <v/>
      </c>
      <c r="Z40" s="70">
        <f>IF('Final Calculation Sheet'!$Y$31="","",'Final Calculation Sheet'!$Y$31)</f>
        <v/>
      </c>
      <c r="AA40" s="70">
        <f>IF('Final Calculation Sheet'!$Z$31="","",'Final Calculation Sheet'!$Z$31)</f>
        <v/>
      </c>
      <c r="AB40" s="70">
        <f>IF('Final Calculation Sheet'!$AA$31="","",'Final Calculation Sheet'!$AA$31)</f>
        <v/>
      </c>
      <c r="AC40" s="70">
        <f>IF('Final Calculation Sheet'!$AB$31="","",'Final Calculation Sheet'!$AB$31)</f>
        <v/>
      </c>
      <c r="AD40" s="70">
        <f>IF('Final Calculation Sheet'!$AC$31="","",'Final Calculation Sheet'!$AC$31)</f>
        <v/>
      </c>
      <c r="AE40" s="70">
        <f>IF('Final Calculation Sheet'!$AD$31="","",'Final Calculation Sheet'!$AD$31)</f>
        <v/>
      </c>
      <c r="AF40" s="75">
        <f>IF('Final Calculation Sheet'!$AD$31="","",IF('Final Calculation Sheet'!$AD$31&lt;=5,"SETTLED","OUTSTANDING"))</f>
        <v/>
      </c>
      <c r="AG40" s="70">
        <f>IF('Final Calculation Sheet'!$AF$31="","",'Final Calculation Sheet'!$AF$31)</f>
        <v/>
      </c>
      <c r="AH40" s="74">
        <f>IF('Final Calculation Sheet'!$AG$31="","",'Final Calculation Sheet'!$AG$31)</f>
        <v/>
      </c>
      <c r="AI40" s="70">
        <f>IF('Final Calculation Sheet'!$AH$31="","",'Final Calculation Sheet'!$AH$31)</f>
        <v/>
      </c>
      <c r="AJ40">
        <f>IF(AND(IF($B$4="",TRUE(),IF($B$4="(blank)",'Final Calculation Sheet'!$F$31="",IF($B$4="(nonblank)",'Final Calculation Sheet'!$F$31&lt;&gt;"",ISNUMBER(SEARCH($B$4,'Final Calculation Sheet'!$F$31))))),IF($C$4="",TRUE(),IF($C$4="(blank)",'Final Calculation Sheet'!$G$31="",IF($C$4="(nonblank)",'Final Calculation Sheet'!$G$31&lt;&gt;"",ISNUMBER(SEARCH($C$4,'Final Calculation Sheet'!$G$31))))),IF($D$4="",TRUE(),IF($D$4="(blank)",'Final Calculation Sheet'!$B$31="",IF($D$4="(nonblank)",'Final Calculation Sheet'!$B$31&lt;&gt;"",ISNUMBER(SEARCH($D$4,'Final Calculation Sheet'!$B$31))))),IF($E$4="",TRUE(),IF($E$4="(blank)",'Final Calculation Sheet'!$D$31="",IF($E$4="(nonblank)",'Final Calculation Sheet'!$D$31&lt;&gt;"",ISNUMBER(SEARCH($E$4,'Final Calculation Sheet'!$D$31))))),IF($F$4="",TRUE(),IF($F$4="(blank)",'Final Calculation Sheet'!$A$31="",IF($F$4="(nonblank)",'Final Calculation Sheet'!$A$31&lt;&gt;"",ISNUMBER(SEARCH($F$4,'Final Calculation Sheet'!$A$31))))),IF($G$4="",TRUE(),IF($G$4="(blank)",'Final Calculation Sheet'!$E$31="",IF($G$4="(nonblank)",'Final Calculation Sheet'!$E$31&lt;&gt;"",ISNUMBER(SEARCH($G$4,'Final Calculation Sheet'!$E$31))))),IF($H$4="",TRUE(),IF($H$4="(blank)",'Final Calculation Sheet'!$C$31="",IF($H$4="(nonblank)",'Final Calculation Sheet'!$C$31&lt;&gt;"",ISNUMBER(SEARCH($H$4,'Final Calculation Sheet'!$C$31))))),IF($I$4="",TRUE(),IF($I$4="(blank)",'Final Calculation Sheet'!$H$31="",IF($I$4="(nonblank)",'Final Calculation Sheet'!$H$31&lt;&gt;"",ISNUMBER(SEARCH($I$4,'Final Calculation Sheet'!$H$31))))),IF($J$4="",TRUE(),IF($J$4="(blank)",'Final Calculation Sheet'!$I$31="",IF($J$4="(nonblank)",'Final Calculation Sheet'!$I$31&lt;&gt;"",ISNUMBER(SEARCH($J$4,'Final Calculation Sheet'!$I$31))))),IF($K$4="",TRUE(),IF($K$4="(blank)",'Final Calculation Sheet'!$J$31="",IF($K$4="(nonblank)",'Final Calculation Sheet'!$J$31&lt;&gt;"",ISNUMBER(SEARCH($K$4,'Final Calculation Sheet'!$J$31))))),IF($L$4="",TRUE(),IF($L$4="(blank)",'Final Calculation Sheet'!$K$31="",IF($L$4="(nonblank)",'Final Calculation Sheet'!$K$31&lt;&gt;"",ISNUMBER(SEARCH($L$4,'Final Calculation Sheet'!$K$31))))),IF($M$4="",TRUE(),IF($M$4="(blank)",'Final Calculation Sheet'!$L$31="",IF($M$4="(nonblank)",'Final Calculation Sheet'!$L$31&lt;&gt;"",ISNUMBER(SEARCH($M$4,'Final Calculation Sheet'!$L$31))))),IF($N$4="",TRUE(),IF($N$4="(blank)",'Final Calculation Sheet'!$M$31="",IF($N$4="(nonblank)",'Final Calculation Sheet'!$M$31&lt;&gt;"",ISNUMBER(SEARCH($N$4,'Final Calculation Sheet'!$M$31))))),IF($O$4="",TRUE(),IF($O$4="(blank)",'Final Calculation Sheet'!$N$31="",IF($O$4="(nonblank)",'Final Calculation Sheet'!$N$31&lt;&gt;"",ISNUMBER(SEARCH($O$4,'Final Calculation Sheet'!$N$31))))),IF($P$4="",TRUE(),IF($P$4="(blank)",'Final Calculation Sheet'!$O$31="",IF($P$4="(nonblank)",'Final Calculation Sheet'!$O$31&lt;&gt;"",ISNUMBER(SEARCH($P$4,'Final Calculation Sheet'!$O$31))))),IF($Q$4="",TRUE(),IF($Q$4="(blank)",'Final Calculation Sheet'!$P$31="",IF($Q$4="(nonblank)",'Final Calculation Sheet'!$P$31&lt;&gt;"",ISNUMBER(SEARCH($Q$4,'Final Calculation Sheet'!$P$31))))),IF($R$4="",TRUE(),IF($R$4="(blank)",'Final Calculation Sheet'!$Q$31="",IF($R$4="(nonblank)",'Final Calculation Sheet'!$Q$31&lt;&gt;"",ISNUMBER(SEARCH($R$4,'Final Calculation Sheet'!$Q$31))))),IF($S$4="",TRUE(),IF($S$4="(blank)",'Final Calculation Sheet'!$R$31="",IF($S$4="(nonblank)",'Final Calculation Sheet'!$R$31&lt;&gt;"",ISNUMBER(SEARCH($S$4,'Final Calculation Sheet'!$R$31))))),IF($T$4="",TRUE(),IF($T$4="(blank)",'Final Calculation Sheet'!$S$31="",IF($T$4="(nonblank)",'Final Calculation Sheet'!$S$31&lt;&gt;"",ISNUMBER(SEARCH($T$4,'Final Calculation Sheet'!$S$31))))),IF($U$4="",TRUE(),IF($U$4="(blank)",'Final Calculation Sheet'!$T$31="",IF($U$4="(nonblank)",'Final Calculation Sheet'!$T$31&lt;&gt;"",ISNUMBER(SEARCH($U$4,'Final Calculation Sheet'!$T$31))))),IF($V$4="",TRUE(),IF($V$4="(blank)",'Final Calculation Sheet'!$U$31="",IF($V$4="(nonblank)",'Final Calculation Sheet'!$U$31&lt;&gt;"",ISNUMBER(SEARCH($V$4,'Final Calculation Sheet'!$U$31))))),IF($W$4="",TRUE(),IF($W$4="(blank)",'Final Calculation Sheet'!$V$31="",IF($W$4="(nonblank)",'Final Calculation Sheet'!$V$31&lt;&gt;"",ISNUMBER(SEARCH($W$4,'Final Calculation Sheet'!$V$31))))),IF($X$4="",TRUE(),IF($X$4="(blank)",'Final Calculation Sheet'!$W$31="",IF($X$4="(nonblank)",'Final Calculation Sheet'!$W$31&lt;&gt;"",ISNUMBER(SEARCH($X$4,'Final Calculation Sheet'!$W$31))))),IF($Y$4="",TRUE(),IF($Y$4="(blank)",'Final Calculation Sheet'!$X$31="",IF($Y$4="(nonblank)",'Final Calculation Sheet'!$X$31&lt;&gt;"",ISNUMBER(SEARCH($Y$4,'Final Calculation Sheet'!$X$31))))),IF($Z$4="",TRUE(),IF($Z$4="(blank)",'Final Calculation Sheet'!$Y$31="",IF($Z$4="(nonblank)",'Final Calculation Sheet'!$Y$31&lt;&gt;"",ISNUMBER(SEARCH($Z$4,'Final Calculation Sheet'!$Y$31))))),IF($AA$4="",TRUE(),IF($AA$4="(blank)",'Final Calculation Sheet'!$Z$31="",IF($AA$4="(nonblank)",'Final Calculation Sheet'!$Z$31&lt;&gt;"",ISNUMBER(SEARCH($AA$4,'Final Calculation Sheet'!$Z$31))))),IF($AB$4="",TRUE(),IF($AB$4="(blank)",'Final Calculation Sheet'!$AA$31="",IF($AB$4="(nonblank)",'Final Calculation Sheet'!$AA$31&lt;&gt;"",ISNUMBER(SEARCH($AB$4,'Final Calculation Sheet'!$AA$31))))),IF($AC$4="",TRUE(),IF($AC$4="(blank)",'Final Calculation Sheet'!$AB$31="",IF($AC$4="(nonblank)",'Final Calculation Sheet'!$AB$31&lt;&gt;"",ISNUMBER(SEARCH($AC$4,'Final Calculation Sheet'!$AB$31))))),IF($AD$4="",TRUE(),IF($AD$4="(blank)",'Final Calculation Sheet'!$AC$31="",IF($AD$4="(nonblank)",'Final Calculation Sheet'!$AC$31&lt;&gt;"",ISNUMBER(SEARCH($AD$4,'Final Calculation Sheet'!$AC$31))))),IF($AE$4="",TRUE(),IF($AE$4="(blank)",'Final Calculation Sheet'!$AD$31="",IF($AE$4="(nonblank)",'Final Calculation Sheet'!$AD$31&lt;&gt;"",ISNUMBER(SEARCH($AE$4,'Final Calculation Sheet'!$AD$31))))),IF($AG$4="",TRUE(),IF($AG$4="(blank)",'Final Calculation Sheet'!$AF$31="",IF($AG$4="(nonblank)",'Final Calculation Sheet'!$AF$31&lt;&gt;"",ISNUMBER(SEARCH($AG$4,'Final Calculation Sheet'!$AF$31))))),IF($AH$4="",TRUE(),IF($AH$4="(blank)",'Final Calculation Sheet'!$AG$31="",IF($AH$4="(nonblank)",'Final Calculation Sheet'!$AG$31&lt;&gt;"",ISNUMBER(SEARCH($AH$4,'Final Calculation Sheet'!$AG$31))))),IF($AI$4="",TRUE(),IF($AI$4="(blank)",'Final Calculation Sheet'!$AH$31="",IF($AI$4="(nonblank)",'Final Calculation Sheet'!$AH$31&lt;&gt;"",ISNUMBER(SEARCH($AI$4,'Final Calculation Sheet'!$AH$31))))),IF($AF$4="",TRUE(),IF($AF$4="(blank)",IF('Final Calculation Sheet'!$AD$31&lt;=5,"SETTLED","OUTSTANDING")="",IF($AF$4="(nonblank)",IF('Final Calculation Sheet'!$AD$31&lt;=5,"SETTLED","OUTSTANDING")&lt;&gt;"",ISNUMBER(SEARCH($AF$4,IF('Final Calculation Sheet'!$AD$31&lt;=5,"SETTLED","OUTSTANDING"))))))),1,0)</f>
      </c>
      <c r="AK40">
        <f>IF(AJ40=1,COUNTIF(AJ$7:AJ40,1),"")</f>
        <v/>
      </c>
    </row>
    <row r="41" ht="15" customHeight="1" s="137">
      <c r="A41" s="81" t="inlineStr">
        <is>
          <t>∑</t>
        </is>
      </c>
      <c r="B41" s="83" t="n"/>
      <c r="C41" s="83">
        <f>ROWS($C$40:$C$40)&amp;" lot(s)"</f>
        <v/>
      </c>
      <c r="D41" s="83" t="inlineStr">
        <is>
          <t>SUBTOTAL — SAHARA ENTERPRISES</t>
        </is>
      </c>
      <c r="E41" s="83" t="inlineStr">
        <is>
          <t>–</t>
        </is>
      </c>
      <c r="F41" s="83">
        <f>SUM(F40:F40)</f>
        <v/>
      </c>
      <c r="G41" s="83" t="inlineStr">
        <is>
          <t>–</t>
        </is>
      </c>
      <c r="H41" s="84" t="inlineStr">
        <is>
          <t>–</t>
        </is>
      </c>
      <c r="I41" s="84">
        <f>SUM(I40:I40)</f>
        <v/>
      </c>
      <c r="J41" s="84">
        <f>SUM(J40:J40)</f>
        <v/>
      </c>
      <c r="K41" s="84">
        <f>SUM(K40:K40)</f>
        <v/>
      </c>
      <c r="L41" s="84">
        <f>SUM(L40:L40)</f>
        <v/>
      </c>
      <c r="M41" s="84">
        <f>SUM(M40:M40)</f>
        <v/>
      </c>
      <c r="N41" s="84">
        <f>SUM(N40:N40)</f>
        <v/>
      </c>
      <c r="O41" s="85">
        <f>SUM(O40:O40)</f>
        <v/>
      </c>
      <c r="P41" s="84">
        <f>SUM(P40:P40)</f>
        <v/>
      </c>
      <c r="Q41" s="84">
        <f>SUM(Q40:Q40)</f>
        <v/>
      </c>
      <c r="R41" s="86" t="inlineStr">
        <is>
          <t>–</t>
        </is>
      </c>
      <c r="S41" s="84">
        <f>SUM(S40:S40)</f>
        <v/>
      </c>
      <c r="T41" s="84">
        <f>SUM(T40:T40)</f>
        <v/>
      </c>
      <c r="U41" s="84">
        <f>SUM(U40:U40)</f>
        <v/>
      </c>
      <c r="V41" s="87">
        <f>SUM(V40:V40)</f>
        <v/>
      </c>
      <c r="W41" s="84" t="inlineStr">
        <is>
          <t>–</t>
        </is>
      </c>
      <c r="X41" s="84">
        <f>SUM(X40:X40)</f>
        <v/>
      </c>
      <c r="Y41" s="84">
        <f>SUM(Y40:Y40)</f>
        <v/>
      </c>
      <c r="Z41" s="84" t="inlineStr">
        <is>
          <t>–</t>
        </is>
      </c>
      <c r="AA41" s="84">
        <f>SUM(AA40:AA40)</f>
        <v/>
      </c>
      <c r="AB41" s="84">
        <f>SUM(AB40:AB40)</f>
        <v/>
      </c>
      <c r="AC41" s="84" t="inlineStr">
        <is>
          <t>–</t>
        </is>
      </c>
      <c r="AD41" s="84">
        <f>SUM(AD40:AD40)</f>
        <v/>
      </c>
      <c r="AE41" s="84">
        <f>SUM(AE40:AE40)</f>
        <v/>
      </c>
      <c r="AF41" s="89">
        <f>IF(AE41&lt;=5,"SETTLED","OUTSTANDING")</f>
        <v/>
      </c>
      <c r="AG41" s="84" t="inlineStr">
        <is>
          <t>–</t>
        </is>
      </c>
      <c r="AH41" s="88" t="inlineStr">
        <is>
          <t>–</t>
        </is>
      </c>
      <c r="AI41" s="84" t="inlineStr">
        <is>
          <t>–</t>
        </is>
      </c>
    </row>
    <row r="42" outlineLevel="1" ht="15" customHeight="1" s="137">
      <c r="A42" s="67" t="n">
        <v>1</v>
      </c>
      <c r="B42" s="76">
        <f>IF('Final Calculation Sheet'!$F$9="","",'Final Calculation Sheet'!$F$9)</f>
        <v/>
      </c>
      <c r="C42" s="76">
        <f>IF('Final Calculation Sheet'!$G$9="","",'Final Calculation Sheet'!$G$9)</f>
        <v/>
      </c>
      <c r="D42" s="80">
        <f>IF('Final Calculation Sheet'!$B$9="","",'Final Calculation Sheet'!$B$9)</f>
        <v/>
      </c>
      <c r="E42" s="80">
        <f>IF('Final Calculation Sheet'!$D$9="","",'Final Calculation Sheet'!$D$9)</f>
        <v/>
      </c>
      <c r="F42" s="80">
        <f>IF('Final Calculation Sheet'!$A$9="","",'Final Calculation Sheet'!$A$9)</f>
        <v/>
      </c>
      <c r="G42" s="80">
        <f>IF('Final Calculation Sheet'!$E$9="","",'Final Calculation Sheet'!$E$9)</f>
        <v/>
      </c>
      <c r="H42" s="70">
        <f>IF('Final Calculation Sheet'!$C$9="","",'Final Calculation Sheet'!$C$9)</f>
        <v/>
      </c>
      <c r="I42" s="70">
        <f>IF('Final Calculation Sheet'!$H$9="","",'Final Calculation Sheet'!$H$9)</f>
        <v/>
      </c>
      <c r="J42" s="70">
        <f>IF('Final Calculation Sheet'!$I$9="","",'Final Calculation Sheet'!$I$9)</f>
        <v/>
      </c>
      <c r="K42" s="70">
        <f>IF('Final Calculation Sheet'!$J$9="","",'Final Calculation Sheet'!$J$9)</f>
        <v/>
      </c>
      <c r="L42" s="70">
        <f>IF('Final Calculation Sheet'!$K$9="","",'Final Calculation Sheet'!$K$9)</f>
        <v/>
      </c>
      <c r="M42" s="70">
        <f>IF('Final Calculation Sheet'!$L$9="","",'Final Calculation Sheet'!$L$9)</f>
        <v/>
      </c>
      <c r="N42" s="70">
        <f>IF('Final Calculation Sheet'!$M$9="","",'Final Calculation Sheet'!$M$9)</f>
        <v/>
      </c>
      <c r="O42" s="71">
        <f>IF('Final Calculation Sheet'!$N$9="","",'Final Calculation Sheet'!$N$9)</f>
        <v/>
      </c>
      <c r="P42" s="70">
        <f>IF('Final Calculation Sheet'!$O$9="","",'Final Calculation Sheet'!$O$9)</f>
        <v/>
      </c>
      <c r="Q42" s="70">
        <f>IF('Final Calculation Sheet'!$P$9="","",'Final Calculation Sheet'!$P$9)</f>
        <v/>
      </c>
      <c r="R42" s="72">
        <f>IF('Final Calculation Sheet'!$Q$9="","",'Final Calculation Sheet'!$Q$9)</f>
        <v/>
      </c>
      <c r="S42" s="70">
        <f>IF('Final Calculation Sheet'!$R$9="","",'Final Calculation Sheet'!$R$9)</f>
        <v/>
      </c>
      <c r="T42" s="70">
        <f>IF('Final Calculation Sheet'!$S$9="","",'Final Calculation Sheet'!$S$9)</f>
        <v/>
      </c>
      <c r="U42" s="70">
        <f>IF('Final Calculation Sheet'!$T$9="","",'Final Calculation Sheet'!$T$9)</f>
        <v/>
      </c>
      <c r="V42" s="73">
        <f>IF('Final Calculation Sheet'!$U$9="","",'Final Calculation Sheet'!$U$9)</f>
        <v/>
      </c>
      <c r="W42" s="70">
        <f>IF('Final Calculation Sheet'!$V$9="","",'Final Calculation Sheet'!$V$9)</f>
        <v/>
      </c>
      <c r="X42" s="70">
        <f>IF('Final Calculation Sheet'!$W$9="","",'Final Calculation Sheet'!$W$9)</f>
        <v/>
      </c>
      <c r="Y42" s="70">
        <f>IF('Final Calculation Sheet'!$X$9="","",'Final Calculation Sheet'!$X$9)</f>
        <v/>
      </c>
      <c r="Z42" s="70">
        <f>IF('Final Calculation Sheet'!$Y$9="","",'Final Calculation Sheet'!$Y$9)</f>
        <v/>
      </c>
      <c r="AA42" s="70">
        <f>IF('Final Calculation Sheet'!$Z$9="","",'Final Calculation Sheet'!$Z$9)</f>
        <v/>
      </c>
      <c r="AB42" s="70">
        <f>IF('Final Calculation Sheet'!$AA$9="","",'Final Calculation Sheet'!$AA$9)</f>
        <v/>
      </c>
      <c r="AC42" s="70">
        <f>IF('Final Calculation Sheet'!$AB$9="","",'Final Calculation Sheet'!$AB$9)</f>
        <v/>
      </c>
      <c r="AD42" s="70">
        <f>IF('Final Calculation Sheet'!$AC$9="","",'Final Calculation Sheet'!$AC$9)</f>
        <v/>
      </c>
      <c r="AE42" s="70">
        <f>IF('Final Calculation Sheet'!$AD$9="","",'Final Calculation Sheet'!$AD$9)</f>
        <v/>
      </c>
      <c r="AF42" s="75">
        <f>IF('Final Calculation Sheet'!$AD$9="","",IF('Final Calculation Sheet'!$AD$9&lt;=5,"SETTLED","OUTSTANDING"))</f>
        <v/>
      </c>
      <c r="AG42" s="70">
        <f>IF('Final Calculation Sheet'!$AF$9="","",'Final Calculation Sheet'!$AF$9)</f>
        <v/>
      </c>
      <c r="AH42" s="74">
        <f>IF('Final Calculation Sheet'!$AG$9="","",'Final Calculation Sheet'!$AG$9)</f>
        <v/>
      </c>
      <c r="AI42" s="70">
        <f>IF('Final Calculation Sheet'!$AH$9="","",'Final Calculation Sheet'!$AH$9)</f>
        <v/>
      </c>
      <c r="AJ42">
        <f>IF(AND(IF($B$4="",TRUE(),IF($B$4="(blank)",'Final Calculation Sheet'!$F$9="",IF($B$4="(nonblank)",'Final Calculation Sheet'!$F$9&lt;&gt;"",ISNUMBER(SEARCH($B$4,'Final Calculation Sheet'!$F$9))))),IF($C$4="",TRUE(),IF($C$4="(blank)",'Final Calculation Sheet'!$G$9="",IF($C$4="(nonblank)",'Final Calculation Sheet'!$G$9&lt;&gt;"",ISNUMBER(SEARCH($C$4,'Final Calculation Sheet'!$G$9))))),IF($D$4="",TRUE(),IF($D$4="(blank)",'Final Calculation Sheet'!$B$9="",IF($D$4="(nonblank)",'Final Calculation Sheet'!$B$9&lt;&gt;"",ISNUMBER(SEARCH($D$4,'Final Calculation Sheet'!$B$9))))),IF($E$4="",TRUE(),IF($E$4="(blank)",'Final Calculation Sheet'!$D$9="",IF($E$4="(nonblank)",'Final Calculation Sheet'!$D$9&lt;&gt;"",ISNUMBER(SEARCH($E$4,'Final Calculation Sheet'!$D$9))))),IF($F$4="",TRUE(),IF($F$4="(blank)",'Final Calculation Sheet'!$A$9="",IF($F$4="(nonblank)",'Final Calculation Sheet'!$A$9&lt;&gt;"",ISNUMBER(SEARCH($F$4,'Final Calculation Sheet'!$A$9))))),IF($G$4="",TRUE(),IF($G$4="(blank)",'Final Calculation Sheet'!$E$9="",IF($G$4="(nonblank)",'Final Calculation Sheet'!$E$9&lt;&gt;"",ISNUMBER(SEARCH($G$4,'Final Calculation Sheet'!$E$9))))),IF($H$4="",TRUE(),IF($H$4="(blank)",'Final Calculation Sheet'!$C$9="",IF($H$4="(nonblank)",'Final Calculation Sheet'!$C$9&lt;&gt;"",ISNUMBER(SEARCH($H$4,'Final Calculation Sheet'!$C$9))))),IF($I$4="",TRUE(),IF($I$4="(blank)",'Final Calculation Sheet'!$H$9="",IF($I$4="(nonblank)",'Final Calculation Sheet'!$H$9&lt;&gt;"",ISNUMBER(SEARCH($I$4,'Final Calculation Sheet'!$H$9))))),IF($J$4="",TRUE(),IF($J$4="(blank)",'Final Calculation Sheet'!$I$9="",IF($J$4="(nonblank)",'Final Calculation Sheet'!$I$9&lt;&gt;"",ISNUMBER(SEARCH($J$4,'Final Calculation Sheet'!$I$9))))),IF($K$4="",TRUE(),IF($K$4="(blank)",'Final Calculation Sheet'!$J$9="",IF($K$4="(nonblank)",'Final Calculation Sheet'!$J$9&lt;&gt;"",ISNUMBER(SEARCH($K$4,'Final Calculation Sheet'!$J$9))))),IF($L$4="",TRUE(),IF($L$4="(blank)",'Final Calculation Sheet'!$K$9="",IF($L$4="(nonblank)",'Final Calculation Sheet'!$K$9&lt;&gt;"",ISNUMBER(SEARCH($L$4,'Final Calculation Sheet'!$K$9))))),IF($M$4="",TRUE(),IF($M$4="(blank)",'Final Calculation Sheet'!$L$9="",IF($M$4="(nonblank)",'Final Calculation Sheet'!$L$9&lt;&gt;"",ISNUMBER(SEARCH($M$4,'Final Calculation Sheet'!$L$9))))),IF($N$4="",TRUE(),IF($N$4="(blank)",'Final Calculation Sheet'!$M$9="",IF($N$4="(nonblank)",'Final Calculation Sheet'!$M$9&lt;&gt;"",ISNUMBER(SEARCH($N$4,'Final Calculation Sheet'!$M$9))))),IF($O$4="",TRUE(),IF($O$4="(blank)",'Final Calculation Sheet'!$N$9="",IF($O$4="(nonblank)",'Final Calculation Sheet'!$N$9&lt;&gt;"",ISNUMBER(SEARCH($O$4,'Final Calculation Sheet'!$N$9))))),IF($P$4="",TRUE(),IF($P$4="(blank)",'Final Calculation Sheet'!$O$9="",IF($P$4="(nonblank)",'Final Calculation Sheet'!$O$9&lt;&gt;"",ISNUMBER(SEARCH($P$4,'Final Calculation Sheet'!$O$9))))),IF($Q$4="",TRUE(),IF($Q$4="(blank)",'Final Calculation Sheet'!$P$9="",IF($Q$4="(nonblank)",'Final Calculation Sheet'!$P$9&lt;&gt;"",ISNUMBER(SEARCH($Q$4,'Final Calculation Sheet'!$P$9))))),IF($R$4="",TRUE(),IF($R$4="(blank)",'Final Calculation Sheet'!$Q$9="",IF($R$4="(nonblank)",'Final Calculation Sheet'!$Q$9&lt;&gt;"",ISNUMBER(SEARCH($R$4,'Final Calculation Sheet'!$Q$9))))),IF($S$4="",TRUE(),IF($S$4="(blank)",'Final Calculation Sheet'!$R$9="",IF($S$4="(nonblank)",'Final Calculation Sheet'!$R$9&lt;&gt;"",ISNUMBER(SEARCH($S$4,'Final Calculation Sheet'!$R$9))))),IF($T$4="",TRUE(),IF($T$4="(blank)",'Final Calculation Sheet'!$S$9="",IF($T$4="(nonblank)",'Final Calculation Sheet'!$S$9&lt;&gt;"",ISNUMBER(SEARCH($T$4,'Final Calculation Sheet'!$S$9))))),IF($U$4="",TRUE(),IF($U$4="(blank)",'Final Calculation Sheet'!$T$9="",IF($U$4="(nonblank)",'Final Calculation Sheet'!$T$9&lt;&gt;"",ISNUMBER(SEARCH($U$4,'Final Calculation Sheet'!$T$9))))),IF($V$4="",TRUE(),IF($V$4="(blank)",'Final Calculation Sheet'!$U$9="",IF($V$4="(nonblank)",'Final Calculation Sheet'!$U$9&lt;&gt;"",ISNUMBER(SEARCH($V$4,'Final Calculation Sheet'!$U$9))))),IF($W$4="",TRUE(),IF($W$4="(blank)",'Final Calculation Sheet'!$V$9="",IF($W$4="(nonblank)",'Final Calculation Sheet'!$V$9&lt;&gt;"",ISNUMBER(SEARCH($W$4,'Final Calculation Sheet'!$V$9))))),IF($X$4="",TRUE(),IF($X$4="(blank)",'Final Calculation Sheet'!$W$9="",IF($X$4="(nonblank)",'Final Calculation Sheet'!$W$9&lt;&gt;"",ISNUMBER(SEARCH($X$4,'Final Calculation Sheet'!$W$9))))),IF($Y$4="",TRUE(),IF($Y$4="(blank)",'Final Calculation Sheet'!$X$9="",IF($Y$4="(nonblank)",'Final Calculation Sheet'!$X$9&lt;&gt;"",ISNUMBER(SEARCH($Y$4,'Final Calculation Sheet'!$X$9))))),IF($Z$4="",TRUE(),IF($Z$4="(blank)",'Final Calculation Sheet'!$Y$9="",IF($Z$4="(nonblank)",'Final Calculation Sheet'!$Y$9&lt;&gt;"",ISNUMBER(SEARCH($Z$4,'Final Calculation Sheet'!$Y$9))))),IF($AA$4="",TRUE(),IF($AA$4="(blank)",'Final Calculation Sheet'!$Z$9="",IF($AA$4="(nonblank)",'Final Calculation Sheet'!$Z$9&lt;&gt;"",ISNUMBER(SEARCH($AA$4,'Final Calculation Sheet'!$Z$9))))),IF($AB$4="",TRUE(),IF($AB$4="(blank)",'Final Calculation Sheet'!$AA$9="",IF($AB$4="(nonblank)",'Final Calculation Sheet'!$AA$9&lt;&gt;"",ISNUMBER(SEARCH($AB$4,'Final Calculation Sheet'!$AA$9))))),IF($AC$4="",TRUE(),IF($AC$4="(blank)",'Final Calculation Sheet'!$AB$9="",IF($AC$4="(nonblank)",'Final Calculation Sheet'!$AB$9&lt;&gt;"",ISNUMBER(SEARCH($AC$4,'Final Calculation Sheet'!$AB$9))))),IF($AD$4="",TRUE(),IF($AD$4="(blank)",'Final Calculation Sheet'!$AC$9="",IF($AD$4="(nonblank)",'Final Calculation Sheet'!$AC$9&lt;&gt;"",ISNUMBER(SEARCH($AD$4,'Final Calculation Sheet'!$AC$9))))),IF($AE$4="",TRUE(),IF($AE$4="(blank)",'Final Calculation Sheet'!$AD$9="",IF($AE$4="(nonblank)",'Final Calculation Sheet'!$AD$9&lt;&gt;"",ISNUMBER(SEARCH($AE$4,'Final Calculation Sheet'!$AD$9))))),IF($AG$4="",TRUE(),IF($AG$4="(blank)",'Final Calculation Sheet'!$AF$9="",IF($AG$4="(nonblank)",'Final Calculation Sheet'!$AF$9&lt;&gt;"",ISNUMBER(SEARCH($AG$4,'Final Calculation Sheet'!$AF$9))))),IF($AH$4="",TRUE(),IF($AH$4="(blank)",'Final Calculation Sheet'!$AG$9="",IF($AH$4="(nonblank)",'Final Calculation Sheet'!$AG$9&lt;&gt;"",ISNUMBER(SEARCH($AH$4,'Final Calculation Sheet'!$AG$9))))),IF($AI$4="",TRUE(),IF($AI$4="(blank)",'Final Calculation Sheet'!$AH$9="",IF($AI$4="(nonblank)",'Final Calculation Sheet'!$AH$9&lt;&gt;"",ISNUMBER(SEARCH($AI$4,'Final Calculation Sheet'!$AH$9))))),IF($AF$4="",TRUE(),IF($AF$4="(blank)",IF('Final Calculation Sheet'!$AD$9&lt;=5,"SETTLED","OUTSTANDING")="",IF($AF$4="(nonblank)",IF('Final Calculation Sheet'!$AD$9&lt;=5,"SETTLED","OUTSTANDING")&lt;&gt;"",ISNUMBER(SEARCH($AF$4,IF('Final Calculation Sheet'!$AD$9&lt;=5,"SETTLED","OUTSTANDING"))))))),1,0)</f>
      </c>
      <c r="AK42">
        <f>IF(AJ42=1,COUNTIF(AJ$7:AJ42,1),"")</f>
        <v/>
      </c>
    </row>
    <row r="43" outlineLevel="1" ht="15" customHeight="1" s="137">
      <c r="A43" s="90" t="n">
        <v>2</v>
      </c>
      <c r="B43" s="92">
        <f>IF('Final Calculation Sheet'!$F$14="","",'Final Calculation Sheet'!$F$14)</f>
        <v/>
      </c>
      <c r="C43" s="92">
        <f>IF('Final Calculation Sheet'!$G$14="","",'Final Calculation Sheet'!$G$14)</f>
        <v/>
      </c>
      <c r="D43" s="94">
        <f>IF('Final Calculation Sheet'!$B$14="","",'Final Calculation Sheet'!$B$14)</f>
        <v/>
      </c>
      <c r="E43" s="94">
        <f>IF('Final Calculation Sheet'!$D$14="","",'Final Calculation Sheet'!$D$14)</f>
        <v/>
      </c>
      <c r="F43" s="94">
        <f>IF('Final Calculation Sheet'!$A$14="","",'Final Calculation Sheet'!$A$14)</f>
        <v/>
      </c>
      <c r="G43" s="94">
        <f>IF('Final Calculation Sheet'!$E$14="","",'Final Calculation Sheet'!$E$14)</f>
        <v/>
      </c>
      <c r="H43" s="95">
        <f>IF('Final Calculation Sheet'!$C$14="","",'Final Calculation Sheet'!$C$14)</f>
        <v/>
      </c>
      <c r="I43" s="95">
        <f>IF('Final Calculation Sheet'!$H$14="","",'Final Calculation Sheet'!$H$14)</f>
        <v/>
      </c>
      <c r="J43" s="95">
        <f>IF('Final Calculation Sheet'!$I$14="","",'Final Calculation Sheet'!$I$14)</f>
        <v/>
      </c>
      <c r="K43" s="95">
        <f>IF('Final Calculation Sheet'!$J$14="","",'Final Calculation Sheet'!$J$14)</f>
        <v/>
      </c>
      <c r="L43" s="95">
        <f>IF('Final Calculation Sheet'!$K$14="","",'Final Calculation Sheet'!$K$14)</f>
        <v/>
      </c>
      <c r="M43" s="95">
        <f>IF('Final Calculation Sheet'!$L$14="","",'Final Calculation Sheet'!$L$14)</f>
        <v/>
      </c>
      <c r="N43" s="95">
        <f>IF('Final Calculation Sheet'!$M$14="","",'Final Calculation Sheet'!$M$14)</f>
        <v/>
      </c>
      <c r="O43" s="96">
        <f>IF('Final Calculation Sheet'!$N$14="","",'Final Calculation Sheet'!$N$14)</f>
        <v/>
      </c>
      <c r="P43" s="95">
        <f>IF('Final Calculation Sheet'!$O$14="","",'Final Calculation Sheet'!$O$14)</f>
        <v/>
      </c>
      <c r="Q43" s="95">
        <f>IF('Final Calculation Sheet'!$P$14="","",'Final Calculation Sheet'!$P$14)</f>
        <v/>
      </c>
      <c r="R43" s="97">
        <f>IF('Final Calculation Sheet'!$Q$14="","",'Final Calculation Sheet'!$Q$14)</f>
        <v/>
      </c>
      <c r="S43" s="95">
        <f>IF('Final Calculation Sheet'!$R$14="","",'Final Calculation Sheet'!$R$14)</f>
        <v/>
      </c>
      <c r="T43" s="95">
        <f>IF('Final Calculation Sheet'!$S$14="","",'Final Calculation Sheet'!$S$14)</f>
        <v/>
      </c>
      <c r="U43" s="95">
        <f>IF('Final Calculation Sheet'!$T$14="","",'Final Calculation Sheet'!$T$14)</f>
        <v/>
      </c>
      <c r="V43" s="98">
        <f>IF('Final Calculation Sheet'!$U$14="","",'Final Calculation Sheet'!$U$14)</f>
        <v/>
      </c>
      <c r="W43" s="95">
        <f>IF('Final Calculation Sheet'!$V$14="","",'Final Calculation Sheet'!$V$14)</f>
        <v/>
      </c>
      <c r="X43" s="95">
        <f>IF('Final Calculation Sheet'!$W$14="","",'Final Calculation Sheet'!$W$14)</f>
        <v/>
      </c>
      <c r="Y43" s="95">
        <f>IF('Final Calculation Sheet'!$X$14="","",'Final Calculation Sheet'!$X$14)</f>
        <v/>
      </c>
      <c r="Z43" s="95">
        <f>IF('Final Calculation Sheet'!$Y$14="","",'Final Calculation Sheet'!$Y$14)</f>
        <v/>
      </c>
      <c r="AA43" s="95">
        <f>IF('Final Calculation Sheet'!$Z$14="","",'Final Calculation Sheet'!$Z$14)</f>
        <v/>
      </c>
      <c r="AB43" s="95">
        <f>IF('Final Calculation Sheet'!$AA$14="","",'Final Calculation Sheet'!$AA$14)</f>
        <v/>
      </c>
      <c r="AC43" s="95">
        <f>IF('Final Calculation Sheet'!$AB$14="","",'Final Calculation Sheet'!$AB$14)</f>
        <v/>
      </c>
      <c r="AD43" s="95">
        <f>IF('Final Calculation Sheet'!$AC$14="","",'Final Calculation Sheet'!$AC$14)</f>
        <v/>
      </c>
      <c r="AE43" s="95">
        <f>IF('Final Calculation Sheet'!$AD$14="","",'Final Calculation Sheet'!$AD$14)</f>
        <v/>
      </c>
      <c r="AF43" s="100">
        <f>IF('Final Calculation Sheet'!$AD$14="","",IF('Final Calculation Sheet'!$AD$14&lt;=5,"SETTLED","OUTSTANDING"))</f>
        <v/>
      </c>
      <c r="AG43" s="95">
        <f>IF('Final Calculation Sheet'!$AF$14="","",'Final Calculation Sheet'!$AF$14)</f>
        <v/>
      </c>
      <c r="AH43" s="99">
        <f>IF('Final Calculation Sheet'!$AG$14="","",'Final Calculation Sheet'!$AG$14)</f>
        <v/>
      </c>
      <c r="AI43" s="95">
        <f>IF('Final Calculation Sheet'!$AH$14="","",'Final Calculation Sheet'!$AH$14)</f>
        <v/>
      </c>
      <c r="AJ43">
        <f>IF(AND(IF($B$4="",TRUE(),IF($B$4="(blank)",'Final Calculation Sheet'!$F$14="",IF($B$4="(nonblank)",'Final Calculation Sheet'!$F$14&lt;&gt;"",ISNUMBER(SEARCH($B$4,'Final Calculation Sheet'!$F$14))))),IF($C$4="",TRUE(),IF($C$4="(blank)",'Final Calculation Sheet'!$G$14="",IF($C$4="(nonblank)",'Final Calculation Sheet'!$G$14&lt;&gt;"",ISNUMBER(SEARCH($C$4,'Final Calculation Sheet'!$G$14))))),IF($D$4="",TRUE(),IF($D$4="(blank)",'Final Calculation Sheet'!$B$14="",IF($D$4="(nonblank)",'Final Calculation Sheet'!$B$14&lt;&gt;"",ISNUMBER(SEARCH($D$4,'Final Calculation Sheet'!$B$14))))),IF($E$4="",TRUE(),IF($E$4="(blank)",'Final Calculation Sheet'!$D$14="",IF($E$4="(nonblank)",'Final Calculation Sheet'!$D$14&lt;&gt;"",ISNUMBER(SEARCH($E$4,'Final Calculation Sheet'!$D$14))))),IF($F$4="",TRUE(),IF($F$4="(blank)",'Final Calculation Sheet'!$A$14="",IF($F$4="(nonblank)",'Final Calculation Sheet'!$A$14&lt;&gt;"",ISNUMBER(SEARCH($F$4,'Final Calculation Sheet'!$A$14))))),IF($G$4="",TRUE(),IF($G$4="(blank)",'Final Calculation Sheet'!$E$14="",IF($G$4="(nonblank)",'Final Calculation Sheet'!$E$14&lt;&gt;"",ISNUMBER(SEARCH($G$4,'Final Calculation Sheet'!$E$14))))),IF($H$4="",TRUE(),IF($H$4="(blank)",'Final Calculation Sheet'!$C$14="",IF($H$4="(nonblank)",'Final Calculation Sheet'!$C$14&lt;&gt;"",ISNUMBER(SEARCH($H$4,'Final Calculation Sheet'!$C$14))))),IF($I$4="",TRUE(),IF($I$4="(blank)",'Final Calculation Sheet'!$H$14="",IF($I$4="(nonblank)",'Final Calculation Sheet'!$H$14&lt;&gt;"",ISNUMBER(SEARCH($I$4,'Final Calculation Sheet'!$H$14))))),IF($J$4="",TRUE(),IF($J$4="(blank)",'Final Calculation Sheet'!$I$14="",IF($J$4="(nonblank)",'Final Calculation Sheet'!$I$14&lt;&gt;"",ISNUMBER(SEARCH($J$4,'Final Calculation Sheet'!$I$14))))),IF($K$4="",TRUE(),IF($K$4="(blank)",'Final Calculation Sheet'!$J$14="",IF($K$4="(nonblank)",'Final Calculation Sheet'!$J$14&lt;&gt;"",ISNUMBER(SEARCH($K$4,'Final Calculation Sheet'!$J$14))))),IF($L$4="",TRUE(),IF($L$4="(blank)",'Final Calculation Sheet'!$K$14="",IF($L$4="(nonblank)",'Final Calculation Sheet'!$K$14&lt;&gt;"",ISNUMBER(SEARCH($L$4,'Final Calculation Sheet'!$K$14))))),IF($M$4="",TRUE(),IF($M$4="(blank)",'Final Calculation Sheet'!$L$14="",IF($M$4="(nonblank)",'Final Calculation Sheet'!$L$14&lt;&gt;"",ISNUMBER(SEARCH($M$4,'Final Calculation Sheet'!$L$14))))),IF($N$4="",TRUE(),IF($N$4="(blank)",'Final Calculation Sheet'!$M$14="",IF($N$4="(nonblank)",'Final Calculation Sheet'!$M$14&lt;&gt;"",ISNUMBER(SEARCH($N$4,'Final Calculation Sheet'!$M$14))))),IF($O$4="",TRUE(),IF($O$4="(blank)",'Final Calculation Sheet'!$N$14="",IF($O$4="(nonblank)",'Final Calculation Sheet'!$N$14&lt;&gt;"",ISNUMBER(SEARCH($O$4,'Final Calculation Sheet'!$N$14))))),IF($P$4="",TRUE(),IF($P$4="(blank)",'Final Calculation Sheet'!$O$14="",IF($P$4="(nonblank)",'Final Calculation Sheet'!$O$14&lt;&gt;"",ISNUMBER(SEARCH($P$4,'Final Calculation Sheet'!$O$14))))),IF($Q$4="",TRUE(),IF($Q$4="(blank)",'Final Calculation Sheet'!$P$14="",IF($Q$4="(nonblank)",'Final Calculation Sheet'!$P$14&lt;&gt;"",ISNUMBER(SEARCH($Q$4,'Final Calculation Sheet'!$P$14))))),IF($R$4="",TRUE(),IF($R$4="(blank)",'Final Calculation Sheet'!$Q$14="",IF($R$4="(nonblank)",'Final Calculation Sheet'!$Q$14&lt;&gt;"",ISNUMBER(SEARCH($R$4,'Final Calculation Sheet'!$Q$14))))),IF($S$4="",TRUE(),IF($S$4="(blank)",'Final Calculation Sheet'!$R$14="",IF($S$4="(nonblank)",'Final Calculation Sheet'!$R$14&lt;&gt;"",ISNUMBER(SEARCH($S$4,'Final Calculation Sheet'!$R$14))))),IF($T$4="",TRUE(),IF($T$4="(blank)",'Final Calculation Sheet'!$S$14="",IF($T$4="(nonblank)",'Final Calculation Sheet'!$S$14&lt;&gt;"",ISNUMBER(SEARCH($T$4,'Final Calculation Sheet'!$S$14))))),IF($U$4="",TRUE(),IF($U$4="(blank)",'Final Calculation Sheet'!$T$14="",IF($U$4="(nonblank)",'Final Calculation Sheet'!$T$14&lt;&gt;"",ISNUMBER(SEARCH($U$4,'Final Calculation Sheet'!$T$14))))),IF($V$4="",TRUE(),IF($V$4="(blank)",'Final Calculation Sheet'!$U$14="",IF($V$4="(nonblank)",'Final Calculation Sheet'!$U$14&lt;&gt;"",ISNUMBER(SEARCH($V$4,'Final Calculation Sheet'!$U$14))))),IF($W$4="",TRUE(),IF($W$4="(blank)",'Final Calculation Sheet'!$V$14="",IF($W$4="(nonblank)",'Final Calculation Sheet'!$V$14&lt;&gt;"",ISNUMBER(SEARCH($W$4,'Final Calculation Sheet'!$V$14))))),IF($X$4="",TRUE(),IF($X$4="(blank)",'Final Calculation Sheet'!$W$14="",IF($X$4="(nonblank)",'Final Calculation Sheet'!$W$14&lt;&gt;"",ISNUMBER(SEARCH($X$4,'Final Calculation Sheet'!$W$14))))),IF($Y$4="",TRUE(),IF($Y$4="(blank)",'Final Calculation Sheet'!$X$14="",IF($Y$4="(nonblank)",'Final Calculation Sheet'!$X$14&lt;&gt;"",ISNUMBER(SEARCH($Y$4,'Final Calculation Sheet'!$X$14))))),IF($Z$4="",TRUE(),IF($Z$4="(blank)",'Final Calculation Sheet'!$Y$14="",IF($Z$4="(nonblank)",'Final Calculation Sheet'!$Y$14&lt;&gt;"",ISNUMBER(SEARCH($Z$4,'Final Calculation Sheet'!$Y$14))))),IF($AA$4="",TRUE(),IF($AA$4="(blank)",'Final Calculation Sheet'!$Z$14="",IF($AA$4="(nonblank)",'Final Calculation Sheet'!$Z$14&lt;&gt;"",ISNUMBER(SEARCH($AA$4,'Final Calculation Sheet'!$Z$14))))),IF($AB$4="",TRUE(),IF($AB$4="(blank)",'Final Calculation Sheet'!$AA$14="",IF($AB$4="(nonblank)",'Final Calculation Sheet'!$AA$14&lt;&gt;"",ISNUMBER(SEARCH($AB$4,'Final Calculation Sheet'!$AA$14))))),IF($AC$4="",TRUE(),IF($AC$4="(blank)",'Final Calculation Sheet'!$AB$14="",IF($AC$4="(nonblank)",'Final Calculation Sheet'!$AB$14&lt;&gt;"",ISNUMBER(SEARCH($AC$4,'Final Calculation Sheet'!$AB$14))))),IF($AD$4="",TRUE(),IF($AD$4="(blank)",'Final Calculation Sheet'!$AC$14="",IF($AD$4="(nonblank)",'Final Calculation Sheet'!$AC$14&lt;&gt;"",ISNUMBER(SEARCH($AD$4,'Final Calculation Sheet'!$AC$14))))),IF($AE$4="",TRUE(),IF($AE$4="(blank)",'Final Calculation Sheet'!$AD$14="",IF($AE$4="(nonblank)",'Final Calculation Sheet'!$AD$14&lt;&gt;"",ISNUMBER(SEARCH($AE$4,'Final Calculation Sheet'!$AD$14))))),IF($AG$4="",TRUE(),IF($AG$4="(blank)",'Final Calculation Sheet'!$AF$14="",IF($AG$4="(nonblank)",'Final Calculation Sheet'!$AF$14&lt;&gt;"",ISNUMBER(SEARCH($AG$4,'Final Calculation Sheet'!$AF$14))))),IF($AH$4="",TRUE(),IF($AH$4="(blank)",'Final Calculation Sheet'!$AG$14="",IF($AH$4="(nonblank)",'Final Calculation Sheet'!$AG$14&lt;&gt;"",ISNUMBER(SEARCH($AH$4,'Final Calculation Sheet'!$AG$14))))),IF($AI$4="",TRUE(),IF($AI$4="(blank)",'Final Calculation Sheet'!$AH$14="",IF($AI$4="(nonblank)",'Final Calculation Sheet'!$AH$14&lt;&gt;"",ISNUMBER(SEARCH($AI$4,'Final Calculation Sheet'!$AH$14))))),IF($AF$4="",TRUE(),IF($AF$4="(blank)",IF('Final Calculation Sheet'!$AD$14&lt;=5,"SETTLED","OUTSTANDING")="",IF($AF$4="(nonblank)",IF('Final Calculation Sheet'!$AD$14&lt;=5,"SETTLED","OUTSTANDING")&lt;&gt;"",ISNUMBER(SEARCH($AF$4,IF('Final Calculation Sheet'!$AD$14&lt;=5,"SETTLED","OUTSTANDING"))))))),1,0)</f>
      </c>
      <c r="AK43">
        <f>IF(AJ43=1,COUNTIF(AJ$7:AJ43,1),"")</f>
        <v/>
      </c>
    </row>
    <row r="44" ht="15" customHeight="1" s="137">
      <c r="A44" s="81" t="inlineStr">
        <is>
          <t>∑</t>
        </is>
      </c>
      <c r="B44" s="83" t="n"/>
      <c r="C44" s="83">
        <f>ROWS($C$42:$C$43)&amp;" lot(s)"</f>
        <v/>
      </c>
      <c r="D44" s="83" t="inlineStr">
        <is>
          <t>SUBTOTAL — SHAR JAHAN TRADERS</t>
        </is>
      </c>
      <c r="E44" s="83" t="inlineStr">
        <is>
          <t>–</t>
        </is>
      </c>
      <c r="F44" s="83">
        <f>SUM(F42:F43)</f>
        <v/>
      </c>
      <c r="G44" s="83" t="inlineStr">
        <is>
          <t>–</t>
        </is>
      </c>
      <c r="H44" s="84" t="inlineStr">
        <is>
          <t>–</t>
        </is>
      </c>
      <c r="I44" s="84">
        <f>SUM(I42:I43)</f>
        <v/>
      </c>
      <c r="J44" s="84">
        <f>SUM(J42:J43)</f>
        <v/>
      </c>
      <c r="K44" s="84">
        <f>SUM(K42:K43)</f>
        <v/>
      </c>
      <c r="L44" s="84">
        <f>SUM(L42:L43)</f>
        <v/>
      </c>
      <c r="M44" s="84">
        <f>SUM(M42:M43)</f>
        <v/>
      </c>
      <c r="N44" s="84">
        <f>SUM(N42:N43)</f>
        <v/>
      </c>
      <c r="O44" s="85">
        <f>SUM(O42:O43)</f>
        <v/>
      </c>
      <c r="P44" s="84">
        <f>SUM(P42:P43)</f>
        <v/>
      </c>
      <c r="Q44" s="84">
        <f>SUM(Q42:Q43)</f>
        <v/>
      </c>
      <c r="R44" s="86" t="inlineStr">
        <is>
          <t>–</t>
        </is>
      </c>
      <c r="S44" s="84">
        <f>SUM(S42:S43)</f>
        <v/>
      </c>
      <c r="T44" s="84">
        <f>SUM(T42:T43)</f>
        <v/>
      </c>
      <c r="U44" s="84">
        <f>SUM(U42:U43)</f>
        <v/>
      </c>
      <c r="V44" s="87">
        <f>SUM(V42:V43)</f>
        <v/>
      </c>
      <c r="W44" s="84" t="inlineStr">
        <is>
          <t>–</t>
        </is>
      </c>
      <c r="X44" s="84">
        <f>SUM(X42:X43)</f>
        <v/>
      </c>
      <c r="Y44" s="84">
        <f>SUM(Y42:Y43)</f>
        <v/>
      </c>
      <c r="Z44" s="84" t="inlineStr">
        <is>
          <t>–</t>
        </is>
      </c>
      <c r="AA44" s="84">
        <f>SUM(AA42:AA43)</f>
        <v/>
      </c>
      <c r="AB44" s="84">
        <f>SUM(AB42:AB43)</f>
        <v/>
      </c>
      <c r="AC44" s="84" t="inlineStr">
        <is>
          <t>–</t>
        </is>
      </c>
      <c r="AD44" s="84">
        <f>SUM(AD42:AD43)</f>
        <v/>
      </c>
      <c r="AE44" s="84">
        <f>SUM(AE42:AE43)</f>
        <v/>
      </c>
      <c r="AF44" s="89">
        <f>IF(AE44&lt;=5,"SETTLED","OUTSTANDING")</f>
        <v/>
      </c>
      <c r="AG44" s="84" t="inlineStr">
        <is>
          <t>–</t>
        </is>
      </c>
      <c r="AH44" s="88" t="inlineStr">
        <is>
          <t>–</t>
        </is>
      </c>
      <c r="AI44" s="84" t="inlineStr">
        <is>
          <t>–</t>
        </is>
      </c>
    </row>
    <row r="45" outlineLevel="1" ht="15" customHeight="1" s="137">
      <c r="A45" s="67" t="n">
        <v>1</v>
      </c>
      <c r="B45" s="76">
        <f>IF('Final Calculation Sheet'!$F$13="","",'Final Calculation Sheet'!$F$13)</f>
        <v/>
      </c>
      <c r="C45" s="76">
        <f>IF('Final Calculation Sheet'!$G$13="","",'Final Calculation Sheet'!$G$13)</f>
        <v/>
      </c>
      <c r="D45" s="80">
        <f>IF('Final Calculation Sheet'!$B$13="","",'Final Calculation Sheet'!$B$13)</f>
        <v/>
      </c>
      <c r="E45" s="80">
        <f>IF('Final Calculation Sheet'!$D$13="","",'Final Calculation Sheet'!$D$13)</f>
        <v/>
      </c>
      <c r="F45" s="80">
        <f>IF('Final Calculation Sheet'!$A$13="","",'Final Calculation Sheet'!$A$13)</f>
        <v/>
      </c>
      <c r="G45" s="80">
        <f>IF('Final Calculation Sheet'!$E$13="","",'Final Calculation Sheet'!$E$13)</f>
        <v/>
      </c>
      <c r="H45" s="70">
        <f>IF('Final Calculation Sheet'!$C$13="","",'Final Calculation Sheet'!$C$13)</f>
        <v/>
      </c>
      <c r="I45" s="70">
        <f>IF('Final Calculation Sheet'!$H$13="","",'Final Calculation Sheet'!$H$13)</f>
        <v/>
      </c>
      <c r="J45" s="70">
        <f>IF('Final Calculation Sheet'!$I$13="","",'Final Calculation Sheet'!$I$13)</f>
        <v/>
      </c>
      <c r="K45" s="70">
        <f>IF('Final Calculation Sheet'!$J$13="","",'Final Calculation Sheet'!$J$13)</f>
        <v/>
      </c>
      <c r="L45" s="70">
        <f>IF('Final Calculation Sheet'!$K$13="","",'Final Calculation Sheet'!$K$13)</f>
        <v/>
      </c>
      <c r="M45" s="70">
        <f>IF('Final Calculation Sheet'!$L$13="","",'Final Calculation Sheet'!$L$13)</f>
        <v/>
      </c>
      <c r="N45" s="70">
        <f>IF('Final Calculation Sheet'!$M$13="","",'Final Calculation Sheet'!$M$13)</f>
        <v/>
      </c>
      <c r="O45" s="71">
        <f>IF('Final Calculation Sheet'!$N$13="","",'Final Calculation Sheet'!$N$13)</f>
        <v/>
      </c>
      <c r="P45" s="70">
        <f>IF('Final Calculation Sheet'!$O$13="","",'Final Calculation Sheet'!$O$13)</f>
        <v/>
      </c>
      <c r="Q45" s="70">
        <f>IF('Final Calculation Sheet'!$P$13="","",'Final Calculation Sheet'!$P$13)</f>
        <v/>
      </c>
      <c r="R45" s="72">
        <f>IF('Final Calculation Sheet'!$Q$13="","",'Final Calculation Sheet'!$Q$13)</f>
        <v/>
      </c>
      <c r="S45" s="70">
        <f>IF('Final Calculation Sheet'!$R$13="","",'Final Calculation Sheet'!$R$13)</f>
        <v/>
      </c>
      <c r="T45" s="70">
        <f>IF('Final Calculation Sheet'!$S$13="","",'Final Calculation Sheet'!$S$13)</f>
        <v/>
      </c>
      <c r="U45" s="70">
        <f>IF('Final Calculation Sheet'!$T$13="","",'Final Calculation Sheet'!$T$13)</f>
        <v/>
      </c>
      <c r="V45" s="73">
        <f>IF('Final Calculation Sheet'!$U$13="","",'Final Calculation Sheet'!$U$13)</f>
        <v/>
      </c>
      <c r="W45" s="70">
        <f>IF('Final Calculation Sheet'!$V$13="","",'Final Calculation Sheet'!$V$13)</f>
        <v/>
      </c>
      <c r="X45" s="70">
        <f>IF('Final Calculation Sheet'!$W$13="","",'Final Calculation Sheet'!$W$13)</f>
        <v/>
      </c>
      <c r="Y45" s="70">
        <f>IF('Final Calculation Sheet'!$X$13="","",'Final Calculation Sheet'!$X$13)</f>
        <v/>
      </c>
      <c r="Z45" s="70">
        <f>IF('Final Calculation Sheet'!$Y$13="","",'Final Calculation Sheet'!$Y$13)</f>
        <v/>
      </c>
      <c r="AA45" s="70">
        <f>IF('Final Calculation Sheet'!$Z$13="","",'Final Calculation Sheet'!$Z$13)</f>
        <v/>
      </c>
      <c r="AB45" s="70">
        <f>IF('Final Calculation Sheet'!$AA$13="","",'Final Calculation Sheet'!$AA$13)</f>
        <v/>
      </c>
      <c r="AC45" s="70">
        <f>IF('Final Calculation Sheet'!$AB$13="","",'Final Calculation Sheet'!$AB$13)</f>
        <v/>
      </c>
      <c r="AD45" s="70">
        <f>IF('Final Calculation Sheet'!$AC$13="","",'Final Calculation Sheet'!$AC$13)</f>
        <v/>
      </c>
      <c r="AE45" s="70">
        <f>IF('Final Calculation Sheet'!$AD$13="","",'Final Calculation Sheet'!$AD$13)</f>
        <v/>
      </c>
      <c r="AF45" s="75">
        <f>IF('Final Calculation Sheet'!$AD$13="","",IF('Final Calculation Sheet'!$AD$13&lt;=5,"SETTLED","OUTSTANDING"))</f>
        <v/>
      </c>
      <c r="AG45" s="70">
        <f>IF('Final Calculation Sheet'!$AF$13="","",'Final Calculation Sheet'!$AF$13)</f>
        <v/>
      </c>
      <c r="AH45" s="74">
        <f>IF('Final Calculation Sheet'!$AG$13="","",'Final Calculation Sheet'!$AG$13)</f>
        <v/>
      </c>
      <c r="AI45" s="70">
        <f>IF('Final Calculation Sheet'!$AH$13="","",'Final Calculation Sheet'!$AH$13)</f>
        <v/>
      </c>
      <c r="AJ45">
        <f>IF(AND(IF($B$4="",TRUE(),IF($B$4="(blank)",'Final Calculation Sheet'!$F$13="",IF($B$4="(nonblank)",'Final Calculation Sheet'!$F$13&lt;&gt;"",ISNUMBER(SEARCH($B$4,'Final Calculation Sheet'!$F$13))))),IF($C$4="",TRUE(),IF($C$4="(blank)",'Final Calculation Sheet'!$G$13="",IF($C$4="(nonblank)",'Final Calculation Sheet'!$G$13&lt;&gt;"",ISNUMBER(SEARCH($C$4,'Final Calculation Sheet'!$G$13))))),IF($D$4="",TRUE(),IF($D$4="(blank)",'Final Calculation Sheet'!$B$13="",IF($D$4="(nonblank)",'Final Calculation Sheet'!$B$13&lt;&gt;"",ISNUMBER(SEARCH($D$4,'Final Calculation Sheet'!$B$13))))),IF($E$4="",TRUE(),IF($E$4="(blank)",'Final Calculation Sheet'!$D$13="",IF($E$4="(nonblank)",'Final Calculation Sheet'!$D$13&lt;&gt;"",ISNUMBER(SEARCH($E$4,'Final Calculation Sheet'!$D$13))))),IF($F$4="",TRUE(),IF($F$4="(blank)",'Final Calculation Sheet'!$A$13="",IF($F$4="(nonblank)",'Final Calculation Sheet'!$A$13&lt;&gt;"",ISNUMBER(SEARCH($F$4,'Final Calculation Sheet'!$A$13))))),IF($G$4="",TRUE(),IF($G$4="(blank)",'Final Calculation Sheet'!$E$13="",IF($G$4="(nonblank)",'Final Calculation Sheet'!$E$13&lt;&gt;"",ISNUMBER(SEARCH($G$4,'Final Calculation Sheet'!$E$13))))),IF($H$4="",TRUE(),IF($H$4="(blank)",'Final Calculation Sheet'!$C$13="",IF($H$4="(nonblank)",'Final Calculation Sheet'!$C$13&lt;&gt;"",ISNUMBER(SEARCH($H$4,'Final Calculation Sheet'!$C$13))))),IF($I$4="",TRUE(),IF($I$4="(blank)",'Final Calculation Sheet'!$H$13="",IF($I$4="(nonblank)",'Final Calculation Sheet'!$H$13&lt;&gt;"",ISNUMBER(SEARCH($I$4,'Final Calculation Sheet'!$H$13))))),IF($J$4="",TRUE(),IF($J$4="(blank)",'Final Calculation Sheet'!$I$13="",IF($J$4="(nonblank)",'Final Calculation Sheet'!$I$13&lt;&gt;"",ISNUMBER(SEARCH($J$4,'Final Calculation Sheet'!$I$13))))),IF($K$4="",TRUE(),IF($K$4="(blank)",'Final Calculation Sheet'!$J$13="",IF($K$4="(nonblank)",'Final Calculation Sheet'!$J$13&lt;&gt;"",ISNUMBER(SEARCH($K$4,'Final Calculation Sheet'!$J$13))))),IF($L$4="",TRUE(),IF($L$4="(blank)",'Final Calculation Sheet'!$K$13="",IF($L$4="(nonblank)",'Final Calculation Sheet'!$K$13&lt;&gt;"",ISNUMBER(SEARCH($L$4,'Final Calculation Sheet'!$K$13))))),IF($M$4="",TRUE(),IF($M$4="(blank)",'Final Calculation Sheet'!$L$13="",IF($M$4="(nonblank)",'Final Calculation Sheet'!$L$13&lt;&gt;"",ISNUMBER(SEARCH($M$4,'Final Calculation Sheet'!$L$13))))),IF($N$4="",TRUE(),IF($N$4="(blank)",'Final Calculation Sheet'!$M$13="",IF($N$4="(nonblank)",'Final Calculation Sheet'!$M$13&lt;&gt;"",ISNUMBER(SEARCH($N$4,'Final Calculation Sheet'!$M$13))))),IF($O$4="",TRUE(),IF($O$4="(blank)",'Final Calculation Sheet'!$N$13="",IF($O$4="(nonblank)",'Final Calculation Sheet'!$N$13&lt;&gt;"",ISNUMBER(SEARCH($O$4,'Final Calculation Sheet'!$N$13))))),IF($P$4="",TRUE(),IF($P$4="(blank)",'Final Calculation Sheet'!$O$13="",IF($P$4="(nonblank)",'Final Calculation Sheet'!$O$13&lt;&gt;"",ISNUMBER(SEARCH($P$4,'Final Calculation Sheet'!$O$13))))),IF($Q$4="",TRUE(),IF($Q$4="(blank)",'Final Calculation Sheet'!$P$13="",IF($Q$4="(nonblank)",'Final Calculation Sheet'!$P$13&lt;&gt;"",ISNUMBER(SEARCH($Q$4,'Final Calculation Sheet'!$P$13))))),IF($R$4="",TRUE(),IF($R$4="(blank)",'Final Calculation Sheet'!$Q$13="",IF($R$4="(nonblank)",'Final Calculation Sheet'!$Q$13&lt;&gt;"",ISNUMBER(SEARCH($R$4,'Final Calculation Sheet'!$Q$13))))),IF($S$4="",TRUE(),IF($S$4="(blank)",'Final Calculation Sheet'!$R$13="",IF($S$4="(nonblank)",'Final Calculation Sheet'!$R$13&lt;&gt;"",ISNUMBER(SEARCH($S$4,'Final Calculation Sheet'!$R$13))))),IF($T$4="",TRUE(),IF($T$4="(blank)",'Final Calculation Sheet'!$S$13="",IF($T$4="(nonblank)",'Final Calculation Sheet'!$S$13&lt;&gt;"",ISNUMBER(SEARCH($T$4,'Final Calculation Sheet'!$S$13))))),IF($U$4="",TRUE(),IF($U$4="(blank)",'Final Calculation Sheet'!$T$13="",IF($U$4="(nonblank)",'Final Calculation Sheet'!$T$13&lt;&gt;"",ISNUMBER(SEARCH($U$4,'Final Calculation Sheet'!$T$13))))),IF($V$4="",TRUE(),IF($V$4="(blank)",'Final Calculation Sheet'!$U$13="",IF($V$4="(nonblank)",'Final Calculation Sheet'!$U$13&lt;&gt;"",ISNUMBER(SEARCH($V$4,'Final Calculation Sheet'!$U$13))))),IF($W$4="",TRUE(),IF($W$4="(blank)",'Final Calculation Sheet'!$V$13="",IF($W$4="(nonblank)",'Final Calculation Sheet'!$V$13&lt;&gt;"",ISNUMBER(SEARCH($W$4,'Final Calculation Sheet'!$V$13))))),IF($X$4="",TRUE(),IF($X$4="(blank)",'Final Calculation Sheet'!$W$13="",IF($X$4="(nonblank)",'Final Calculation Sheet'!$W$13&lt;&gt;"",ISNUMBER(SEARCH($X$4,'Final Calculation Sheet'!$W$13))))),IF($Y$4="",TRUE(),IF($Y$4="(blank)",'Final Calculation Sheet'!$X$13="",IF($Y$4="(nonblank)",'Final Calculation Sheet'!$X$13&lt;&gt;"",ISNUMBER(SEARCH($Y$4,'Final Calculation Sheet'!$X$13))))),IF($Z$4="",TRUE(),IF($Z$4="(blank)",'Final Calculation Sheet'!$Y$13="",IF($Z$4="(nonblank)",'Final Calculation Sheet'!$Y$13&lt;&gt;"",ISNUMBER(SEARCH($Z$4,'Final Calculation Sheet'!$Y$13))))),IF($AA$4="",TRUE(),IF($AA$4="(blank)",'Final Calculation Sheet'!$Z$13="",IF($AA$4="(nonblank)",'Final Calculation Sheet'!$Z$13&lt;&gt;"",ISNUMBER(SEARCH($AA$4,'Final Calculation Sheet'!$Z$13))))),IF($AB$4="",TRUE(),IF($AB$4="(blank)",'Final Calculation Sheet'!$AA$13="",IF($AB$4="(nonblank)",'Final Calculation Sheet'!$AA$13&lt;&gt;"",ISNUMBER(SEARCH($AB$4,'Final Calculation Sheet'!$AA$13))))),IF($AC$4="",TRUE(),IF($AC$4="(blank)",'Final Calculation Sheet'!$AB$13="",IF($AC$4="(nonblank)",'Final Calculation Sheet'!$AB$13&lt;&gt;"",ISNUMBER(SEARCH($AC$4,'Final Calculation Sheet'!$AB$13))))),IF($AD$4="",TRUE(),IF($AD$4="(blank)",'Final Calculation Sheet'!$AC$13="",IF($AD$4="(nonblank)",'Final Calculation Sheet'!$AC$13&lt;&gt;"",ISNUMBER(SEARCH($AD$4,'Final Calculation Sheet'!$AC$13))))),IF($AE$4="",TRUE(),IF($AE$4="(blank)",'Final Calculation Sheet'!$AD$13="",IF($AE$4="(nonblank)",'Final Calculation Sheet'!$AD$13&lt;&gt;"",ISNUMBER(SEARCH($AE$4,'Final Calculation Sheet'!$AD$13))))),IF($AG$4="",TRUE(),IF($AG$4="(blank)",'Final Calculation Sheet'!$AF$13="",IF($AG$4="(nonblank)",'Final Calculation Sheet'!$AF$13&lt;&gt;"",ISNUMBER(SEARCH($AG$4,'Final Calculation Sheet'!$AF$13))))),IF($AH$4="",TRUE(),IF($AH$4="(blank)",'Final Calculation Sheet'!$AG$13="",IF($AH$4="(nonblank)",'Final Calculation Sheet'!$AG$13&lt;&gt;"",ISNUMBER(SEARCH($AH$4,'Final Calculation Sheet'!$AG$13))))),IF($AI$4="",TRUE(),IF($AI$4="(blank)",'Final Calculation Sheet'!$AH$13="",IF($AI$4="(nonblank)",'Final Calculation Sheet'!$AH$13&lt;&gt;"",ISNUMBER(SEARCH($AI$4,'Final Calculation Sheet'!$AH$13))))),IF($AF$4="",TRUE(),IF($AF$4="(blank)",IF('Final Calculation Sheet'!$AD$13&lt;=5,"SETTLED","OUTSTANDING")="",IF($AF$4="(nonblank)",IF('Final Calculation Sheet'!$AD$13&lt;=5,"SETTLED","OUTSTANDING")&lt;&gt;"",ISNUMBER(SEARCH($AF$4,IF('Final Calculation Sheet'!$AD$13&lt;=5,"SETTLED","OUTSTANDING"))))))),1,0)</f>
      </c>
      <c r="AK45">
        <f>IF(AJ45=1,COUNTIF(AJ$7:AJ45,1),"")</f>
        <v/>
      </c>
    </row>
    <row r="46" outlineLevel="1" ht="15" customHeight="1" s="137">
      <c r="A46" s="90" t="n">
        <v>2</v>
      </c>
      <c r="B46" s="92">
        <f>IF('Final Calculation Sheet'!$F$16="","",'Final Calculation Sheet'!$F$16)</f>
        <v/>
      </c>
      <c r="C46" s="92">
        <f>IF('Final Calculation Sheet'!$G$16="","",'Final Calculation Sheet'!$G$16)</f>
        <v/>
      </c>
      <c r="D46" s="94">
        <f>IF('Final Calculation Sheet'!$B$16="","",'Final Calculation Sheet'!$B$16)</f>
        <v/>
      </c>
      <c r="E46" s="94">
        <f>IF('Final Calculation Sheet'!$D$16="","",'Final Calculation Sheet'!$D$16)</f>
        <v/>
      </c>
      <c r="F46" s="94">
        <f>IF('Final Calculation Sheet'!$A$16="","",'Final Calculation Sheet'!$A$16)</f>
        <v/>
      </c>
      <c r="G46" s="94">
        <f>IF('Final Calculation Sheet'!$E$16="","",'Final Calculation Sheet'!$E$16)</f>
        <v/>
      </c>
      <c r="H46" s="95">
        <f>IF('Final Calculation Sheet'!$C$16="","",'Final Calculation Sheet'!$C$16)</f>
        <v/>
      </c>
      <c r="I46" s="95">
        <f>IF('Final Calculation Sheet'!$H$16="","",'Final Calculation Sheet'!$H$16)</f>
        <v/>
      </c>
      <c r="J46" s="95">
        <f>IF('Final Calculation Sheet'!$I$16="","",'Final Calculation Sheet'!$I$16)</f>
        <v/>
      </c>
      <c r="K46" s="95">
        <f>IF('Final Calculation Sheet'!$J$16="","",'Final Calculation Sheet'!$J$16)</f>
        <v/>
      </c>
      <c r="L46" s="95">
        <f>IF('Final Calculation Sheet'!$K$16="","",'Final Calculation Sheet'!$K$16)</f>
        <v/>
      </c>
      <c r="M46" s="95">
        <f>IF('Final Calculation Sheet'!$L$16="","",'Final Calculation Sheet'!$L$16)</f>
        <v/>
      </c>
      <c r="N46" s="95">
        <f>IF('Final Calculation Sheet'!$M$16="","",'Final Calculation Sheet'!$M$16)</f>
        <v/>
      </c>
      <c r="O46" s="96">
        <f>IF('Final Calculation Sheet'!$N$16="","",'Final Calculation Sheet'!$N$16)</f>
        <v/>
      </c>
      <c r="P46" s="95">
        <f>IF('Final Calculation Sheet'!$O$16="","",'Final Calculation Sheet'!$O$16)</f>
        <v/>
      </c>
      <c r="Q46" s="95">
        <f>IF('Final Calculation Sheet'!$P$16="","",'Final Calculation Sheet'!$P$16)</f>
        <v/>
      </c>
      <c r="R46" s="97">
        <f>IF('Final Calculation Sheet'!$Q$16="","",'Final Calculation Sheet'!$Q$16)</f>
        <v/>
      </c>
      <c r="S46" s="95">
        <f>IF('Final Calculation Sheet'!$R$16="","",'Final Calculation Sheet'!$R$16)</f>
        <v/>
      </c>
      <c r="T46" s="95">
        <f>IF('Final Calculation Sheet'!$S$16="","",'Final Calculation Sheet'!$S$16)</f>
        <v/>
      </c>
      <c r="U46" s="95">
        <f>IF('Final Calculation Sheet'!$T$16="","",'Final Calculation Sheet'!$T$16)</f>
        <v/>
      </c>
      <c r="V46" s="98">
        <f>IF('Final Calculation Sheet'!$U$16="","",'Final Calculation Sheet'!$U$16)</f>
        <v/>
      </c>
      <c r="W46" s="95">
        <f>IF('Final Calculation Sheet'!$V$16="","",'Final Calculation Sheet'!$V$16)</f>
        <v/>
      </c>
      <c r="X46" s="95">
        <f>IF('Final Calculation Sheet'!$W$16="","",'Final Calculation Sheet'!$W$16)</f>
        <v/>
      </c>
      <c r="Y46" s="95">
        <f>IF('Final Calculation Sheet'!$X$16="","",'Final Calculation Sheet'!$X$16)</f>
        <v/>
      </c>
      <c r="Z46" s="95">
        <f>IF('Final Calculation Sheet'!$Y$16="","",'Final Calculation Sheet'!$Y$16)</f>
        <v/>
      </c>
      <c r="AA46" s="95">
        <f>IF('Final Calculation Sheet'!$Z$16="","",'Final Calculation Sheet'!$Z$16)</f>
        <v/>
      </c>
      <c r="AB46" s="95">
        <f>IF('Final Calculation Sheet'!$AA$16="","",'Final Calculation Sheet'!$AA$16)</f>
        <v/>
      </c>
      <c r="AC46" s="95">
        <f>IF('Final Calculation Sheet'!$AB$16="","",'Final Calculation Sheet'!$AB$16)</f>
        <v/>
      </c>
      <c r="AD46" s="95">
        <f>IF('Final Calculation Sheet'!$AC$16="","",'Final Calculation Sheet'!$AC$16)</f>
        <v/>
      </c>
      <c r="AE46" s="95">
        <f>IF('Final Calculation Sheet'!$AD$16="","",'Final Calculation Sheet'!$AD$16)</f>
        <v/>
      </c>
      <c r="AF46" s="100">
        <f>IF('Final Calculation Sheet'!$AD$16="","",IF('Final Calculation Sheet'!$AD$16&lt;=5,"SETTLED","OUTSTANDING"))</f>
        <v/>
      </c>
      <c r="AG46" s="95">
        <f>IF('Final Calculation Sheet'!$AF$16="","",'Final Calculation Sheet'!$AF$16)</f>
        <v/>
      </c>
      <c r="AH46" s="99">
        <f>IF('Final Calculation Sheet'!$AG$16="","",'Final Calculation Sheet'!$AG$16)</f>
        <v/>
      </c>
      <c r="AI46" s="95">
        <f>IF('Final Calculation Sheet'!$AH$16="","",'Final Calculation Sheet'!$AH$16)</f>
        <v/>
      </c>
      <c r="AJ46">
        <f>IF(AND(IF($B$4="",TRUE(),IF($B$4="(blank)",'Final Calculation Sheet'!$F$16="",IF($B$4="(nonblank)",'Final Calculation Sheet'!$F$16&lt;&gt;"",ISNUMBER(SEARCH($B$4,'Final Calculation Sheet'!$F$16))))),IF($C$4="",TRUE(),IF($C$4="(blank)",'Final Calculation Sheet'!$G$16="",IF($C$4="(nonblank)",'Final Calculation Sheet'!$G$16&lt;&gt;"",ISNUMBER(SEARCH($C$4,'Final Calculation Sheet'!$G$16))))),IF($D$4="",TRUE(),IF($D$4="(blank)",'Final Calculation Sheet'!$B$16="",IF($D$4="(nonblank)",'Final Calculation Sheet'!$B$16&lt;&gt;"",ISNUMBER(SEARCH($D$4,'Final Calculation Sheet'!$B$16))))),IF($E$4="",TRUE(),IF($E$4="(blank)",'Final Calculation Sheet'!$D$16="",IF($E$4="(nonblank)",'Final Calculation Sheet'!$D$16&lt;&gt;"",ISNUMBER(SEARCH($E$4,'Final Calculation Sheet'!$D$16))))),IF($F$4="",TRUE(),IF($F$4="(blank)",'Final Calculation Sheet'!$A$16="",IF($F$4="(nonblank)",'Final Calculation Sheet'!$A$16&lt;&gt;"",ISNUMBER(SEARCH($F$4,'Final Calculation Sheet'!$A$16))))),IF($G$4="",TRUE(),IF($G$4="(blank)",'Final Calculation Sheet'!$E$16="",IF($G$4="(nonblank)",'Final Calculation Sheet'!$E$16&lt;&gt;"",ISNUMBER(SEARCH($G$4,'Final Calculation Sheet'!$E$16))))),IF($H$4="",TRUE(),IF($H$4="(blank)",'Final Calculation Sheet'!$C$16="",IF($H$4="(nonblank)",'Final Calculation Sheet'!$C$16&lt;&gt;"",ISNUMBER(SEARCH($H$4,'Final Calculation Sheet'!$C$16))))),IF($I$4="",TRUE(),IF($I$4="(blank)",'Final Calculation Sheet'!$H$16="",IF($I$4="(nonblank)",'Final Calculation Sheet'!$H$16&lt;&gt;"",ISNUMBER(SEARCH($I$4,'Final Calculation Sheet'!$H$16))))),IF($J$4="",TRUE(),IF($J$4="(blank)",'Final Calculation Sheet'!$I$16="",IF($J$4="(nonblank)",'Final Calculation Sheet'!$I$16&lt;&gt;"",ISNUMBER(SEARCH($J$4,'Final Calculation Sheet'!$I$16))))),IF($K$4="",TRUE(),IF($K$4="(blank)",'Final Calculation Sheet'!$J$16="",IF($K$4="(nonblank)",'Final Calculation Sheet'!$J$16&lt;&gt;"",ISNUMBER(SEARCH($K$4,'Final Calculation Sheet'!$J$16))))),IF($L$4="",TRUE(),IF($L$4="(blank)",'Final Calculation Sheet'!$K$16="",IF($L$4="(nonblank)",'Final Calculation Sheet'!$K$16&lt;&gt;"",ISNUMBER(SEARCH($L$4,'Final Calculation Sheet'!$K$16))))),IF($M$4="",TRUE(),IF($M$4="(blank)",'Final Calculation Sheet'!$L$16="",IF($M$4="(nonblank)",'Final Calculation Sheet'!$L$16&lt;&gt;"",ISNUMBER(SEARCH($M$4,'Final Calculation Sheet'!$L$16))))),IF($N$4="",TRUE(),IF($N$4="(blank)",'Final Calculation Sheet'!$M$16="",IF($N$4="(nonblank)",'Final Calculation Sheet'!$M$16&lt;&gt;"",ISNUMBER(SEARCH($N$4,'Final Calculation Sheet'!$M$16))))),IF($O$4="",TRUE(),IF($O$4="(blank)",'Final Calculation Sheet'!$N$16="",IF($O$4="(nonblank)",'Final Calculation Sheet'!$N$16&lt;&gt;"",ISNUMBER(SEARCH($O$4,'Final Calculation Sheet'!$N$16))))),IF($P$4="",TRUE(),IF($P$4="(blank)",'Final Calculation Sheet'!$O$16="",IF($P$4="(nonblank)",'Final Calculation Sheet'!$O$16&lt;&gt;"",ISNUMBER(SEARCH($P$4,'Final Calculation Sheet'!$O$16))))),IF($Q$4="",TRUE(),IF($Q$4="(blank)",'Final Calculation Sheet'!$P$16="",IF($Q$4="(nonblank)",'Final Calculation Sheet'!$P$16&lt;&gt;"",ISNUMBER(SEARCH($Q$4,'Final Calculation Sheet'!$P$16))))),IF($R$4="",TRUE(),IF($R$4="(blank)",'Final Calculation Sheet'!$Q$16="",IF($R$4="(nonblank)",'Final Calculation Sheet'!$Q$16&lt;&gt;"",ISNUMBER(SEARCH($R$4,'Final Calculation Sheet'!$Q$16))))),IF($S$4="",TRUE(),IF($S$4="(blank)",'Final Calculation Sheet'!$R$16="",IF($S$4="(nonblank)",'Final Calculation Sheet'!$R$16&lt;&gt;"",ISNUMBER(SEARCH($S$4,'Final Calculation Sheet'!$R$16))))),IF($T$4="",TRUE(),IF($T$4="(blank)",'Final Calculation Sheet'!$S$16="",IF($T$4="(nonblank)",'Final Calculation Sheet'!$S$16&lt;&gt;"",ISNUMBER(SEARCH($T$4,'Final Calculation Sheet'!$S$16))))),IF($U$4="",TRUE(),IF($U$4="(blank)",'Final Calculation Sheet'!$T$16="",IF($U$4="(nonblank)",'Final Calculation Sheet'!$T$16&lt;&gt;"",ISNUMBER(SEARCH($U$4,'Final Calculation Sheet'!$T$16))))),IF($V$4="",TRUE(),IF($V$4="(blank)",'Final Calculation Sheet'!$U$16="",IF($V$4="(nonblank)",'Final Calculation Sheet'!$U$16&lt;&gt;"",ISNUMBER(SEARCH($V$4,'Final Calculation Sheet'!$U$16))))),IF($W$4="",TRUE(),IF($W$4="(blank)",'Final Calculation Sheet'!$V$16="",IF($W$4="(nonblank)",'Final Calculation Sheet'!$V$16&lt;&gt;"",ISNUMBER(SEARCH($W$4,'Final Calculation Sheet'!$V$16))))),IF($X$4="",TRUE(),IF($X$4="(blank)",'Final Calculation Sheet'!$W$16="",IF($X$4="(nonblank)",'Final Calculation Sheet'!$W$16&lt;&gt;"",ISNUMBER(SEARCH($X$4,'Final Calculation Sheet'!$W$16))))),IF($Y$4="",TRUE(),IF($Y$4="(blank)",'Final Calculation Sheet'!$X$16="",IF($Y$4="(nonblank)",'Final Calculation Sheet'!$X$16&lt;&gt;"",ISNUMBER(SEARCH($Y$4,'Final Calculation Sheet'!$X$16))))),IF($Z$4="",TRUE(),IF($Z$4="(blank)",'Final Calculation Sheet'!$Y$16="",IF($Z$4="(nonblank)",'Final Calculation Sheet'!$Y$16&lt;&gt;"",ISNUMBER(SEARCH($Z$4,'Final Calculation Sheet'!$Y$16))))),IF($AA$4="",TRUE(),IF($AA$4="(blank)",'Final Calculation Sheet'!$Z$16="",IF($AA$4="(nonblank)",'Final Calculation Sheet'!$Z$16&lt;&gt;"",ISNUMBER(SEARCH($AA$4,'Final Calculation Sheet'!$Z$16))))),IF($AB$4="",TRUE(),IF($AB$4="(blank)",'Final Calculation Sheet'!$AA$16="",IF($AB$4="(nonblank)",'Final Calculation Sheet'!$AA$16&lt;&gt;"",ISNUMBER(SEARCH($AB$4,'Final Calculation Sheet'!$AA$16))))),IF($AC$4="",TRUE(),IF($AC$4="(blank)",'Final Calculation Sheet'!$AB$16="",IF($AC$4="(nonblank)",'Final Calculation Sheet'!$AB$16&lt;&gt;"",ISNUMBER(SEARCH($AC$4,'Final Calculation Sheet'!$AB$16))))),IF($AD$4="",TRUE(),IF($AD$4="(blank)",'Final Calculation Sheet'!$AC$16="",IF($AD$4="(nonblank)",'Final Calculation Sheet'!$AC$16&lt;&gt;"",ISNUMBER(SEARCH($AD$4,'Final Calculation Sheet'!$AC$16))))),IF($AE$4="",TRUE(),IF($AE$4="(blank)",'Final Calculation Sheet'!$AD$16="",IF($AE$4="(nonblank)",'Final Calculation Sheet'!$AD$16&lt;&gt;"",ISNUMBER(SEARCH($AE$4,'Final Calculation Sheet'!$AD$16))))),IF($AG$4="",TRUE(),IF($AG$4="(blank)",'Final Calculation Sheet'!$AF$16="",IF($AG$4="(nonblank)",'Final Calculation Sheet'!$AF$16&lt;&gt;"",ISNUMBER(SEARCH($AG$4,'Final Calculation Sheet'!$AF$16))))),IF($AH$4="",TRUE(),IF($AH$4="(blank)",'Final Calculation Sheet'!$AG$16="",IF($AH$4="(nonblank)",'Final Calculation Sheet'!$AG$16&lt;&gt;"",ISNUMBER(SEARCH($AH$4,'Final Calculation Sheet'!$AG$16))))),IF($AI$4="",TRUE(),IF($AI$4="(blank)",'Final Calculation Sheet'!$AH$16="",IF($AI$4="(nonblank)",'Final Calculation Sheet'!$AH$16&lt;&gt;"",ISNUMBER(SEARCH($AI$4,'Final Calculation Sheet'!$AH$16))))),IF($AF$4="",TRUE(),IF($AF$4="(blank)",IF('Final Calculation Sheet'!$AD$16&lt;=5,"SETTLED","OUTSTANDING")="",IF($AF$4="(nonblank)",IF('Final Calculation Sheet'!$AD$16&lt;=5,"SETTLED","OUTSTANDING")&lt;&gt;"",ISNUMBER(SEARCH($AF$4,IF('Final Calculation Sheet'!$AD$16&lt;=5,"SETTLED","OUTSTANDING"))))))),1,0)</f>
      </c>
      <c r="AK46">
        <f>IF(AJ46=1,COUNTIF(AJ$7:AJ46,1),"")</f>
        <v/>
      </c>
    </row>
    <row r="47" outlineLevel="1" ht="15" customHeight="1" s="137">
      <c r="A47" s="67" t="n">
        <v>3</v>
      </c>
      <c r="B47" s="76">
        <f>IF('Final Calculation Sheet'!$F$17="","",'Final Calculation Sheet'!$F$17)</f>
        <v/>
      </c>
      <c r="C47" s="76">
        <f>IF('Final Calculation Sheet'!$G$17="","",'Final Calculation Sheet'!$G$17)</f>
        <v/>
      </c>
      <c r="D47" s="80">
        <f>IF('Final Calculation Sheet'!$B$17="","",'Final Calculation Sheet'!$B$17)</f>
        <v/>
      </c>
      <c r="E47" s="80">
        <f>IF('Final Calculation Sheet'!$D$17="","",'Final Calculation Sheet'!$D$17)</f>
        <v/>
      </c>
      <c r="F47" s="80">
        <f>IF('Final Calculation Sheet'!$A$17="","",'Final Calculation Sheet'!$A$17)</f>
        <v/>
      </c>
      <c r="G47" s="80">
        <f>IF('Final Calculation Sheet'!$E$17="","",'Final Calculation Sheet'!$E$17)</f>
        <v/>
      </c>
      <c r="H47" s="70">
        <f>IF('Final Calculation Sheet'!$C$17="","",'Final Calculation Sheet'!$C$17)</f>
        <v/>
      </c>
      <c r="I47" s="70">
        <f>IF('Final Calculation Sheet'!$H$17="","",'Final Calculation Sheet'!$H$17)</f>
        <v/>
      </c>
      <c r="J47" s="70">
        <f>IF('Final Calculation Sheet'!$I$17="","",'Final Calculation Sheet'!$I$17)</f>
        <v/>
      </c>
      <c r="K47" s="70">
        <f>IF('Final Calculation Sheet'!$J$17="","",'Final Calculation Sheet'!$J$17)</f>
        <v/>
      </c>
      <c r="L47" s="70">
        <f>IF('Final Calculation Sheet'!$K$17="","",'Final Calculation Sheet'!$K$17)</f>
        <v/>
      </c>
      <c r="M47" s="70">
        <f>IF('Final Calculation Sheet'!$L$17="","",'Final Calculation Sheet'!$L$17)</f>
        <v/>
      </c>
      <c r="N47" s="70">
        <f>IF('Final Calculation Sheet'!$M$17="","",'Final Calculation Sheet'!$M$17)</f>
        <v/>
      </c>
      <c r="O47" s="71">
        <f>IF('Final Calculation Sheet'!$N$17="","",'Final Calculation Sheet'!$N$17)</f>
        <v/>
      </c>
      <c r="P47" s="70">
        <f>IF('Final Calculation Sheet'!$O$17="","",'Final Calculation Sheet'!$O$17)</f>
        <v/>
      </c>
      <c r="Q47" s="70">
        <f>IF('Final Calculation Sheet'!$P$17="","",'Final Calculation Sheet'!$P$17)</f>
        <v/>
      </c>
      <c r="R47" s="72">
        <f>IF('Final Calculation Sheet'!$Q$17="","",'Final Calculation Sheet'!$Q$17)</f>
        <v/>
      </c>
      <c r="S47" s="70">
        <f>IF('Final Calculation Sheet'!$R$17="","",'Final Calculation Sheet'!$R$17)</f>
        <v/>
      </c>
      <c r="T47" s="70">
        <f>IF('Final Calculation Sheet'!$S$17="","",'Final Calculation Sheet'!$S$17)</f>
        <v/>
      </c>
      <c r="U47" s="70">
        <f>IF('Final Calculation Sheet'!$T$17="","",'Final Calculation Sheet'!$T$17)</f>
        <v/>
      </c>
      <c r="V47" s="73">
        <f>IF('Final Calculation Sheet'!$U$17="","",'Final Calculation Sheet'!$U$17)</f>
        <v/>
      </c>
      <c r="W47" s="70">
        <f>IF('Final Calculation Sheet'!$V$17="","",'Final Calculation Sheet'!$V$17)</f>
        <v/>
      </c>
      <c r="X47" s="70">
        <f>IF('Final Calculation Sheet'!$W$17="","",'Final Calculation Sheet'!$W$17)</f>
        <v/>
      </c>
      <c r="Y47" s="70">
        <f>IF('Final Calculation Sheet'!$X$17="","",'Final Calculation Sheet'!$X$17)</f>
        <v/>
      </c>
      <c r="Z47" s="70">
        <f>IF('Final Calculation Sheet'!$Y$17="","",'Final Calculation Sheet'!$Y$17)</f>
        <v/>
      </c>
      <c r="AA47" s="70">
        <f>IF('Final Calculation Sheet'!$Z$17="","",'Final Calculation Sheet'!$Z$17)</f>
        <v/>
      </c>
      <c r="AB47" s="70">
        <f>IF('Final Calculation Sheet'!$AA$17="","",'Final Calculation Sheet'!$AA$17)</f>
        <v/>
      </c>
      <c r="AC47" s="70">
        <f>IF('Final Calculation Sheet'!$AB$17="","",'Final Calculation Sheet'!$AB$17)</f>
        <v/>
      </c>
      <c r="AD47" s="70">
        <f>IF('Final Calculation Sheet'!$AC$17="","",'Final Calculation Sheet'!$AC$17)</f>
        <v/>
      </c>
      <c r="AE47" s="70">
        <f>IF('Final Calculation Sheet'!$AD$17="","",'Final Calculation Sheet'!$AD$17)</f>
        <v/>
      </c>
      <c r="AF47" s="75">
        <f>IF('Final Calculation Sheet'!$AD$17="","",IF('Final Calculation Sheet'!$AD$17&lt;=5,"SETTLED","OUTSTANDING"))</f>
        <v/>
      </c>
      <c r="AG47" s="70">
        <f>IF('Final Calculation Sheet'!$AF$17="","",'Final Calculation Sheet'!$AF$17)</f>
        <v/>
      </c>
      <c r="AH47" s="74">
        <f>IF('Final Calculation Sheet'!$AG$17="","",'Final Calculation Sheet'!$AG$17)</f>
        <v/>
      </c>
      <c r="AI47" s="70">
        <f>IF('Final Calculation Sheet'!$AH$17="","",'Final Calculation Sheet'!$AH$17)</f>
        <v/>
      </c>
      <c r="AJ47">
        <f>IF(AND(IF($B$4="",TRUE(),IF($B$4="(blank)",'Final Calculation Sheet'!$F$17="",IF($B$4="(nonblank)",'Final Calculation Sheet'!$F$17&lt;&gt;"",ISNUMBER(SEARCH($B$4,'Final Calculation Sheet'!$F$17))))),IF($C$4="",TRUE(),IF($C$4="(blank)",'Final Calculation Sheet'!$G$17="",IF($C$4="(nonblank)",'Final Calculation Sheet'!$G$17&lt;&gt;"",ISNUMBER(SEARCH($C$4,'Final Calculation Sheet'!$G$17))))),IF($D$4="",TRUE(),IF($D$4="(blank)",'Final Calculation Sheet'!$B$17="",IF($D$4="(nonblank)",'Final Calculation Sheet'!$B$17&lt;&gt;"",ISNUMBER(SEARCH($D$4,'Final Calculation Sheet'!$B$17))))),IF($E$4="",TRUE(),IF($E$4="(blank)",'Final Calculation Sheet'!$D$17="",IF($E$4="(nonblank)",'Final Calculation Sheet'!$D$17&lt;&gt;"",ISNUMBER(SEARCH($E$4,'Final Calculation Sheet'!$D$17))))),IF($F$4="",TRUE(),IF($F$4="(blank)",'Final Calculation Sheet'!$A$17="",IF($F$4="(nonblank)",'Final Calculation Sheet'!$A$17&lt;&gt;"",ISNUMBER(SEARCH($F$4,'Final Calculation Sheet'!$A$17))))),IF($G$4="",TRUE(),IF($G$4="(blank)",'Final Calculation Sheet'!$E$17="",IF($G$4="(nonblank)",'Final Calculation Sheet'!$E$17&lt;&gt;"",ISNUMBER(SEARCH($G$4,'Final Calculation Sheet'!$E$17))))),IF($H$4="",TRUE(),IF($H$4="(blank)",'Final Calculation Sheet'!$C$17="",IF($H$4="(nonblank)",'Final Calculation Sheet'!$C$17&lt;&gt;"",ISNUMBER(SEARCH($H$4,'Final Calculation Sheet'!$C$17))))),IF($I$4="",TRUE(),IF($I$4="(blank)",'Final Calculation Sheet'!$H$17="",IF($I$4="(nonblank)",'Final Calculation Sheet'!$H$17&lt;&gt;"",ISNUMBER(SEARCH($I$4,'Final Calculation Sheet'!$H$17))))),IF($J$4="",TRUE(),IF($J$4="(blank)",'Final Calculation Sheet'!$I$17="",IF($J$4="(nonblank)",'Final Calculation Sheet'!$I$17&lt;&gt;"",ISNUMBER(SEARCH($J$4,'Final Calculation Sheet'!$I$17))))),IF($K$4="",TRUE(),IF($K$4="(blank)",'Final Calculation Sheet'!$J$17="",IF($K$4="(nonblank)",'Final Calculation Sheet'!$J$17&lt;&gt;"",ISNUMBER(SEARCH($K$4,'Final Calculation Sheet'!$J$17))))),IF($L$4="",TRUE(),IF($L$4="(blank)",'Final Calculation Sheet'!$K$17="",IF($L$4="(nonblank)",'Final Calculation Sheet'!$K$17&lt;&gt;"",ISNUMBER(SEARCH($L$4,'Final Calculation Sheet'!$K$17))))),IF($M$4="",TRUE(),IF($M$4="(blank)",'Final Calculation Sheet'!$L$17="",IF($M$4="(nonblank)",'Final Calculation Sheet'!$L$17&lt;&gt;"",ISNUMBER(SEARCH($M$4,'Final Calculation Sheet'!$L$17))))),IF($N$4="",TRUE(),IF($N$4="(blank)",'Final Calculation Sheet'!$M$17="",IF($N$4="(nonblank)",'Final Calculation Sheet'!$M$17&lt;&gt;"",ISNUMBER(SEARCH($N$4,'Final Calculation Sheet'!$M$17))))),IF($O$4="",TRUE(),IF($O$4="(blank)",'Final Calculation Sheet'!$N$17="",IF($O$4="(nonblank)",'Final Calculation Sheet'!$N$17&lt;&gt;"",ISNUMBER(SEARCH($O$4,'Final Calculation Sheet'!$N$17))))),IF($P$4="",TRUE(),IF($P$4="(blank)",'Final Calculation Sheet'!$O$17="",IF($P$4="(nonblank)",'Final Calculation Sheet'!$O$17&lt;&gt;"",ISNUMBER(SEARCH($P$4,'Final Calculation Sheet'!$O$17))))),IF($Q$4="",TRUE(),IF($Q$4="(blank)",'Final Calculation Sheet'!$P$17="",IF($Q$4="(nonblank)",'Final Calculation Sheet'!$P$17&lt;&gt;"",ISNUMBER(SEARCH($Q$4,'Final Calculation Sheet'!$P$17))))),IF($R$4="",TRUE(),IF($R$4="(blank)",'Final Calculation Sheet'!$Q$17="",IF($R$4="(nonblank)",'Final Calculation Sheet'!$Q$17&lt;&gt;"",ISNUMBER(SEARCH($R$4,'Final Calculation Sheet'!$Q$17))))),IF($S$4="",TRUE(),IF($S$4="(blank)",'Final Calculation Sheet'!$R$17="",IF($S$4="(nonblank)",'Final Calculation Sheet'!$R$17&lt;&gt;"",ISNUMBER(SEARCH($S$4,'Final Calculation Sheet'!$R$17))))),IF($T$4="",TRUE(),IF($T$4="(blank)",'Final Calculation Sheet'!$S$17="",IF($T$4="(nonblank)",'Final Calculation Sheet'!$S$17&lt;&gt;"",ISNUMBER(SEARCH($T$4,'Final Calculation Sheet'!$S$17))))),IF($U$4="",TRUE(),IF($U$4="(blank)",'Final Calculation Sheet'!$T$17="",IF($U$4="(nonblank)",'Final Calculation Sheet'!$T$17&lt;&gt;"",ISNUMBER(SEARCH($U$4,'Final Calculation Sheet'!$T$17))))),IF($V$4="",TRUE(),IF($V$4="(blank)",'Final Calculation Sheet'!$U$17="",IF($V$4="(nonblank)",'Final Calculation Sheet'!$U$17&lt;&gt;"",ISNUMBER(SEARCH($V$4,'Final Calculation Sheet'!$U$17))))),IF($W$4="",TRUE(),IF($W$4="(blank)",'Final Calculation Sheet'!$V$17="",IF($W$4="(nonblank)",'Final Calculation Sheet'!$V$17&lt;&gt;"",ISNUMBER(SEARCH($W$4,'Final Calculation Sheet'!$V$17))))),IF($X$4="",TRUE(),IF($X$4="(blank)",'Final Calculation Sheet'!$W$17="",IF($X$4="(nonblank)",'Final Calculation Sheet'!$W$17&lt;&gt;"",ISNUMBER(SEARCH($X$4,'Final Calculation Sheet'!$W$17))))),IF($Y$4="",TRUE(),IF($Y$4="(blank)",'Final Calculation Sheet'!$X$17="",IF($Y$4="(nonblank)",'Final Calculation Sheet'!$X$17&lt;&gt;"",ISNUMBER(SEARCH($Y$4,'Final Calculation Sheet'!$X$17))))),IF($Z$4="",TRUE(),IF($Z$4="(blank)",'Final Calculation Sheet'!$Y$17="",IF($Z$4="(nonblank)",'Final Calculation Sheet'!$Y$17&lt;&gt;"",ISNUMBER(SEARCH($Z$4,'Final Calculation Sheet'!$Y$17))))),IF($AA$4="",TRUE(),IF($AA$4="(blank)",'Final Calculation Sheet'!$Z$17="",IF($AA$4="(nonblank)",'Final Calculation Sheet'!$Z$17&lt;&gt;"",ISNUMBER(SEARCH($AA$4,'Final Calculation Sheet'!$Z$17))))),IF($AB$4="",TRUE(),IF($AB$4="(blank)",'Final Calculation Sheet'!$AA$17="",IF($AB$4="(nonblank)",'Final Calculation Sheet'!$AA$17&lt;&gt;"",ISNUMBER(SEARCH($AB$4,'Final Calculation Sheet'!$AA$17))))),IF($AC$4="",TRUE(),IF($AC$4="(blank)",'Final Calculation Sheet'!$AB$17="",IF($AC$4="(nonblank)",'Final Calculation Sheet'!$AB$17&lt;&gt;"",ISNUMBER(SEARCH($AC$4,'Final Calculation Sheet'!$AB$17))))),IF($AD$4="",TRUE(),IF($AD$4="(blank)",'Final Calculation Sheet'!$AC$17="",IF($AD$4="(nonblank)",'Final Calculation Sheet'!$AC$17&lt;&gt;"",ISNUMBER(SEARCH($AD$4,'Final Calculation Sheet'!$AC$17))))),IF($AE$4="",TRUE(),IF($AE$4="(blank)",'Final Calculation Sheet'!$AD$17="",IF($AE$4="(nonblank)",'Final Calculation Sheet'!$AD$17&lt;&gt;"",ISNUMBER(SEARCH($AE$4,'Final Calculation Sheet'!$AD$17))))),IF($AG$4="",TRUE(),IF($AG$4="(blank)",'Final Calculation Sheet'!$AF$17="",IF($AG$4="(nonblank)",'Final Calculation Sheet'!$AF$17&lt;&gt;"",ISNUMBER(SEARCH($AG$4,'Final Calculation Sheet'!$AF$17))))),IF($AH$4="",TRUE(),IF($AH$4="(blank)",'Final Calculation Sheet'!$AG$17="",IF($AH$4="(nonblank)",'Final Calculation Sheet'!$AG$17&lt;&gt;"",ISNUMBER(SEARCH($AH$4,'Final Calculation Sheet'!$AG$17))))),IF($AI$4="",TRUE(),IF($AI$4="(blank)",'Final Calculation Sheet'!$AH$17="",IF($AI$4="(nonblank)",'Final Calculation Sheet'!$AH$17&lt;&gt;"",ISNUMBER(SEARCH($AI$4,'Final Calculation Sheet'!$AH$17))))),IF($AF$4="",TRUE(),IF($AF$4="(blank)",IF('Final Calculation Sheet'!$AD$17&lt;=5,"SETTLED","OUTSTANDING")="",IF($AF$4="(nonblank)",IF('Final Calculation Sheet'!$AD$17&lt;=5,"SETTLED","OUTSTANDING")&lt;&gt;"",ISNUMBER(SEARCH($AF$4,IF('Final Calculation Sheet'!$AD$17&lt;=5,"SETTLED","OUTSTANDING"))))))),1,0)</f>
      </c>
      <c r="AK47">
        <f>IF(AJ47=1,COUNTIF(AJ$7:AJ47,1),"")</f>
        <v/>
      </c>
    </row>
    <row r="48" outlineLevel="1" ht="15" customHeight="1" s="137">
      <c r="A48" s="90" t="n">
        <v>4</v>
      </c>
      <c r="B48" s="92">
        <f>IF('Final Calculation Sheet'!$F$23="","",'Final Calculation Sheet'!$F$23)</f>
        <v/>
      </c>
      <c r="C48" s="92">
        <f>IF('Final Calculation Sheet'!$G$23="","",'Final Calculation Sheet'!$G$23)</f>
        <v/>
      </c>
      <c r="D48" s="94">
        <f>IF('Final Calculation Sheet'!$B$23="","",'Final Calculation Sheet'!$B$23)</f>
        <v/>
      </c>
      <c r="E48" s="94">
        <f>IF('Final Calculation Sheet'!$D$23="","",'Final Calculation Sheet'!$D$23)</f>
        <v/>
      </c>
      <c r="F48" s="94">
        <f>IF('Final Calculation Sheet'!$A$23="","",'Final Calculation Sheet'!$A$23)</f>
        <v/>
      </c>
      <c r="G48" s="94">
        <f>IF('Final Calculation Sheet'!$E$23="","",'Final Calculation Sheet'!$E$23)</f>
        <v/>
      </c>
      <c r="H48" s="95">
        <f>IF('Final Calculation Sheet'!$C$23="","",'Final Calculation Sheet'!$C$23)</f>
        <v/>
      </c>
      <c r="I48" s="95">
        <f>IF('Final Calculation Sheet'!$H$23="","",'Final Calculation Sheet'!$H$23)</f>
        <v/>
      </c>
      <c r="J48" s="95">
        <f>IF('Final Calculation Sheet'!$I$23="","",'Final Calculation Sheet'!$I$23)</f>
        <v/>
      </c>
      <c r="K48" s="95">
        <f>IF('Final Calculation Sheet'!$J$23="","",'Final Calculation Sheet'!$J$23)</f>
        <v/>
      </c>
      <c r="L48" s="95">
        <f>IF('Final Calculation Sheet'!$K$23="","",'Final Calculation Sheet'!$K$23)</f>
        <v/>
      </c>
      <c r="M48" s="95">
        <f>IF('Final Calculation Sheet'!$L$23="","",'Final Calculation Sheet'!$L$23)</f>
        <v/>
      </c>
      <c r="N48" s="95">
        <f>IF('Final Calculation Sheet'!$M$23="","",'Final Calculation Sheet'!$M$23)</f>
        <v/>
      </c>
      <c r="O48" s="96">
        <f>IF('Final Calculation Sheet'!$N$23="","",'Final Calculation Sheet'!$N$23)</f>
        <v/>
      </c>
      <c r="P48" s="95">
        <f>IF('Final Calculation Sheet'!$O$23="","",'Final Calculation Sheet'!$O$23)</f>
        <v/>
      </c>
      <c r="Q48" s="95">
        <f>IF('Final Calculation Sheet'!$P$23="","",'Final Calculation Sheet'!$P$23)</f>
        <v/>
      </c>
      <c r="R48" s="97">
        <f>IF('Final Calculation Sheet'!$Q$23="","",'Final Calculation Sheet'!$Q$23)</f>
        <v/>
      </c>
      <c r="S48" s="95">
        <f>IF('Final Calculation Sheet'!$R$23="","",'Final Calculation Sheet'!$R$23)</f>
        <v/>
      </c>
      <c r="T48" s="95">
        <f>IF('Final Calculation Sheet'!$S$23="","",'Final Calculation Sheet'!$S$23)</f>
        <v/>
      </c>
      <c r="U48" s="95">
        <f>IF('Final Calculation Sheet'!$T$23="","",'Final Calculation Sheet'!$T$23)</f>
        <v/>
      </c>
      <c r="V48" s="98">
        <f>IF('Final Calculation Sheet'!$U$23="","",'Final Calculation Sheet'!$U$23)</f>
        <v/>
      </c>
      <c r="W48" s="95">
        <f>IF('Final Calculation Sheet'!$V$23="","",'Final Calculation Sheet'!$V$23)</f>
        <v/>
      </c>
      <c r="X48" s="95">
        <f>IF('Final Calculation Sheet'!$W$23="","",'Final Calculation Sheet'!$W$23)</f>
        <v/>
      </c>
      <c r="Y48" s="95">
        <f>IF('Final Calculation Sheet'!$X$23="","",'Final Calculation Sheet'!$X$23)</f>
        <v/>
      </c>
      <c r="Z48" s="95">
        <f>IF('Final Calculation Sheet'!$Y$23="","",'Final Calculation Sheet'!$Y$23)</f>
        <v/>
      </c>
      <c r="AA48" s="95">
        <f>IF('Final Calculation Sheet'!$Z$23="","",'Final Calculation Sheet'!$Z$23)</f>
        <v/>
      </c>
      <c r="AB48" s="95">
        <f>IF('Final Calculation Sheet'!$AA$23="","",'Final Calculation Sheet'!$AA$23)</f>
        <v/>
      </c>
      <c r="AC48" s="95">
        <f>IF('Final Calculation Sheet'!$AB$23="","",'Final Calculation Sheet'!$AB$23)</f>
        <v/>
      </c>
      <c r="AD48" s="95">
        <f>IF('Final Calculation Sheet'!$AC$23="","",'Final Calculation Sheet'!$AC$23)</f>
        <v/>
      </c>
      <c r="AE48" s="95">
        <f>IF('Final Calculation Sheet'!$AD$23="","",'Final Calculation Sheet'!$AD$23)</f>
        <v/>
      </c>
      <c r="AF48" s="100">
        <f>IF('Final Calculation Sheet'!$AD$23="","",IF('Final Calculation Sheet'!$AD$23&lt;=5,"SETTLED","OUTSTANDING"))</f>
        <v/>
      </c>
      <c r="AG48" s="95">
        <f>IF('Final Calculation Sheet'!$AF$23="","",'Final Calculation Sheet'!$AF$23)</f>
        <v/>
      </c>
      <c r="AH48" s="99">
        <f>IF('Final Calculation Sheet'!$AG$23="","",'Final Calculation Sheet'!$AG$23)</f>
        <v/>
      </c>
      <c r="AI48" s="95">
        <f>IF('Final Calculation Sheet'!$AH$23="","",'Final Calculation Sheet'!$AH$23)</f>
        <v/>
      </c>
      <c r="AJ48">
        <f>IF(AND(IF($B$4="",TRUE(),IF($B$4="(blank)",'Final Calculation Sheet'!$F$23="",IF($B$4="(nonblank)",'Final Calculation Sheet'!$F$23&lt;&gt;"",ISNUMBER(SEARCH($B$4,'Final Calculation Sheet'!$F$23))))),IF($C$4="",TRUE(),IF($C$4="(blank)",'Final Calculation Sheet'!$G$23="",IF($C$4="(nonblank)",'Final Calculation Sheet'!$G$23&lt;&gt;"",ISNUMBER(SEARCH($C$4,'Final Calculation Sheet'!$G$23))))),IF($D$4="",TRUE(),IF($D$4="(blank)",'Final Calculation Sheet'!$B$23="",IF($D$4="(nonblank)",'Final Calculation Sheet'!$B$23&lt;&gt;"",ISNUMBER(SEARCH($D$4,'Final Calculation Sheet'!$B$23))))),IF($E$4="",TRUE(),IF($E$4="(blank)",'Final Calculation Sheet'!$D$23="",IF($E$4="(nonblank)",'Final Calculation Sheet'!$D$23&lt;&gt;"",ISNUMBER(SEARCH($E$4,'Final Calculation Sheet'!$D$23))))),IF($F$4="",TRUE(),IF($F$4="(blank)",'Final Calculation Sheet'!$A$23="",IF($F$4="(nonblank)",'Final Calculation Sheet'!$A$23&lt;&gt;"",ISNUMBER(SEARCH($F$4,'Final Calculation Sheet'!$A$23))))),IF($G$4="",TRUE(),IF($G$4="(blank)",'Final Calculation Sheet'!$E$23="",IF($G$4="(nonblank)",'Final Calculation Sheet'!$E$23&lt;&gt;"",ISNUMBER(SEARCH($G$4,'Final Calculation Sheet'!$E$23))))),IF($H$4="",TRUE(),IF($H$4="(blank)",'Final Calculation Sheet'!$C$23="",IF($H$4="(nonblank)",'Final Calculation Sheet'!$C$23&lt;&gt;"",ISNUMBER(SEARCH($H$4,'Final Calculation Sheet'!$C$23))))),IF($I$4="",TRUE(),IF($I$4="(blank)",'Final Calculation Sheet'!$H$23="",IF($I$4="(nonblank)",'Final Calculation Sheet'!$H$23&lt;&gt;"",ISNUMBER(SEARCH($I$4,'Final Calculation Sheet'!$H$23))))),IF($J$4="",TRUE(),IF($J$4="(blank)",'Final Calculation Sheet'!$I$23="",IF($J$4="(nonblank)",'Final Calculation Sheet'!$I$23&lt;&gt;"",ISNUMBER(SEARCH($J$4,'Final Calculation Sheet'!$I$23))))),IF($K$4="",TRUE(),IF($K$4="(blank)",'Final Calculation Sheet'!$J$23="",IF($K$4="(nonblank)",'Final Calculation Sheet'!$J$23&lt;&gt;"",ISNUMBER(SEARCH($K$4,'Final Calculation Sheet'!$J$23))))),IF($L$4="",TRUE(),IF($L$4="(blank)",'Final Calculation Sheet'!$K$23="",IF($L$4="(nonblank)",'Final Calculation Sheet'!$K$23&lt;&gt;"",ISNUMBER(SEARCH($L$4,'Final Calculation Sheet'!$K$23))))),IF($M$4="",TRUE(),IF($M$4="(blank)",'Final Calculation Sheet'!$L$23="",IF($M$4="(nonblank)",'Final Calculation Sheet'!$L$23&lt;&gt;"",ISNUMBER(SEARCH($M$4,'Final Calculation Sheet'!$L$23))))),IF($N$4="",TRUE(),IF($N$4="(blank)",'Final Calculation Sheet'!$M$23="",IF($N$4="(nonblank)",'Final Calculation Sheet'!$M$23&lt;&gt;"",ISNUMBER(SEARCH($N$4,'Final Calculation Sheet'!$M$23))))),IF($O$4="",TRUE(),IF($O$4="(blank)",'Final Calculation Sheet'!$N$23="",IF($O$4="(nonblank)",'Final Calculation Sheet'!$N$23&lt;&gt;"",ISNUMBER(SEARCH($O$4,'Final Calculation Sheet'!$N$23))))),IF($P$4="",TRUE(),IF($P$4="(blank)",'Final Calculation Sheet'!$O$23="",IF($P$4="(nonblank)",'Final Calculation Sheet'!$O$23&lt;&gt;"",ISNUMBER(SEARCH($P$4,'Final Calculation Sheet'!$O$23))))),IF($Q$4="",TRUE(),IF($Q$4="(blank)",'Final Calculation Sheet'!$P$23="",IF($Q$4="(nonblank)",'Final Calculation Sheet'!$P$23&lt;&gt;"",ISNUMBER(SEARCH($Q$4,'Final Calculation Sheet'!$P$23))))),IF($R$4="",TRUE(),IF($R$4="(blank)",'Final Calculation Sheet'!$Q$23="",IF($R$4="(nonblank)",'Final Calculation Sheet'!$Q$23&lt;&gt;"",ISNUMBER(SEARCH($R$4,'Final Calculation Sheet'!$Q$23))))),IF($S$4="",TRUE(),IF($S$4="(blank)",'Final Calculation Sheet'!$R$23="",IF($S$4="(nonblank)",'Final Calculation Sheet'!$R$23&lt;&gt;"",ISNUMBER(SEARCH($S$4,'Final Calculation Sheet'!$R$23))))),IF($T$4="",TRUE(),IF($T$4="(blank)",'Final Calculation Sheet'!$S$23="",IF($T$4="(nonblank)",'Final Calculation Sheet'!$S$23&lt;&gt;"",ISNUMBER(SEARCH($T$4,'Final Calculation Sheet'!$S$23))))),IF($U$4="",TRUE(),IF($U$4="(blank)",'Final Calculation Sheet'!$T$23="",IF($U$4="(nonblank)",'Final Calculation Sheet'!$T$23&lt;&gt;"",ISNUMBER(SEARCH($U$4,'Final Calculation Sheet'!$T$23))))),IF($V$4="",TRUE(),IF($V$4="(blank)",'Final Calculation Sheet'!$U$23="",IF($V$4="(nonblank)",'Final Calculation Sheet'!$U$23&lt;&gt;"",ISNUMBER(SEARCH($V$4,'Final Calculation Sheet'!$U$23))))),IF($W$4="",TRUE(),IF($W$4="(blank)",'Final Calculation Sheet'!$V$23="",IF($W$4="(nonblank)",'Final Calculation Sheet'!$V$23&lt;&gt;"",ISNUMBER(SEARCH($W$4,'Final Calculation Sheet'!$V$23))))),IF($X$4="",TRUE(),IF($X$4="(blank)",'Final Calculation Sheet'!$W$23="",IF($X$4="(nonblank)",'Final Calculation Sheet'!$W$23&lt;&gt;"",ISNUMBER(SEARCH($X$4,'Final Calculation Sheet'!$W$23))))),IF($Y$4="",TRUE(),IF($Y$4="(blank)",'Final Calculation Sheet'!$X$23="",IF($Y$4="(nonblank)",'Final Calculation Sheet'!$X$23&lt;&gt;"",ISNUMBER(SEARCH($Y$4,'Final Calculation Sheet'!$X$23))))),IF($Z$4="",TRUE(),IF($Z$4="(blank)",'Final Calculation Sheet'!$Y$23="",IF($Z$4="(nonblank)",'Final Calculation Sheet'!$Y$23&lt;&gt;"",ISNUMBER(SEARCH($Z$4,'Final Calculation Sheet'!$Y$23))))),IF($AA$4="",TRUE(),IF($AA$4="(blank)",'Final Calculation Sheet'!$Z$23="",IF($AA$4="(nonblank)",'Final Calculation Sheet'!$Z$23&lt;&gt;"",ISNUMBER(SEARCH($AA$4,'Final Calculation Sheet'!$Z$23))))),IF($AB$4="",TRUE(),IF($AB$4="(blank)",'Final Calculation Sheet'!$AA$23="",IF($AB$4="(nonblank)",'Final Calculation Sheet'!$AA$23&lt;&gt;"",ISNUMBER(SEARCH($AB$4,'Final Calculation Sheet'!$AA$23))))),IF($AC$4="",TRUE(),IF($AC$4="(blank)",'Final Calculation Sheet'!$AB$23="",IF($AC$4="(nonblank)",'Final Calculation Sheet'!$AB$23&lt;&gt;"",ISNUMBER(SEARCH($AC$4,'Final Calculation Sheet'!$AB$23))))),IF($AD$4="",TRUE(),IF($AD$4="(blank)",'Final Calculation Sheet'!$AC$23="",IF($AD$4="(nonblank)",'Final Calculation Sheet'!$AC$23&lt;&gt;"",ISNUMBER(SEARCH($AD$4,'Final Calculation Sheet'!$AC$23))))),IF($AE$4="",TRUE(),IF($AE$4="(blank)",'Final Calculation Sheet'!$AD$23="",IF($AE$4="(nonblank)",'Final Calculation Sheet'!$AD$23&lt;&gt;"",ISNUMBER(SEARCH($AE$4,'Final Calculation Sheet'!$AD$23))))),IF($AG$4="",TRUE(),IF($AG$4="(blank)",'Final Calculation Sheet'!$AF$23="",IF($AG$4="(nonblank)",'Final Calculation Sheet'!$AF$23&lt;&gt;"",ISNUMBER(SEARCH($AG$4,'Final Calculation Sheet'!$AF$23))))),IF($AH$4="",TRUE(),IF($AH$4="(blank)",'Final Calculation Sheet'!$AG$23="",IF($AH$4="(nonblank)",'Final Calculation Sheet'!$AG$23&lt;&gt;"",ISNUMBER(SEARCH($AH$4,'Final Calculation Sheet'!$AG$23))))),IF($AI$4="",TRUE(),IF($AI$4="(blank)",'Final Calculation Sheet'!$AH$23="",IF($AI$4="(nonblank)",'Final Calculation Sheet'!$AH$23&lt;&gt;"",ISNUMBER(SEARCH($AI$4,'Final Calculation Sheet'!$AH$23))))),IF($AF$4="",TRUE(),IF($AF$4="(blank)",IF('Final Calculation Sheet'!$AD$23&lt;=5,"SETTLED","OUTSTANDING")="",IF($AF$4="(nonblank)",IF('Final Calculation Sheet'!$AD$23&lt;=5,"SETTLED","OUTSTANDING")&lt;&gt;"",ISNUMBER(SEARCH($AF$4,IF('Final Calculation Sheet'!$AD$23&lt;=5,"SETTLED","OUTSTANDING"))))))),1,0)</f>
      </c>
      <c r="AK48">
        <f>IF(AJ48=1,COUNTIF(AJ$7:AJ48,1),"")</f>
        <v/>
      </c>
    </row>
    <row r="49" outlineLevel="1" ht="15" customHeight="1" s="137">
      <c r="A49" s="67" t="n">
        <v>5</v>
      </c>
      <c r="B49" s="76">
        <f>IF('Final Calculation Sheet'!$F$29="","",'Final Calculation Sheet'!$F$29)</f>
        <v/>
      </c>
      <c r="C49" s="76">
        <f>IF('Final Calculation Sheet'!$G$29="","",'Final Calculation Sheet'!$G$29)</f>
        <v/>
      </c>
      <c r="D49" s="80">
        <f>IF('Final Calculation Sheet'!$B$29="","",'Final Calculation Sheet'!$B$29)</f>
        <v/>
      </c>
      <c r="E49" s="80">
        <f>IF('Final Calculation Sheet'!$D$29="","",'Final Calculation Sheet'!$D$29)</f>
        <v/>
      </c>
      <c r="F49" s="80">
        <f>IF('Final Calculation Sheet'!$A$29="","",'Final Calculation Sheet'!$A$29)</f>
        <v/>
      </c>
      <c r="G49" s="80">
        <f>IF('Final Calculation Sheet'!$E$29="","",'Final Calculation Sheet'!$E$29)</f>
        <v/>
      </c>
      <c r="H49" s="70">
        <f>IF('Final Calculation Sheet'!$C$29="","",'Final Calculation Sheet'!$C$29)</f>
        <v/>
      </c>
      <c r="I49" s="70">
        <f>IF('Final Calculation Sheet'!$H$29="","",'Final Calculation Sheet'!$H$29)</f>
        <v/>
      </c>
      <c r="J49" s="70">
        <f>IF('Final Calculation Sheet'!$I$29="","",'Final Calculation Sheet'!$I$29)</f>
        <v/>
      </c>
      <c r="K49" s="70">
        <f>IF('Final Calculation Sheet'!$J$29="","",'Final Calculation Sheet'!$J$29)</f>
        <v/>
      </c>
      <c r="L49" s="70">
        <f>IF('Final Calculation Sheet'!$K$29="","",'Final Calculation Sheet'!$K$29)</f>
        <v/>
      </c>
      <c r="M49" s="70">
        <f>IF('Final Calculation Sheet'!$L$29="","",'Final Calculation Sheet'!$L$29)</f>
        <v/>
      </c>
      <c r="N49" s="70">
        <f>IF('Final Calculation Sheet'!$M$29="","",'Final Calculation Sheet'!$M$29)</f>
        <v/>
      </c>
      <c r="O49" s="71">
        <f>IF('Final Calculation Sheet'!$N$29="","",'Final Calculation Sheet'!$N$29)</f>
        <v/>
      </c>
      <c r="P49" s="70">
        <f>IF('Final Calculation Sheet'!$O$29="","",'Final Calculation Sheet'!$O$29)</f>
        <v/>
      </c>
      <c r="Q49" s="70">
        <f>IF('Final Calculation Sheet'!$P$29="","",'Final Calculation Sheet'!$P$29)</f>
        <v/>
      </c>
      <c r="R49" s="72">
        <f>IF('Final Calculation Sheet'!$Q$29="","",'Final Calculation Sheet'!$Q$29)</f>
        <v/>
      </c>
      <c r="S49" s="70">
        <f>IF('Final Calculation Sheet'!$R$29="","",'Final Calculation Sheet'!$R$29)</f>
        <v/>
      </c>
      <c r="T49" s="70">
        <f>IF('Final Calculation Sheet'!$S$29="","",'Final Calculation Sheet'!$S$29)</f>
        <v/>
      </c>
      <c r="U49" s="70">
        <f>IF('Final Calculation Sheet'!$T$29="","",'Final Calculation Sheet'!$T$29)</f>
        <v/>
      </c>
      <c r="V49" s="73">
        <f>IF('Final Calculation Sheet'!$U$29="","",'Final Calculation Sheet'!$U$29)</f>
        <v/>
      </c>
      <c r="W49" s="70">
        <f>IF('Final Calculation Sheet'!$V$29="","",'Final Calculation Sheet'!$V$29)</f>
        <v/>
      </c>
      <c r="X49" s="70">
        <f>IF('Final Calculation Sheet'!$W$29="","",'Final Calculation Sheet'!$W$29)</f>
        <v/>
      </c>
      <c r="Y49" s="70">
        <f>IF('Final Calculation Sheet'!$X$29="","",'Final Calculation Sheet'!$X$29)</f>
        <v/>
      </c>
      <c r="Z49" s="70">
        <f>IF('Final Calculation Sheet'!$Y$29="","",'Final Calculation Sheet'!$Y$29)</f>
        <v/>
      </c>
      <c r="AA49" s="70">
        <f>IF('Final Calculation Sheet'!$Z$29="","",'Final Calculation Sheet'!$Z$29)</f>
        <v/>
      </c>
      <c r="AB49" s="70">
        <f>IF('Final Calculation Sheet'!$AA$29="","",'Final Calculation Sheet'!$AA$29)</f>
        <v/>
      </c>
      <c r="AC49" s="70">
        <f>IF('Final Calculation Sheet'!$AB$29="","",'Final Calculation Sheet'!$AB$29)</f>
        <v/>
      </c>
      <c r="AD49" s="70">
        <f>IF('Final Calculation Sheet'!$AC$29="","",'Final Calculation Sheet'!$AC$29)</f>
        <v/>
      </c>
      <c r="AE49" s="70">
        <f>IF('Final Calculation Sheet'!$AD$29="","",'Final Calculation Sheet'!$AD$29)</f>
        <v/>
      </c>
      <c r="AF49" s="75">
        <f>IF('Final Calculation Sheet'!$AD$29="","",IF('Final Calculation Sheet'!$AD$29&lt;=5,"SETTLED","OUTSTANDING"))</f>
        <v/>
      </c>
      <c r="AG49" s="70">
        <f>IF('Final Calculation Sheet'!$AF$29="","",'Final Calculation Sheet'!$AF$29)</f>
        <v/>
      </c>
      <c r="AH49" s="74">
        <f>IF('Final Calculation Sheet'!$AG$29="","",'Final Calculation Sheet'!$AG$29)</f>
        <v/>
      </c>
      <c r="AI49" s="70">
        <f>IF('Final Calculation Sheet'!$AH$29="","",'Final Calculation Sheet'!$AH$29)</f>
        <v/>
      </c>
      <c r="AJ49">
        <f>IF(AND(IF($B$4="",TRUE(),IF($B$4="(blank)",'Final Calculation Sheet'!$F$29="",IF($B$4="(nonblank)",'Final Calculation Sheet'!$F$29&lt;&gt;"",ISNUMBER(SEARCH($B$4,'Final Calculation Sheet'!$F$29))))),IF($C$4="",TRUE(),IF($C$4="(blank)",'Final Calculation Sheet'!$G$29="",IF($C$4="(nonblank)",'Final Calculation Sheet'!$G$29&lt;&gt;"",ISNUMBER(SEARCH($C$4,'Final Calculation Sheet'!$G$29))))),IF($D$4="",TRUE(),IF($D$4="(blank)",'Final Calculation Sheet'!$B$29="",IF($D$4="(nonblank)",'Final Calculation Sheet'!$B$29&lt;&gt;"",ISNUMBER(SEARCH($D$4,'Final Calculation Sheet'!$B$29))))),IF($E$4="",TRUE(),IF($E$4="(blank)",'Final Calculation Sheet'!$D$29="",IF($E$4="(nonblank)",'Final Calculation Sheet'!$D$29&lt;&gt;"",ISNUMBER(SEARCH($E$4,'Final Calculation Sheet'!$D$29))))),IF($F$4="",TRUE(),IF($F$4="(blank)",'Final Calculation Sheet'!$A$29="",IF($F$4="(nonblank)",'Final Calculation Sheet'!$A$29&lt;&gt;"",ISNUMBER(SEARCH($F$4,'Final Calculation Sheet'!$A$29))))),IF($G$4="",TRUE(),IF($G$4="(blank)",'Final Calculation Sheet'!$E$29="",IF($G$4="(nonblank)",'Final Calculation Sheet'!$E$29&lt;&gt;"",ISNUMBER(SEARCH($G$4,'Final Calculation Sheet'!$E$29))))),IF($H$4="",TRUE(),IF($H$4="(blank)",'Final Calculation Sheet'!$C$29="",IF($H$4="(nonblank)",'Final Calculation Sheet'!$C$29&lt;&gt;"",ISNUMBER(SEARCH($H$4,'Final Calculation Sheet'!$C$29))))),IF($I$4="",TRUE(),IF($I$4="(blank)",'Final Calculation Sheet'!$H$29="",IF($I$4="(nonblank)",'Final Calculation Sheet'!$H$29&lt;&gt;"",ISNUMBER(SEARCH($I$4,'Final Calculation Sheet'!$H$29))))),IF($J$4="",TRUE(),IF($J$4="(blank)",'Final Calculation Sheet'!$I$29="",IF($J$4="(nonblank)",'Final Calculation Sheet'!$I$29&lt;&gt;"",ISNUMBER(SEARCH($J$4,'Final Calculation Sheet'!$I$29))))),IF($K$4="",TRUE(),IF($K$4="(blank)",'Final Calculation Sheet'!$J$29="",IF($K$4="(nonblank)",'Final Calculation Sheet'!$J$29&lt;&gt;"",ISNUMBER(SEARCH($K$4,'Final Calculation Sheet'!$J$29))))),IF($L$4="",TRUE(),IF($L$4="(blank)",'Final Calculation Sheet'!$K$29="",IF($L$4="(nonblank)",'Final Calculation Sheet'!$K$29&lt;&gt;"",ISNUMBER(SEARCH($L$4,'Final Calculation Sheet'!$K$29))))),IF($M$4="",TRUE(),IF($M$4="(blank)",'Final Calculation Sheet'!$L$29="",IF($M$4="(nonblank)",'Final Calculation Sheet'!$L$29&lt;&gt;"",ISNUMBER(SEARCH($M$4,'Final Calculation Sheet'!$L$29))))),IF($N$4="",TRUE(),IF($N$4="(blank)",'Final Calculation Sheet'!$M$29="",IF($N$4="(nonblank)",'Final Calculation Sheet'!$M$29&lt;&gt;"",ISNUMBER(SEARCH($N$4,'Final Calculation Sheet'!$M$29))))),IF($O$4="",TRUE(),IF($O$4="(blank)",'Final Calculation Sheet'!$N$29="",IF($O$4="(nonblank)",'Final Calculation Sheet'!$N$29&lt;&gt;"",ISNUMBER(SEARCH($O$4,'Final Calculation Sheet'!$N$29))))),IF($P$4="",TRUE(),IF($P$4="(blank)",'Final Calculation Sheet'!$O$29="",IF($P$4="(nonblank)",'Final Calculation Sheet'!$O$29&lt;&gt;"",ISNUMBER(SEARCH($P$4,'Final Calculation Sheet'!$O$29))))),IF($Q$4="",TRUE(),IF($Q$4="(blank)",'Final Calculation Sheet'!$P$29="",IF($Q$4="(nonblank)",'Final Calculation Sheet'!$P$29&lt;&gt;"",ISNUMBER(SEARCH($Q$4,'Final Calculation Sheet'!$P$29))))),IF($R$4="",TRUE(),IF($R$4="(blank)",'Final Calculation Sheet'!$Q$29="",IF($R$4="(nonblank)",'Final Calculation Sheet'!$Q$29&lt;&gt;"",ISNUMBER(SEARCH($R$4,'Final Calculation Sheet'!$Q$29))))),IF($S$4="",TRUE(),IF($S$4="(blank)",'Final Calculation Sheet'!$R$29="",IF($S$4="(nonblank)",'Final Calculation Sheet'!$R$29&lt;&gt;"",ISNUMBER(SEARCH($S$4,'Final Calculation Sheet'!$R$29))))),IF($T$4="",TRUE(),IF($T$4="(blank)",'Final Calculation Sheet'!$S$29="",IF($T$4="(nonblank)",'Final Calculation Sheet'!$S$29&lt;&gt;"",ISNUMBER(SEARCH($T$4,'Final Calculation Sheet'!$S$29))))),IF($U$4="",TRUE(),IF($U$4="(blank)",'Final Calculation Sheet'!$T$29="",IF($U$4="(nonblank)",'Final Calculation Sheet'!$T$29&lt;&gt;"",ISNUMBER(SEARCH($U$4,'Final Calculation Sheet'!$T$29))))),IF($V$4="",TRUE(),IF($V$4="(blank)",'Final Calculation Sheet'!$U$29="",IF($V$4="(nonblank)",'Final Calculation Sheet'!$U$29&lt;&gt;"",ISNUMBER(SEARCH($V$4,'Final Calculation Sheet'!$U$29))))),IF($W$4="",TRUE(),IF($W$4="(blank)",'Final Calculation Sheet'!$V$29="",IF($W$4="(nonblank)",'Final Calculation Sheet'!$V$29&lt;&gt;"",ISNUMBER(SEARCH($W$4,'Final Calculation Sheet'!$V$29))))),IF($X$4="",TRUE(),IF($X$4="(blank)",'Final Calculation Sheet'!$W$29="",IF($X$4="(nonblank)",'Final Calculation Sheet'!$W$29&lt;&gt;"",ISNUMBER(SEARCH($X$4,'Final Calculation Sheet'!$W$29))))),IF($Y$4="",TRUE(),IF($Y$4="(blank)",'Final Calculation Sheet'!$X$29="",IF($Y$4="(nonblank)",'Final Calculation Sheet'!$X$29&lt;&gt;"",ISNUMBER(SEARCH($Y$4,'Final Calculation Sheet'!$X$29))))),IF($Z$4="",TRUE(),IF($Z$4="(blank)",'Final Calculation Sheet'!$Y$29="",IF($Z$4="(nonblank)",'Final Calculation Sheet'!$Y$29&lt;&gt;"",ISNUMBER(SEARCH($Z$4,'Final Calculation Sheet'!$Y$29))))),IF($AA$4="",TRUE(),IF($AA$4="(blank)",'Final Calculation Sheet'!$Z$29="",IF($AA$4="(nonblank)",'Final Calculation Sheet'!$Z$29&lt;&gt;"",ISNUMBER(SEARCH($AA$4,'Final Calculation Sheet'!$Z$29))))),IF($AB$4="",TRUE(),IF($AB$4="(blank)",'Final Calculation Sheet'!$AA$29="",IF($AB$4="(nonblank)",'Final Calculation Sheet'!$AA$29&lt;&gt;"",ISNUMBER(SEARCH($AB$4,'Final Calculation Sheet'!$AA$29))))),IF($AC$4="",TRUE(),IF($AC$4="(blank)",'Final Calculation Sheet'!$AB$29="",IF($AC$4="(nonblank)",'Final Calculation Sheet'!$AB$29&lt;&gt;"",ISNUMBER(SEARCH($AC$4,'Final Calculation Sheet'!$AB$29))))),IF($AD$4="",TRUE(),IF($AD$4="(blank)",'Final Calculation Sheet'!$AC$29="",IF($AD$4="(nonblank)",'Final Calculation Sheet'!$AC$29&lt;&gt;"",ISNUMBER(SEARCH($AD$4,'Final Calculation Sheet'!$AC$29))))),IF($AE$4="",TRUE(),IF($AE$4="(blank)",'Final Calculation Sheet'!$AD$29="",IF($AE$4="(nonblank)",'Final Calculation Sheet'!$AD$29&lt;&gt;"",ISNUMBER(SEARCH($AE$4,'Final Calculation Sheet'!$AD$29))))),IF($AG$4="",TRUE(),IF($AG$4="(blank)",'Final Calculation Sheet'!$AF$29="",IF($AG$4="(nonblank)",'Final Calculation Sheet'!$AF$29&lt;&gt;"",ISNUMBER(SEARCH($AG$4,'Final Calculation Sheet'!$AF$29))))),IF($AH$4="",TRUE(),IF($AH$4="(blank)",'Final Calculation Sheet'!$AG$29="",IF($AH$4="(nonblank)",'Final Calculation Sheet'!$AG$29&lt;&gt;"",ISNUMBER(SEARCH($AH$4,'Final Calculation Sheet'!$AG$29))))),IF($AI$4="",TRUE(),IF($AI$4="(blank)",'Final Calculation Sheet'!$AH$29="",IF($AI$4="(nonblank)",'Final Calculation Sheet'!$AH$29&lt;&gt;"",ISNUMBER(SEARCH($AI$4,'Final Calculation Sheet'!$AH$29))))),IF($AF$4="",TRUE(),IF($AF$4="(blank)",IF('Final Calculation Sheet'!$AD$29&lt;=5,"SETTLED","OUTSTANDING")="",IF($AF$4="(nonblank)",IF('Final Calculation Sheet'!$AD$29&lt;=5,"SETTLED","OUTSTANDING")&lt;&gt;"",ISNUMBER(SEARCH($AF$4,IF('Final Calculation Sheet'!$AD$29&lt;=5,"SETTLED","OUTSTANDING"))))))),1,0)</f>
      </c>
      <c r="AK49">
        <f>IF(AJ49=1,COUNTIF(AJ$7:AJ49,1),"")</f>
        <v/>
      </c>
    </row>
    <row r="50" outlineLevel="1" ht="15" customHeight="1" s="137">
      <c r="A50" s="90" t="n">
        <v>6</v>
      </c>
      <c r="B50" s="92">
        <f>IF('Final Calculation Sheet'!$F$34="","",'Final Calculation Sheet'!$F$34)</f>
        <v/>
      </c>
      <c r="C50" s="92">
        <f>IF('Final Calculation Sheet'!$G$34="","",'Final Calculation Sheet'!$G$34)</f>
        <v/>
      </c>
      <c r="D50" s="94">
        <f>IF('Final Calculation Sheet'!$B$34="","",'Final Calculation Sheet'!$B$34)</f>
        <v/>
      </c>
      <c r="E50" s="94">
        <f>IF('Final Calculation Sheet'!$D$34="","",'Final Calculation Sheet'!$D$34)</f>
        <v/>
      </c>
      <c r="F50" s="94">
        <f>IF('Final Calculation Sheet'!$A$34="","",'Final Calculation Sheet'!$A$34)</f>
        <v/>
      </c>
      <c r="G50" s="94">
        <f>IF('Final Calculation Sheet'!$E$34="","",'Final Calculation Sheet'!$E$34)</f>
        <v/>
      </c>
      <c r="H50" s="95">
        <f>IF('Final Calculation Sheet'!$C$34="","",'Final Calculation Sheet'!$C$34)</f>
        <v/>
      </c>
      <c r="I50" s="95">
        <f>IF('Final Calculation Sheet'!$H$34="","",'Final Calculation Sheet'!$H$34)</f>
        <v/>
      </c>
      <c r="J50" s="95">
        <f>IF('Final Calculation Sheet'!$I$34="","",'Final Calculation Sheet'!$I$34)</f>
        <v/>
      </c>
      <c r="K50" s="95">
        <f>IF('Final Calculation Sheet'!$J$34="","",'Final Calculation Sheet'!$J$34)</f>
        <v/>
      </c>
      <c r="L50" s="95">
        <f>IF('Final Calculation Sheet'!$K$34="","",'Final Calculation Sheet'!$K$34)</f>
        <v/>
      </c>
      <c r="M50" s="95">
        <f>IF('Final Calculation Sheet'!$L$34="","",'Final Calculation Sheet'!$L$34)</f>
        <v/>
      </c>
      <c r="N50" s="95">
        <f>IF('Final Calculation Sheet'!$M$34="","",'Final Calculation Sheet'!$M$34)</f>
        <v/>
      </c>
      <c r="O50" s="96">
        <f>IF('Final Calculation Sheet'!$N$34="","",'Final Calculation Sheet'!$N$34)</f>
        <v/>
      </c>
      <c r="P50" s="95">
        <f>IF('Final Calculation Sheet'!$O$34="","",'Final Calculation Sheet'!$O$34)</f>
        <v/>
      </c>
      <c r="Q50" s="95">
        <f>IF('Final Calculation Sheet'!$P$34="","",'Final Calculation Sheet'!$P$34)</f>
        <v/>
      </c>
      <c r="R50" s="97">
        <f>IF('Final Calculation Sheet'!$Q$34="","",'Final Calculation Sheet'!$Q$34)</f>
        <v/>
      </c>
      <c r="S50" s="95">
        <f>IF('Final Calculation Sheet'!$R$34="","",'Final Calculation Sheet'!$R$34)</f>
        <v/>
      </c>
      <c r="T50" s="95">
        <f>IF('Final Calculation Sheet'!$S$34="","",'Final Calculation Sheet'!$S$34)</f>
        <v/>
      </c>
      <c r="U50" s="95">
        <f>IF('Final Calculation Sheet'!$T$34="","",'Final Calculation Sheet'!$T$34)</f>
        <v/>
      </c>
      <c r="V50" s="98">
        <f>IF('Final Calculation Sheet'!$U$34="","",'Final Calculation Sheet'!$U$34)</f>
        <v/>
      </c>
      <c r="W50" s="95">
        <f>IF('Final Calculation Sheet'!$V$34="","",'Final Calculation Sheet'!$V$34)</f>
        <v/>
      </c>
      <c r="X50" s="95">
        <f>IF('Final Calculation Sheet'!$W$34="","",'Final Calculation Sheet'!$W$34)</f>
        <v/>
      </c>
      <c r="Y50" s="95">
        <f>IF('Final Calculation Sheet'!$X$34="","",'Final Calculation Sheet'!$X$34)</f>
        <v/>
      </c>
      <c r="Z50" s="95">
        <f>IF('Final Calculation Sheet'!$Y$34="","",'Final Calculation Sheet'!$Y$34)</f>
        <v/>
      </c>
      <c r="AA50" s="95">
        <f>IF('Final Calculation Sheet'!$Z$34="","",'Final Calculation Sheet'!$Z$34)</f>
        <v/>
      </c>
      <c r="AB50" s="95">
        <f>IF('Final Calculation Sheet'!$AA$34="","",'Final Calculation Sheet'!$AA$34)</f>
        <v/>
      </c>
      <c r="AC50" s="95">
        <f>IF('Final Calculation Sheet'!$AB$34="","",'Final Calculation Sheet'!$AB$34)</f>
        <v/>
      </c>
      <c r="AD50" s="95">
        <f>IF('Final Calculation Sheet'!$AC$34="","",'Final Calculation Sheet'!$AC$34)</f>
        <v/>
      </c>
      <c r="AE50" s="95">
        <f>IF('Final Calculation Sheet'!$AD$34="","",'Final Calculation Sheet'!$AD$34)</f>
        <v/>
      </c>
      <c r="AF50" s="100">
        <f>IF('Final Calculation Sheet'!$AD$34="","",IF('Final Calculation Sheet'!$AD$34&lt;=5,"SETTLED","OUTSTANDING"))</f>
        <v/>
      </c>
      <c r="AG50" s="95">
        <f>IF('Final Calculation Sheet'!$AF$34="","",'Final Calculation Sheet'!$AF$34)</f>
        <v/>
      </c>
      <c r="AH50" s="99">
        <f>IF('Final Calculation Sheet'!$AG$34="","",'Final Calculation Sheet'!$AG$34)</f>
        <v/>
      </c>
      <c r="AI50" s="95">
        <f>IF('Final Calculation Sheet'!$AH$34="","",'Final Calculation Sheet'!$AH$34)</f>
        <v/>
      </c>
      <c r="AJ50">
        <f>IF(AND(IF($B$4="",TRUE(),IF($B$4="(blank)",'Final Calculation Sheet'!$F$34="",IF($B$4="(nonblank)",'Final Calculation Sheet'!$F$34&lt;&gt;"",ISNUMBER(SEARCH($B$4,'Final Calculation Sheet'!$F$34))))),IF($C$4="",TRUE(),IF($C$4="(blank)",'Final Calculation Sheet'!$G$34="",IF($C$4="(nonblank)",'Final Calculation Sheet'!$G$34&lt;&gt;"",ISNUMBER(SEARCH($C$4,'Final Calculation Sheet'!$G$34))))),IF($D$4="",TRUE(),IF($D$4="(blank)",'Final Calculation Sheet'!$B$34="",IF($D$4="(nonblank)",'Final Calculation Sheet'!$B$34&lt;&gt;"",ISNUMBER(SEARCH($D$4,'Final Calculation Sheet'!$B$34))))),IF($E$4="",TRUE(),IF($E$4="(blank)",'Final Calculation Sheet'!$D$34="",IF($E$4="(nonblank)",'Final Calculation Sheet'!$D$34&lt;&gt;"",ISNUMBER(SEARCH($E$4,'Final Calculation Sheet'!$D$34))))),IF($F$4="",TRUE(),IF($F$4="(blank)",'Final Calculation Sheet'!$A$34="",IF($F$4="(nonblank)",'Final Calculation Sheet'!$A$34&lt;&gt;"",ISNUMBER(SEARCH($F$4,'Final Calculation Sheet'!$A$34))))),IF($G$4="",TRUE(),IF($G$4="(blank)",'Final Calculation Sheet'!$E$34="",IF($G$4="(nonblank)",'Final Calculation Sheet'!$E$34&lt;&gt;"",ISNUMBER(SEARCH($G$4,'Final Calculation Sheet'!$E$34))))),IF($H$4="",TRUE(),IF($H$4="(blank)",'Final Calculation Sheet'!$C$34="",IF($H$4="(nonblank)",'Final Calculation Sheet'!$C$34&lt;&gt;"",ISNUMBER(SEARCH($H$4,'Final Calculation Sheet'!$C$34))))),IF($I$4="",TRUE(),IF($I$4="(blank)",'Final Calculation Sheet'!$H$34="",IF($I$4="(nonblank)",'Final Calculation Sheet'!$H$34&lt;&gt;"",ISNUMBER(SEARCH($I$4,'Final Calculation Sheet'!$H$34))))),IF($J$4="",TRUE(),IF($J$4="(blank)",'Final Calculation Sheet'!$I$34="",IF($J$4="(nonblank)",'Final Calculation Sheet'!$I$34&lt;&gt;"",ISNUMBER(SEARCH($J$4,'Final Calculation Sheet'!$I$34))))),IF($K$4="",TRUE(),IF($K$4="(blank)",'Final Calculation Sheet'!$J$34="",IF($K$4="(nonblank)",'Final Calculation Sheet'!$J$34&lt;&gt;"",ISNUMBER(SEARCH($K$4,'Final Calculation Sheet'!$J$34))))),IF($L$4="",TRUE(),IF($L$4="(blank)",'Final Calculation Sheet'!$K$34="",IF($L$4="(nonblank)",'Final Calculation Sheet'!$K$34&lt;&gt;"",ISNUMBER(SEARCH($L$4,'Final Calculation Sheet'!$K$34))))),IF($M$4="",TRUE(),IF($M$4="(blank)",'Final Calculation Sheet'!$L$34="",IF($M$4="(nonblank)",'Final Calculation Sheet'!$L$34&lt;&gt;"",ISNUMBER(SEARCH($M$4,'Final Calculation Sheet'!$L$34))))),IF($N$4="",TRUE(),IF($N$4="(blank)",'Final Calculation Sheet'!$M$34="",IF($N$4="(nonblank)",'Final Calculation Sheet'!$M$34&lt;&gt;"",ISNUMBER(SEARCH($N$4,'Final Calculation Sheet'!$M$34))))),IF($O$4="",TRUE(),IF($O$4="(blank)",'Final Calculation Sheet'!$N$34="",IF($O$4="(nonblank)",'Final Calculation Sheet'!$N$34&lt;&gt;"",ISNUMBER(SEARCH($O$4,'Final Calculation Sheet'!$N$34))))),IF($P$4="",TRUE(),IF($P$4="(blank)",'Final Calculation Sheet'!$O$34="",IF($P$4="(nonblank)",'Final Calculation Sheet'!$O$34&lt;&gt;"",ISNUMBER(SEARCH($P$4,'Final Calculation Sheet'!$O$34))))),IF($Q$4="",TRUE(),IF($Q$4="(blank)",'Final Calculation Sheet'!$P$34="",IF($Q$4="(nonblank)",'Final Calculation Sheet'!$P$34&lt;&gt;"",ISNUMBER(SEARCH($Q$4,'Final Calculation Sheet'!$P$34))))),IF($R$4="",TRUE(),IF($R$4="(blank)",'Final Calculation Sheet'!$Q$34="",IF($R$4="(nonblank)",'Final Calculation Sheet'!$Q$34&lt;&gt;"",ISNUMBER(SEARCH($R$4,'Final Calculation Sheet'!$Q$34))))),IF($S$4="",TRUE(),IF($S$4="(blank)",'Final Calculation Sheet'!$R$34="",IF($S$4="(nonblank)",'Final Calculation Sheet'!$R$34&lt;&gt;"",ISNUMBER(SEARCH($S$4,'Final Calculation Sheet'!$R$34))))),IF($T$4="",TRUE(),IF($T$4="(blank)",'Final Calculation Sheet'!$S$34="",IF($T$4="(nonblank)",'Final Calculation Sheet'!$S$34&lt;&gt;"",ISNUMBER(SEARCH($T$4,'Final Calculation Sheet'!$S$34))))),IF($U$4="",TRUE(),IF($U$4="(blank)",'Final Calculation Sheet'!$T$34="",IF($U$4="(nonblank)",'Final Calculation Sheet'!$T$34&lt;&gt;"",ISNUMBER(SEARCH($U$4,'Final Calculation Sheet'!$T$34))))),IF($V$4="",TRUE(),IF($V$4="(blank)",'Final Calculation Sheet'!$U$34="",IF($V$4="(nonblank)",'Final Calculation Sheet'!$U$34&lt;&gt;"",ISNUMBER(SEARCH($V$4,'Final Calculation Sheet'!$U$34))))),IF($W$4="",TRUE(),IF($W$4="(blank)",'Final Calculation Sheet'!$V$34="",IF($W$4="(nonblank)",'Final Calculation Sheet'!$V$34&lt;&gt;"",ISNUMBER(SEARCH($W$4,'Final Calculation Sheet'!$V$34))))),IF($X$4="",TRUE(),IF($X$4="(blank)",'Final Calculation Sheet'!$W$34="",IF($X$4="(nonblank)",'Final Calculation Sheet'!$W$34&lt;&gt;"",ISNUMBER(SEARCH($X$4,'Final Calculation Sheet'!$W$34))))),IF($Y$4="",TRUE(),IF($Y$4="(blank)",'Final Calculation Sheet'!$X$34="",IF($Y$4="(nonblank)",'Final Calculation Sheet'!$X$34&lt;&gt;"",ISNUMBER(SEARCH($Y$4,'Final Calculation Sheet'!$X$34))))),IF($Z$4="",TRUE(),IF($Z$4="(blank)",'Final Calculation Sheet'!$Y$34="",IF($Z$4="(nonblank)",'Final Calculation Sheet'!$Y$34&lt;&gt;"",ISNUMBER(SEARCH($Z$4,'Final Calculation Sheet'!$Y$34))))),IF($AA$4="",TRUE(),IF($AA$4="(blank)",'Final Calculation Sheet'!$Z$34="",IF($AA$4="(nonblank)",'Final Calculation Sheet'!$Z$34&lt;&gt;"",ISNUMBER(SEARCH($AA$4,'Final Calculation Sheet'!$Z$34))))),IF($AB$4="",TRUE(),IF($AB$4="(blank)",'Final Calculation Sheet'!$AA$34="",IF($AB$4="(nonblank)",'Final Calculation Sheet'!$AA$34&lt;&gt;"",ISNUMBER(SEARCH($AB$4,'Final Calculation Sheet'!$AA$34))))),IF($AC$4="",TRUE(),IF($AC$4="(blank)",'Final Calculation Sheet'!$AB$34="",IF($AC$4="(nonblank)",'Final Calculation Sheet'!$AB$34&lt;&gt;"",ISNUMBER(SEARCH($AC$4,'Final Calculation Sheet'!$AB$34))))),IF($AD$4="",TRUE(),IF($AD$4="(blank)",'Final Calculation Sheet'!$AC$34="",IF($AD$4="(nonblank)",'Final Calculation Sheet'!$AC$34&lt;&gt;"",ISNUMBER(SEARCH($AD$4,'Final Calculation Sheet'!$AC$34))))),IF($AE$4="",TRUE(),IF($AE$4="(blank)",'Final Calculation Sheet'!$AD$34="",IF($AE$4="(nonblank)",'Final Calculation Sheet'!$AD$34&lt;&gt;"",ISNUMBER(SEARCH($AE$4,'Final Calculation Sheet'!$AD$34))))),IF($AG$4="",TRUE(),IF($AG$4="(blank)",'Final Calculation Sheet'!$AF$34="",IF($AG$4="(nonblank)",'Final Calculation Sheet'!$AF$34&lt;&gt;"",ISNUMBER(SEARCH($AG$4,'Final Calculation Sheet'!$AF$34))))),IF($AH$4="",TRUE(),IF($AH$4="(blank)",'Final Calculation Sheet'!$AG$34="",IF($AH$4="(nonblank)",'Final Calculation Sheet'!$AG$34&lt;&gt;"",ISNUMBER(SEARCH($AH$4,'Final Calculation Sheet'!$AG$34))))),IF($AI$4="",TRUE(),IF($AI$4="(blank)",'Final Calculation Sheet'!$AH$34="",IF($AI$4="(nonblank)",'Final Calculation Sheet'!$AH$34&lt;&gt;"",ISNUMBER(SEARCH($AI$4,'Final Calculation Sheet'!$AH$34))))),IF($AF$4="",TRUE(),IF($AF$4="(blank)",IF('Final Calculation Sheet'!$AD$34&lt;=5,"SETTLED","OUTSTANDING")="",IF($AF$4="(nonblank)",IF('Final Calculation Sheet'!$AD$34&lt;=5,"SETTLED","OUTSTANDING")&lt;&gt;"",ISNUMBER(SEARCH($AF$4,IF('Final Calculation Sheet'!$AD$34&lt;=5,"SETTLED","OUTSTANDING"))))))),1,0)</f>
      </c>
      <c r="AK50">
        <f>IF(AJ50=1,COUNTIF(AJ$7:AJ50,1),"")</f>
        <v/>
      </c>
    </row>
    <row r="51" outlineLevel="1" ht="15" customHeight="1" s="137">
      <c r="A51" s="67" t="n">
        <v>7</v>
      </c>
      <c r="B51" s="76">
        <f>IF('Final Calculation Sheet'!$F$36="","",'Final Calculation Sheet'!$F$36)</f>
        <v/>
      </c>
      <c r="C51" s="76">
        <f>IF('Final Calculation Sheet'!$G$36="","",'Final Calculation Sheet'!$G$36)</f>
        <v/>
      </c>
      <c r="D51" s="80">
        <f>IF('Final Calculation Sheet'!$B$36="","",'Final Calculation Sheet'!$B$36)</f>
        <v/>
      </c>
      <c r="E51" s="80">
        <f>IF('Final Calculation Sheet'!$D$36="","",'Final Calculation Sheet'!$D$36)</f>
        <v/>
      </c>
      <c r="F51" s="80">
        <f>IF('Final Calculation Sheet'!$A$36="","",'Final Calculation Sheet'!$A$36)</f>
        <v/>
      </c>
      <c r="G51" s="80">
        <f>IF('Final Calculation Sheet'!$E$36="","",'Final Calculation Sheet'!$E$36)</f>
        <v/>
      </c>
      <c r="H51" s="70">
        <f>IF('Final Calculation Sheet'!$C$36="","",'Final Calculation Sheet'!$C$36)</f>
        <v/>
      </c>
      <c r="I51" s="70">
        <f>IF('Final Calculation Sheet'!$H$36="","",'Final Calculation Sheet'!$H$36)</f>
        <v/>
      </c>
      <c r="J51" s="70">
        <f>IF('Final Calculation Sheet'!$I$36="","",'Final Calculation Sheet'!$I$36)</f>
        <v/>
      </c>
      <c r="K51" s="70">
        <f>IF('Final Calculation Sheet'!$J$36="","",'Final Calculation Sheet'!$J$36)</f>
        <v/>
      </c>
      <c r="L51" s="70">
        <f>IF('Final Calculation Sheet'!$K$36="","",'Final Calculation Sheet'!$K$36)</f>
        <v/>
      </c>
      <c r="M51" s="70">
        <f>IF('Final Calculation Sheet'!$L$36="","",'Final Calculation Sheet'!$L$36)</f>
        <v/>
      </c>
      <c r="N51" s="70">
        <f>IF('Final Calculation Sheet'!$M$36="","",'Final Calculation Sheet'!$M$36)</f>
        <v/>
      </c>
      <c r="O51" s="71">
        <f>IF('Final Calculation Sheet'!$N$36="","",'Final Calculation Sheet'!$N$36)</f>
        <v/>
      </c>
      <c r="P51" s="70">
        <f>IF('Final Calculation Sheet'!$O$36="","",'Final Calculation Sheet'!$O$36)</f>
        <v/>
      </c>
      <c r="Q51" s="70">
        <f>IF('Final Calculation Sheet'!$P$36="","",'Final Calculation Sheet'!$P$36)</f>
        <v/>
      </c>
      <c r="R51" s="72">
        <f>IF('Final Calculation Sheet'!$Q$36="","",'Final Calculation Sheet'!$Q$36)</f>
        <v/>
      </c>
      <c r="S51" s="70">
        <f>IF('Final Calculation Sheet'!$R$36="","",'Final Calculation Sheet'!$R$36)</f>
        <v/>
      </c>
      <c r="T51" s="70">
        <f>IF('Final Calculation Sheet'!$S$36="","",'Final Calculation Sheet'!$S$36)</f>
        <v/>
      </c>
      <c r="U51" s="70">
        <f>IF('Final Calculation Sheet'!$T$36="","",'Final Calculation Sheet'!$T$36)</f>
        <v/>
      </c>
      <c r="V51" s="73">
        <f>IF('Final Calculation Sheet'!$U$36="","",'Final Calculation Sheet'!$U$36)</f>
        <v/>
      </c>
      <c r="W51" s="70">
        <f>IF('Final Calculation Sheet'!$V$36="","",'Final Calculation Sheet'!$V$36)</f>
        <v/>
      </c>
      <c r="X51" s="70">
        <f>IF('Final Calculation Sheet'!$W$36="","",'Final Calculation Sheet'!$W$36)</f>
        <v/>
      </c>
      <c r="Y51" s="70">
        <f>IF('Final Calculation Sheet'!$X$36="","",'Final Calculation Sheet'!$X$36)</f>
        <v/>
      </c>
      <c r="Z51" s="70">
        <f>IF('Final Calculation Sheet'!$Y$36="","",'Final Calculation Sheet'!$Y$36)</f>
        <v/>
      </c>
      <c r="AA51" s="70">
        <f>IF('Final Calculation Sheet'!$Z$36="","",'Final Calculation Sheet'!$Z$36)</f>
        <v/>
      </c>
      <c r="AB51" s="70">
        <f>IF('Final Calculation Sheet'!$AA$36="","",'Final Calculation Sheet'!$AA$36)</f>
        <v/>
      </c>
      <c r="AC51" s="70">
        <f>IF('Final Calculation Sheet'!$AB$36="","",'Final Calculation Sheet'!$AB$36)</f>
        <v/>
      </c>
      <c r="AD51" s="70">
        <f>IF('Final Calculation Sheet'!$AC$36="","",'Final Calculation Sheet'!$AC$36)</f>
        <v/>
      </c>
      <c r="AE51" s="70">
        <f>IF('Final Calculation Sheet'!$AD$36="","",'Final Calculation Sheet'!$AD$36)</f>
        <v/>
      </c>
      <c r="AF51" s="75">
        <f>IF('Final Calculation Sheet'!$AD$36="","",IF('Final Calculation Sheet'!$AD$36&lt;=5,"SETTLED","OUTSTANDING"))</f>
        <v/>
      </c>
      <c r="AG51" s="70">
        <f>IF('Final Calculation Sheet'!$AF$36="","",'Final Calculation Sheet'!$AF$36)</f>
        <v/>
      </c>
      <c r="AH51" s="74">
        <f>IF('Final Calculation Sheet'!$AG$36="","",'Final Calculation Sheet'!$AG$36)</f>
        <v/>
      </c>
      <c r="AI51" s="70">
        <f>IF('Final Calculation Sheet'!$AH$36="","",'Final Calculation Sheet'!$AH$36)</f>
        <v/>
      </c>
      <c r="AJ51">
        <f>IF(AND(IF($B$4="",TRUE(),IF($B$4="(blank)",'Final Calculation Sheet'!$F$36="",IF($B$4="(nonblank)",'Final Calculation Sheet'!$F$36&lt;&gt;"",ISNUMBER(SEARCH($B$4,'Final Calculation Sheet'!$F$36))))),IF($C$4="",TRUE(),IF($C$4="(blank)",'Final Calculation Sheet'!$G$36="",IF($C$4="(nonblank)",'Final Calculation Sheet'!$G$36&lt;&gt;"",ISNUMBER(SEARCH($C$4,'Final Calculation Sheet'!$G$36))))),IF($D$4="",TRUE(),IF($D$4="(blank)",'Final Calculation Sheet'!$B$36="",IF($D$4="(nonblank)",'Final Calculation Sheet'!$B$36&lt;&gt;"",ISNUMBER(SEARCH($D$4,'Final Calculation Sheet'!$B$36))))),IF($E$4="",TRUE(),IF($E$4="(blank)",'Final Calculation Sheet'!$D$36="",IF($E$4="(nonblank)",'Final Calculation Sheet'!$D$36&lt;&gt;"",ISNUMBER(SEARCH($E$4,'Final Calculation Sheet'!$D$36))))),IF($F$4="",TRUE(),IF($F$4="(blank)",'Final Calculation Sheet'!$A$36="",IF($F$4="(nonblank)",'Final Calculation Sheet'!$A$36&lt;&gt;"",ISNUMBER(SEARCH($F$4,'Final Calculation Sheet'!$A$36))))),IF($G$4="",TRUE(),IF($G$4="(blank)",'Final Calculation Sheet'!$E$36="",IF($G$4="(nonblank)",'Final Calculation Sheet'!$E$36&lt;&gt;"",ISNUMBER(SEARCH($G$4,'Final Calculation Sheet'!$E$36))))),IF($H$4="",TRUE(),IF($H$4="(blank)",'Final Calculation Sheet'!$C$36="",IF($H$4="(nonblank)",'Final Calculation Sheet'!$C$36&lt;&gt;"",ISNUMBER(SEARCH($H$4,'Final Calculation Sheet'!$C$36))))),IF($I$4="",TRUE(),IF($I$4="(blank)",'Final Calculation Sheet'!$H$36="",IF($I$4="(nonblank)",'Final Calculation Sheet'!$H$36&lt;&gt;"",ISNUMBER(SEARCH($I$4,'Final Calculation Sheet'!$H$36))))),IF($J$4="",TRUE(),IF($J$4="(blank)",'Final Calculation Sheet'!$I$36="",IF($J$4="(nonblank)",'Final Calculation Sheet'!$I$36&lt;&gt;"",ISNUMBER(SEARCH($J$4,'Final Calculation Sheet'!$I$36))))),IF($K$4="",TRUE(),IF($K$4="(blank)",'Final Calculation Sheet'!$J$36="",IF($K$4="(nonblank)",'Final Calculation Sheet'!$J$36&lt;&gt;"",ISNUMBER(SEARCH($K$4,'Final Calculation Sheet'!$J$36))))),IF($L$4="",TRUE(),IF($L$4="(blank)",'Final Calculation Sheet'!$K$36="",IF($L$4="(nonblank)",'Final Calculation Sheet'!$K$36&lt;&gt;"",ISNUMBER(SEARCH($L$4,'Final Calculation Sheet'!$K$36))))),IF($M$4="",TRUE(),IF($M$4="(blank)",'Final Calculation Sheet'!$L$36="",IF($M$4="(nonblank)",'Final Calculation Sheet'!$L$36&lt;&gt;"",ISNUMBER(SEARCH($M$4,'Final Calculation Sheet'!$L$36))))),IF($N$4="",TRUE(),IF($N$4="(blank)",'Final Calculation Sheet'!$M$36="",IF($N$4="(nonblank)",'Final Calculation Sheet'!$M$36&lt;&gt;"",ISNUMBER(SEARCH($N$4,'Final Calculation Sheet'!$M$36))))),IF($O$4="",TRUE(),IF($O$4="(blank)",'Final Calculation Sheet'!$N$36="",IF($O$4="(nonblank)",'Final Calculation Sheet'!$N$36&lt;&gt;"",ISNUMBER(SEARCH($O$4,'Final Calculation Sheet'!$N$36))))),IF($P$4="",TRUE(),IF($P$4="(blank)",'Final Calculation Sheet'!$O$36="",IF($P$4="(nonblank)",'Final Calculation Sheet'!$O$36&lt;&gt;"",ISNUMBER(SEARCH($P$4,'Final Calculation Sheet'!$O$36))))),IF($Q$4="",TRUE(),IF($Q$4="(blank)",'Final Calculation Sheet'!$P$36="",IF($Q$4="(nonblank)",'Final Calculation Sheet'!$P$36&lt;&gt;"",ISNUMBER(SEARCH($Q$4,'Final Calculation Sheet'!$P$36))))),IF($R$4="",TRUE(),IF($R$4="(blank)",'Final Calculation Sheet'!$Q$36="",IF($R$4="(nonblank)",'Final Calculation Sheet'!$Q$36&lt;&gt;"",ISNUMBER(SEARCH($R$4,'Final Calculation Sheet'!$Q$36))))),IF($S$4="",TRUE(),IF($S$4="(blank)",'Final Calculation Sheet'!$R$36="",IF($S$4="(nonblank)",'Final Calculation Sheet'!$R$36&lt;&gt;"",ISNUMBER(SEARCH($S$4,'Final Calculation Sheet'!$R$36))))),IF($T$4="",TRUE(),IF($T$4="(blank)",'Final Calculation Sheet'!$S$36="",IF($T$4="(nonblank)",'Final Calculation Sheet'!$S$36&lt;&gt;"",ISNUMBER(SEARCH($T$4,'Final Calculation Sheet'!$S$36))))),IF($U$4="",TRUE(),IF($U$4="(blank)",'Final Calculation Sheet'!$T$36="",IF($U$4="(nonblank)",'Final Calculation Sheet'!$T$36&lt;&gt;"",ISNUMBER(SEARCH($U$4,'Final Calculation Sheet'!$T$36))))),IF($V$4="",TRUE(),IF($V$4="(blank)",'Final Calculation Sheet'!$U$36="",IF($V$4="(nonblank)",'Final Calculation Sheet'!$U$36&lt;&gt;"",ISNUMBER(SEARCH($V$4,'Final Calculation Sheet'!$U$36))))),IF($W$4="",TRUE(),IF($W$4="(blank)",'Final Calculation Sheet'!$V$36="",IF($W$4="(nonblank)",'Final Calculation Sheet'!$V$36&lt;&gt;"",ISNUMBER(SEARCH($W$4,'Final Calculation Sheet'!$V$36))))),IF($X$4="",TRUE(),IF($X$4="(blank)",'Final Calculation Sheet'!$W$36="",IF($X$4="(nonblank)",'Final Calculation Sheet'!$W$36&lt;&gt;"",ISNUMBER(SEARCH($X$4,'Final Calculation Sheet'!$W$36))))),IF($Y$4="",TRUE(),IF($Y$4="(blank)",'Final Calculation Sheet'!$X$36="",IF($Y$4="(nonblank)",'Final Calculation Sheet'!$X$36&lt;&gt;"",ISNUMBER(SEARCH($Y$4,'Final Calculation Sheet'!$X$36))))),IF($Z$4="",TRUE(),IF($Z$4="(blank)",'Final Calculation Sheet'!$Y$36="",IF($Z$4="(nonblank)",'Final Calculation Sheet'!$Y$36&lt;&gt;"",ISNUMBER(SEARCH($Z$4,'Final Calculation Sheet'!$Y$36))))),IF($AA$4="",TRUE(),IF($AA$4="(blank)",'Final Calculation Sheet'!$Z$36="",IF($AA$4="(nonblank)",'Final Calculation Sheet'!$Z$36&lt;&gt;"",ISNUMBER(SEARCH($AA$4,'Final Calculation Sheet'!$Z$36))))),IF($AB$4="",TRUE(),IF($AB$4="(blank)",'Final Calculation Sheet'!$AA$36="",IF($AB$4="(nonblank)",'Final Calculation Sheet'!$AA$36&lt;&gt;"",ISNUMBER(SEARCH($AB$4,'Final Calculation Sheet'!$AA$36))))),IF($AC$4="",TRUE(),IF($AC$4="(blank)",'Final Calculation Sheet'!$AB$36="",IF($AC$4="(nonblank)",'Final Calculation Sheet'!$AB$36&lt;&gt;"",ISNUMBER(SEARCH($AC$4,'Final Calculation Sheet'!$AB$36))))),IF($AD$4="",TRUE(),IF($AD$4="(blank)",'Final Calculation Sheet'!$AC$36="",IF($AD$4="(nonblank)",'Final Calculation Sheet'!$AC$36&lt;&gt;"",ISNUMBER(SEARCH($AD$4,'Final Calculation Sheet'!$AC$36))))),IF($AE$4="",TRUE(),IF($AE$4="(blank)",'Final Calculation Sheet'!$AD$36="",IF($AE$4="(nonblank)",'Final Calculation Sheet'!$AD$36&lt;&gt;"",ISNUMBER(SEARCH($AE$4,'Final Calculation Sheet'!$AD$36))))),IF($AG$4="",TRUE(),IF($AG$4="(blank)",'Final Calculation Sheet'!$AF$36="",IF($AG$4="(nonblank)",'Final Calculation Sheet'!$AF$36&lt;&gt;"",ISNUMBER(SEARCH($AG$4,'Final Calculation Sheet'!$AF$36))))),IF($AH$4="",TRUE(),IF($AH$4="(blank)",'Final Calculation Sheet'!$AG$36="",IF($AH$4="(nonblank)",'Final Calculation Sheet'!$AG$36&lt;&gt;"",ISNUMBER(SEARCH($AH$4,'Final Calculation Sheet'!$AG$36))))),IF($AI$4="",TRUE(),IF($AI$4="(blank)",'Final Calculation Sheet'!$AH$36="",IF($AI$4="(nonblank)",'Final Calculation Sheet'!$AH$36&lt;&gt;"",ISNUMBER(SEARCH($AI$4,'Final Calculation Sheet'!$AH$36))))),IF($AF$4="",TRUE(),IF($AF$4="(blank)",IF('Final Calculation Sheet'!$AD$36&lt;=5,"SETTLED","OUTSTANDING")="",IF($AF$4="(nonblank)",IF('Final Calculation Sheet'!$AD$36&lt;=5,"SETTLED","OUTSTANDING")&lt;&gt;"",ISNUMBER(SEARCH($AF$4,IF('Final Calculation Sheet'!$AD$36&lt;=5,"SETTLED","OUTSTANDING"))))))),1,0)</f>
      </c>
      <c r="AK51">
        <f>IF(AJ51=1,COUNTIF(AJ$7:AJ51,1),"")</f>
        <v/>
      </c>
    </row>
    <row r="52" ht="15" customHeight="1" s="137">
      <c r="A52" s="81" t="inlineStr">
        <is>
          <t>∑</t>
        </is>
      </c>
      <c r="B52" s="83" t="n"/>
      <c r="C52" s="83">
        <f>ROWS($C$45:$C$51)&amp;" lot(s)"</f>
        <v/>
      </c>
      <c r="D52" s="83" t="inlineStr">
        <is>
          <t>SUBTOTAL — STERLING ENTERPRISES</t>
        </is>
      </c>
      <c r="E52" s="83" t="inlineStr">
        <is>
          <t>–</t>
        </is>
      </c>
      <c r="F52" s="83">
        <f>SUM(F45:F51)</f>
        <v/>
      </c>
      <c r="G52" s="83" t="inlineStr">
        <is>
          <t>–</t>
        </is>
      </c>
      <c r="H52" s="84" t="inlineStr">
        <is>
          <t>–</t>
        </is>
      </c>
      <c r="I52" s="84">
        <f>SUM(I45:I51)</f>
        <v/>
      </c>
      <c r="J52" s="84">
        <f>SUM(J45:J51)</f>
        <v/>
      </c>
      <c r="K52" s="84">
        <f>SUM(K45:K51)</f>
        <v/>
      </c>
      <c r="L52" s="84">
        <f>SUM(L45:L51)</f>
        <v/>
      </c>
      <c r="M52" s="84">
        <f>SUM(M45:M51)</f>
        <v/>
      </c>
      <c r="N52" s="84">
        <f>SUM(N45:N51)</f>
        <v/>
      </c>
      <c r="O52" s="85">
        <f>SUM(O45:O51)</f>
        <v/>
      </c>
      <c r="P52" s="84">
        <f>SUM(P45:P51)</f>
        <v/>
      </c>
      <c r="Q52" s="84">
        <f>SUM(Q45:Q51)</f>
        <v/>
      </c>
      <c r="R52" s="86" t="inlineStr">
        <is>
          <t>–</t>
        </is>
      </c>
      <c r="S52" s="84">
        <f>SUM(S45:S51)</f>
        <v/>
      </c>
      <c r="T52" s="84">
        <f>SUM(T45:T51)</f>
        <v/>
      </c>
      <c r="U52" s="84">
        <f>SUM(U45:U51)</f>
        <v/>
      </c>
      <c r="V52" s="87">
        <f>SUM(V45:V51)</f>
        <v/>
      </c>
      <c r="W52" s="84" t="inlineStr">
        <is>
          <t>–</t>
        </is>
      </c>
      <c r="X52" s="84">
        <f>SUM(X45:X51)</f>
        <v/>
      </c>
      <c r="Y52" s="84">
        <f>SUM(Y45:Y51)</f>
        <v/>
      </c>
      <c r="Z52" s="84" t="inlineStr">
        <is>
          <t>–</t>
        </is>
      </c>
      <c r="AA52" s="84">
        <f>SUM(AA45:AA51)</f>
        <v/>
      </c>
      <c r="AB52" s="84">
        <f>SUM(AB45:AB51)</f>
        <v/>
      </c>
      <c r="AC52" s="84" t="inlineStr">
        <is>
          <t>–</t>
        </is>
      </c>
      <c r="AD52" s="84">
        <f>SUM(AD45:AD51)</f>
        <v/>
      </c>
      <c r="AE52" s="84">
        <f>SUM(AE45:AE51)</f>
        <v/>
      </c>
      <c r="AF52" s="89">
        <f>IF(AE52&lt;=5,"SETTLED","OUTSTANDING")</f>
        <v/>
      </c>
      <c r="AG52" s="84" t="inlineStr">
        <is>
          <t>–</t>
        </is>
      </c>
      <c r="AH52" s="88" t="inlineStr">
        <is>
          <t>–</t>
        </is>
      </c>
      <c r="AI52" s="84" t="inlineStr">
        <is>
          <t>–</t>
        </is>
      </c>
    </row>
    <row r="53" outlineLevel="1" ht="15" customHeight="1" s="137">
      <c r="A53" s="67" t="n">
        <v>1</v>
      </c>
      <c r="B53" s="76">
        <f>IF('Final Calculation Sheet'!$F$25="","",'Final Calculation Sheet'!$F$25)</f>
        <v/>
      </c>
      <c r="C53" s="76">
        <f>IF('Final Calculation Sheet'!$G$25="","",'Final Calculation Sheet'!$G$25)</f>
        <v/>
      </c>
      <c r="D53" s="80">
        <f>IF('Final Calculation Sheet'!$B$25="","",'Final Calculation Sheet'!$B$25)</f>
        <v/>
      </c>
      <c r="E53" s="80">
        <f>IF('Final Calculation Sheet'!$D$25="","",'Final Calculation Sheet'!$D$25)</f>
        <v/>
      </c>
      <c r="F53" s="80">
        <f>IF('Final Calculation Sheet'!$A$25="","",'Final Calculation Sheet'!$A$25)</f>
        <v/>
      </c>
      <c r="G53" s="80">
        <f>IF('Final Calculation Sheet'!$E$25="","",'Final Calculation Sheet'!$E$25)</f>
        <v/>
      </c>
      <c r="H53" s="70">
        <f>IF('Final Calculation Sheet'!$C$25="","",'Final Calculation Sheet'!$C$25)</f>
        <v/>
      </c>
      <c r="I53" s="70">
        <f>IF('Final Calculation Sheet'!$H$25="","",'Final Calculation Sheet'!$H$25)</f>
        <v/>
      </c>
      <c r="J53" s="70">
        <f>IF('Final Calculation Sheet'!$I$25="","",'Final Calculation Sheet'!$I$25)</f>
        <v/>
      </c>
      <c r="K53" s="70">
        <f>IF('Final Calculation Sheet'!$J$25="","",'Final Calculation Sheet'!$J$25)</f>
        <v/>
      </c>
      <c r="L53" s="70">
        <f>IF('Final Calculation Sheet'!$K$25="","",'Final Calculation Sheet'!$K$25)</f>
        <v/>
      </c>
      <c r="M53" s="70">
        <f>IF('Final Calculation Sheet'!$L$25="","",'Final Calculation Sheet'!$L$25)</f>
        <v/>
      </c>
      <c r="N53" s="70">
        <f>IF('Final Calculation Sheet'!$M$25="","",'Final Calculation Sheet'!$M$25)</f>
        <v/>
      </c>
      <c r="O53" s="71">
        <f>IF('Final Calculation Sheet'!$N$25="","",'Final Calculation Sheet'!$N$25)</f>
        <v/>
      </c>
      <c r="P53" s="70">
        <f>IF('Final Calculation Sheet'!$O$25="","",'Final Calculation Sheet'!$O$25)</f>
        <v/>
      </c>
      <c r="Q53" s="70">
        <f>IF('Final Calculation Sheet'!$P$25="","",'Final Calculation Sheet'!$P$25)</f>
        <v/>
      </c>
      <c r="R53" s="72">
        <f>IF('Final Calculation Sheet'!$Q$25="","",'Final Calculation Sheet'!$Q$25)</f>
        <v/>
      </c>
      <c r="S53" s="70">
        <f>IF('Final Calculation Sheet'!$R$25="","",'Final Calculation Sheet'!$R$25)</f>
        <v/>
      </c>
      <c r="T53" s="70">
        <f>IF('Final Calculation Sheet'!$S$25="","",'Final Calculation Sheet'!$S$25)</f>
        <v/>
      </c>
      <c r="U53" s="70">
        <f>IF('Final Calculation Sheet'!$T$25="","",'Final Calculation Sheet'!$T$25)</f>
        <v/>
      </c>
      <c r="V53" s="73">
        <f>IF('Final Calculation Sheet'!$U$25="","",'Final Calculation Sheet'!$U$25)</f>
        <v/>
      </c>
      <c r="W53" s="70">
        <f>IF('Final Calculation Sheet'!$V$25="","",'Final Calculation Sheet'!$V$25)</f>
        <v/>
      </c>
      <c r="X53" s="70">
        <f>IF('Final Calculation Sheet'!$W$25="","",'Final Calculation Sheet'!$W$25)</f>
        <v/>
      </c>
      <c r="Y53" s="70">
        <f>IF('Final Calculation Sheet'!$X$25="","",'Final Calculation Sheet'!$X$25)</f>
        <v/>
      </c>
      <c r="Z53" s="70">
        <f>IF('Final Calculation Sheet'!$Y$25="","",'Final Calculation Sheet'!$Y$25)</f>
        <v/>
      </c>
      <c r="AA53" s="70">
        <f>IF('Final Calculation Sheet'!$Z$25="","",'Final Calculation Sheet'!$Z$25)</f>
        <v/>
      </c>
      <c r="AB53" s="70">
        <f>IF('Final Calculation Sheet'!$AA$25="","",'Final Calculation Sheet'!$AA$25)</f>
        <v/>
      </c>
      <c r="AC53" s="70">
        <f>IF('Final Calculation Sheet'!$AB$25="","",'Final Calculation Sheet'!$AB$25)</f>
        <v/>
      </c>
      <c r="AD53" s="70">
        <f>IF('Final Calculation Sheet'!$AC$25="","",'Final Calculation Sheet'!$AC$25)</f>
        <v/>
      </c>
      <c r="AE53" s="70">
        <f>IF('Final Calculation Sheet'!$AD$25="","",'Final Calculation Sheet'!$AD$25)</f>
        <v/>
      </c>
      <c r="AF53" s="75">
        <f>IF('Final Calculation Sheet'!$AD$25="","",IF('Final Calculation Sheet'!$AD$25&lt;=5,"SETTLED","OUTSTANDING"))</f>
        <v/>
      </c>
      <c r="AG53" s="70">
        <f>IF('Final Calculation Sheet'!$AF$25="","",'Final Calculation Sheet'!$AF$25)</f>
        <v/>
      </c>
      <c r="AH53" s="74">
        <f>IF('Final Calculation Sheet'!$AG$25="","",'Final Calculation Sheet'!$AG$25)</f>
        <v/>
      </c>
      <c r="AI53" s="70">
        <f>IF('Final Calculation Sheet'!$AH$25="","",'Final Calculation Sheet'!$AH$25)</f>
        <v/>
      </c>
      <c r="AJ53">
        <f>IF(AND(IF($B$4="",TRUE(),IF($B$4="(blank)",'Final Calculation Sheet'!$F$25="",IF($B$4="(nonblank)",'Final Calculation Sheet'!$F$25&lt;&gt;"",ISNUMBER(SEARCH($B$4,'Final Calculation Sheet'!$F$25))))),IF($C$4="",TRUE(),IF($C$4="(blank)",'Final Calculation Sheet'!$G$25="",IF($C$4="(nonblank)",'Final Calculation Sheet'!$G$25&lt;&gt;"",ISNUMBER(SEARCH($C$4,'Final Calculation Sheet'!$G$25))))),IF($D$4="",TRUE(),IF($D$4="(blank)",'Final Calculation Sheet'!$B$25="",IF($D$4="(nonblank)",'Final Calculation Sheet'!$B$25&lt;&gt;"",ISNUMBER(SEARCH($D$4,'Final Calculation Sheet'!$B$25))))),IF($E$4="",TRUE(),IF($E$4="(blank)",'Final Calculation Sheet'!$D$25="",IF($E$4="(nonblank)",'Final Calculation Sheet'!$D$25&lt;&gt;"",ISNUMBER(SEARCH($E$4,'Final Calculation Sheet'!$D$25))))),IF($F$4="",TRUE(),IF($F$4="(blank)",'Final Calculation Sheet'!$A$25="",IF($F$4="(nonblank)",'Final Calculation Sheet'!$A$25&lt;&gt;"",ISNUMBER(SEARCH($F$4,'Final Calculation Sheet'!$A$25))))),IF($G$4="",TRUE(),IF($G$4="(blank)",'Final Calculation Sheet'!$E$25="",IF($G$4="(nonblank)",'Final Calculation Sheet'!$E$25&lt;&gt;"",ISNUMBER(SEARCH($G$4,'Final Calculation Sheet'!$E$25))))),IF($H$4="",TRUE(),IF($H$4="(blank)",'Final Calculation Sheet'!$C$25="",IF($H$4="(nonblank)",'Final Calculation Sheet'!$C$25&lt;&gt;"",ISNUMBER(SEARCH($H$4,'Final Calculation Sheet'!$C$25))))),IF($I$4="",TRUE(),IF($I$4="(blank)",'Final Calculation Sheet'!$H$25="",IF($I$4="(nonblank)",'Final Calculation Sheet'!$H$25&lt;&gt;"",ISNUMBER(SEARCH($I$4,'Final Calculation Sheet'!$H$25))))),IF($J$4="",TRUE(),IF($J$4="(blank)",'Final Calculation Sheet'!$I$25="",IF($J$4="(nonblank)",'Final Calculation Sheet'!$I$25&lt;&gt;"",ISNUMBER(SEARCH($J$4,'Final Calculation Sheet'!$I$25))))),IF($K$4="",TRUE(),IF($K$4="(blank)",'Final Calculation Sheet'!$J$25="",IF($K$4="(nonblank)",'Final Calculation Sheet'!$J$25&lt;&gt;"",ISNUMBER(SEARCH($K$4,'Final Calculation Sheet'!$J$25))))),IF($L$4="",TRUE(),IF($L$4="(blank)",'Final Calculation Sheet'!$K$25="",IF($L$4="(nonblank)",'Final Calculation Sheet'!$K$25&lt;&gt;"",ISNUMBER(SEARCH($L$4,'Final Calculation Sheet'!$K$25))))),IF($M$4="",TRUE(),IF($M$4="(blank)",'Final Calculation Sheet'!$L$25="",IF($M$4="(nonblank)",'Final Calculation Sheet'!$L$25&lt;&gt;"",ISNUMBER(SEARCH($M$4,'Final Calculation Sheet'!$L$25))))),IF($N$4="",TRUE(),IF($N$4="(blank)",'Final Calculation Sheet'!$M$25="",IF($N$4="(nonblank)",'Final Calculation Sheet'!$M$25&lt;&gt;"",ISNUMBER(SEARCH($N$4,'Final Calculation Sheet'!$M$25))))),IF($O$4="",TRUE(),IF($O$4="(blank)",'Final Calculation Sheet'!$N$25="",IF($O$4="(nonblank)",'Final Calculation Sheet'!$N$25&lt;&gt;"",ISNUMBER(SEARCH($O$4,'Final Calculation Sheet'!$N$25))))),IF($P$4="",TRUE(),IF($P$4="(blank)",'Final Calculation Sheet'!$O$25="",IF($P$4="(nonblank)",'Final Calculation Sheet'!$O$25&lt;&gt;"",ISNUMBER(SEARCH($P$4,'Final Calculation Sheet'!$O$25))))),IF($Q$4="",TRUE(),IF($Q$4="(blank)",'Final Calculation Sheet'!$P$25="",IF($Q$4="(nonblank)",'Final Calculation Sheet'!$P$25&lt;&gt;"",ISNUMBER(SEARCH($Q$4,'Final Calculation Sheet'!$P$25))))),IF($R$4="",TRUE(),IF($R$4="(blank)",'Final Calculation Sheet'!$Q$25="",IF($R$4="(nonblank)",'Final Calculation Sheet'!$Q$25&lt;&gt;"",ISNUMBER(SEARCH($R$4,'Final Calculation Sheet'!$Q$25))))),IF($S$4="",TRUE(),IF($S$4="(blank)",'Final Calculation Sheet'!$R$25="",IF($S$4="(nonblank)",'Final Calculation Sheet'!$R$25&lt;&gt;"",ISNUMBER(SEARCH($S$4,'Final Calculation Sheet'!$R$25))))),IF($T$4="",TRUE(),IF($T$4="(blank)",'Final Calculation Sheet'!$S$25="",IF($T$4="(nonblank)",'Final Calculation Sheet'!$S$25&lt;&gt;"",ISNUMBER(SEARCH($T$4,'Final Calculation Sheet'!$S$25))))),IF($U$4="",TRUE(),IF($U$4="(blank)",'Final Calculation Sheet'!$T$25="",IF($U$4="(nonblank)",'Final Calculation Sheet'!$T$25&lt;&gt;"",ISNUMBER(SEARCH($U$4,'Final Calculation Sheet'!$T$25))))),IF($V$4="",TRUE(),IF($V$4="(blank)",'Final Calculation Sheet'!$U$25="",IF($V$4="(nonblank)",'Final Calculation Sheet'!$U$25&lt;&gt;"",ISNUMBER(SEARCH($V$4,'Final Calculation Sheet'!$U$25))))),IF($W$4="",TRUE(),IF($W$4="(blank)",'Final Calculation Sheet'!$V$25="",IF($W$4="(nonblank)",'Final Calculation Sheet'!$V$25&lt;&gt;"",ISNUMBER(SEARCH($W$4,'Final Calculation Sheet'!$V$25))))),IF($X$4="",TRUE(),IF($X$4="(blank)",'Final Calculation Sheet'!$W$25="",IF($X$4="(nonblank)",'Final Calculation Sheet'!$W$25&lt;&gt;"",ISNUMBER(SEARCH($X$4,'Final Calculation Sheet'!$W$25))))),IF($Y$4="",TRUE(),IF($Y$4="(blank)",'Final Calculation Sheet'!$X$25="",IF($Y$4="(nonblank)",'Final Calculation Sheet'!$X$25&lt;&gt;"",ISNUMBER(SEARCH($Y$4,'Final Calculation Sheet'!$X$25))))),IF($Z$4="",TRUE(),IF($Z$4="(blank)",'Final Calculation Sheet'!$Y$25="",IF($Z$4="(nonblank)",'Final Calculation Sheet'!$Y$25&lt;&gt;"",ISNUMBER(SEARCH($Z$4,'Final Calculation Sheet'!$Y$25))))),IF($AA$4="",TRUE(),IF($AA$4="(blank)",'Final Calculation Sheet'!$Z$25="",IF($AA$4="(nonblank)",'Final Calculation Sheet'!$Z$25&lt;&gt;"",ISNUMBER(SEARCH($AA$4,'Final Calculation Sheet'!$Z$25))))),IF($AB$4="",TRUE(),IF($AB$4="(blank)",'Final Calculation Sheet'!$AA$25="",IF($AB$4="(nonblank)",'Final Calculation Sheet'!$AA$25&lt;&gt;"",ISNUMBER(SEARCH($AB$4,'Final Calculation Sheet'!$AA$25))))),IF($AC$4="",TRUE(),IF($AC$4="(blank)",'Final Calculation Sheet'!$AB$25="",IF($AC$4="(nonblank)",'Final Calculation Sheet'!$AB$25&lt;&gt;"",ISNUMBER(SEARCH($AC$4,'Final Calculation Sheet'!$AB$25))))),IF($AD$4="",TRUE(),IF($AD$4="(blank)",'Final Calculation Sheet'!$AC$25="",IF($AD$4="(nonblank)",'Final Calculation Sheet'!$AC$25&lt;&gt;"",ISNUMBER(SEARCH($AD$4,'Final Calculation Sheet'!$AC$25))))),IF($AE$4="",TRUE(),IF($AE$4="(blank)",'Final Calculation Sheet'!$AD$25="",IF($AE$4="(nonblank)",'Final Calculation Sheet'!$AD$25&lt;&gt;"",ISNUMBER(SEARCH($AE$4,'Final Calculation Sheet'!$AD$25))))),IF($AG$4="",TRUE(),IF($AG$4="(blank)",'Final Calculation Sheet'!$AF$25="",IF($AG$4="(nonblank)",'Final Calculation Sheet'!$AF$25&lt;&gt;"",ISNUMBER(SEARCH($AG$4,'Final Calculation Sheet'!$AF$25))))),IF($AH$4="",TRUE(),IF($AH$4="(blank)",'Final Calculation Sheet'!$AG$25="",IF($AH$4="(nonblank)",'Final Calculation Sheet'!$AG$25&lt;&gt;"",ISNUMBER(SEARCH($AH$4,'Final Calculation Sheet'!$AG$25))))),IF($AI$4="",TRUE(),IF($AI$4="(blank)",'Final Calculation Sheet'!$AH$25="",IF($AI$4="(nonblank)",'Final Calculation Sheet'!$AH$25&lt;&gt;"",ISNUMBER(SEARCH($AI$4,'Final Calculation Sheet'!$AH$25))))),IF($AF$4="",TRUE(),IF($AF$4="(blank)",IF('Final Calculation Sheet'!$AD$25&lt;=5,"SETTLED","OUTSTANDING")="",IF($AF$4="(nonblank)",IF('Final Calculation Sheet'!$AD$25&lt;=5,"SETTLED","OUTSTANDING")&lt;&gt;"",ISNUMBER(SEARCH($AF$4,IF('Final Calculation Sheet'!$AD$25&lt;=5,"SETTLED","OUTSTANDING"))))))),1,0)</f>
      </c>
      <c r="AK53">
        <f>IF(AJ53=1,COUNTIF(AJ$7:AJ53,1),"")</f>
        <v/>
      </c>
    </row>
    <row r="54" outlineLevel="1" ht="15" customHeight="1" s="137">
      <c r="A54" s="90" t="n">
        <v>2</v>
      </c>
      <c r="B54" s="92">
        <f>IF('Final Calculation Sheet'!$F$28="","",'Final Calculation Sheet'!$F$28)</f>
        <v/>
      </c>
      <c r="C54" s="92">
        <f>IF('Final Calculation Sheet'!$G$28="","",'Final Calculation Sheet'!$G$28)</f>
        <v/>
      </c>
      <c r="D54" s="94">
        <f>IF('Final Calculation Sheet'!$B$28="","",'Final Calculation Sheet'!$B$28)</f>
        <v/>
      </c>
      <c r="E54" s="94">
        <f>IF('Final Calculation Sheet'!$D$28="","",'Final Calculation Sheet'!$D$28)</f>
        <v/>
      </c>
      <c r="F54" s="94">
        <f>IF('Final Calculation Sheet'!$A$28="","",'Final Calculation Sheet'!$A$28)</f>
        <v/>
      </c>
      <c r="G54" s="94">
        <f>IF('Final Calculation Sheet'!$E$28="","",'Final Calculation Sheet'!$E$28)</f>
        <v/>
      </c>
      <c r="H54" s="95">
        <f>IF('Final Calculation Sheet'!$C$28="","",'Final Calculation Sheet'!$C$28)</f>
        <v/>
      </c>
      <c r="I54" s="95">
        <f>IF('Final Calculation Sheet'!$H$28="","",'Final Calculation Sheet'!$H$28)</f>
        <v/>
      </c>
      <c r="J54" s="95">
        <f>IF('Final Calculation Sheet'!$I$28="","",'Final Calculation Sheet'!$I$28)</f>
        <v/>
      </c>
      <c r="K54" s="95">
        <f>IF('Final Calculation Sheet'!$J$28="","",'Final Calculation Sheet'!$J$28)</f>
        <v/>
      </c>
      <c r="L54" s="95">
        <f>IF('Final Calculation Sheet'!$K$28="","",'Final Calculation Sheet'!$K$28)</f>
        <v/>
      </c>
      <c r="M54" s="95">
        <f>IF('Final Calculation Sheet'!$L$28="","",'Final Calculation Sheet'!$L$28)</f>
        <v/>
      </c>
      <c r="N54" s="95">
        <f>IF('Final Calculation Sheet'!$M$28="","",'Final Calculation Sheet'!$M$28)</f>
        <v/>
      </c>
      <c r="O54" s="96">
        <f>IF('Final Calculation Sheet'!$N$28="","",'Final Calculation Sheet'!$N$28)</f>
        <v/>
      </c>
      <c r="P54" s="95">
        <f>IF('Final Calculation Sheet'!$O$28="","",'Final Calculation Sheet'!$O$28)</f>
        <v/>
      </c>
      <c r="Q54" s="95">
        <f>IF('Final Calculation Sheet'!$P$28="","",'Final Calculation Sheet'!$P$28)</f>
        <v/>
      </c>
      <c r="R54" s="97">
        <f>IF('Final Calculation Sheet'!$Q$28="","",'Final Calculation Sheet'!$Q$28)</f>
        <v/>
      </c>
      <c r="S54" s="95">
        <f>IF('Final Calculation Sheet'!$R$28="","",'Final Calculation Sheet'!$R$28)</f>
        <v/>
      </c>
      <c r="T54" s="95">
        <f>IF('Final Calculation Sheet'!$S$28="","",'Final Calculation Sheet'!$S$28)</f>
        <v/>
      </c>
      <c r="U54" s="95">
        <f>IF('Final Calculation Sheet'!$T$28="","",'Final Calculation Sheet'!$T$28)</f>
        <v/>
      </c>
      <c r="V54" s="98">
        <f>IF('Final Calculation Sheet'!$U$28="","",'Final Calculation Sheet'!$U$28)</f>
        <v/>
      </c>
      <c r="W54" s="95">
        <f>IF('Final Calculation Sheet'!$V$28="","",'Final Calculation Sheet'!$V$28)</f>
        <v/>
      </c>
      <c r="X54" s="95">
        <f>IF('Final Calculation Sheet'!$W$28="","",'Final Calculation Sheet'!$W$28)</f>
        <v/>
      </c>
      <c r="Y54" s="95">
        <f>IF('Final Calculation Sheet'!$X$28="","",'Final Calculation Sheet'!$X$28)</f>
        <v/>
      </c>
      <c r="Z54" s="95">
        <f>IF('Final Calculation Sheet'!$Y$28="","",'Final Calculation Sheet'!$Y$28)</f>
        <v/>
      </c>
      <c r="AA54" s="95">
        <f>IF('Final Calculation Sheet'!$Z$28="","",'Final Calculation Sheet'!$Z$28)</f>
        <v/>
      </c>
      <c r="AB54" s="95">
        <f>IF('Final Calculation Sheet'!$AA$28="","",'Final Calculation Sheet'!$AA$28)</f>
        <v/>
      </c>
      <c r="AC54" s="95">
        <f>IF('Final Calculation Sheet'!$AB$28="","",'Final Calculation Sheet'!$AB$28)</f>
        <v/>
      </c>
      <c r="AD54" s="95">
        <f>IF('Final Calculation Sheet'!$AC$28="","",'Final Calculation Sheet'!$AC$28)</f>
        <v/>
      </c>
      <c r="AE54" s="95">
        <f>IF('Final Calculation Sheet'!$AD$28="","",'Final Calculation Sheet'!$AD$28)</f>
        <v/>
      </c>
      <c r="AF54" s="100">
        <f>IF('Final Calculation Sheet'!$AD$28="","",IF('Final Calculation Sheet'!$AD$28&lt;=5,"SETTLED","OUTSTANDING"))</f>
        <v/>
      </c>
      <c r="AG54" s="95">
        <f>IF('Final Calculation Sheet'!$AF$28="","",'Final Calculation Sheet'!$AF$28)</f>
        <v/>
      </c>
      <c r="AH54" s="99">
        <f>IF('Final Calculation Sheet'!$AG$28="","",'Final Calculation Sheet'!$AG$28)</f>
        <v/>
      </c>
      <c r="AI54" s="95">
        <f>IF('Final Calculation Sheet'!$AH$28="","",'Final Calculation Sheet'!$AH$28)</f>
        <v/>
      </c>
      <c r="AJ54">
        <f>IF(AND(IF($B$4="",TRUE(),IF($B$4="(blank)",'Final Calculation Sheet'!$F$28="",IF($B$4="(nonblank)",'Final Calculation Sheet'!$F$28&lt;&gt;"",ISNUMBER(SEARCH($B$4,'Final Calculation Sheet'!$F$28))))),IF($C$4="",TRUE(),IF($C$4="(blank)",'Final Calculation Sheet'!$G$28="",IF($C$4="(nonblank)",'Final Calculation Sheet'!$G$28&lt;&gt;"",ISNUMBER(SEARCH($C$4,'Final Calculation Sheet'!$G$28))))),IF($D$4="",TRUE(),IF($D$4="(blank)",'Final Calculation Sheet'!$B$28="",IF($D$4="(nonblank)",'Final Calculation Sheet'!$B$28&lt;&gt;"",ISNUMBER(SEARCH($D$4,'Final Calculation Sheet'!$B$28))))),IF($E$4="",TRUE(),IF($E$4="(blank)",'Final Calculation Sheet'!$D$28="",IF($E$4="(nonblank)",'Final Calculation Sheet'!$D$28&lt;&gt;"",ISNUMBER(SEARCH($E$4,'Final Calculation Sheet'!$D$28))))),IF($F$4="",TRUE(),IF($F$4="(blank)",'Final Calculation Sheet'!$A$28="",IF($F$4="(nonblank)",'Final Calculation Sheet'!$A$28&lt;&gt;"",ISNUMBER(SEARCH($F$4,'Final Calculation Sheet'!$A$28))))),IF($G$4="",TRUE(),IF($G$4="(blank)",'Final Calculation Sheet'!$E$28="",IF($G$4="(nonblank)",'Final Calculation Sheet'!$E$28&lt;&gt;"",ISNUMBER(SEARCH($G$4,'Final Calculation Sheet'!$E$28))))),IF($H$4="",TRUE(),IF($H$4="(blank)",'Final Calculation Sheet'!$C$28="",IF($H$4="(nonblank)",'Final Calculation Sheet'!$C$28&lt;&gt;"",ISNUMBER(SEARCH($H$4,'Final Calculation Sheet'!$C$28))))),IF($I$4="",TRUE(),IF($I$4="(blank)",'Final Calculation Sheet'!$H$28="",IF($I$4="(nonblank)",'Final Calculation Sheet'!$H$28&lt;&gt;"",ISNUMBER(SEARCH($I$4,'Final Calculation Sheet'!$H$28))))),IF($J$4="",TRUE(),IF($J$4="(blank)",'Final Calculation Sheet'!$I$28="",IF($J$4="(nonblank)",'Final Calculation Sheet'!$I$28&lt;&gt;"",ISNUMBER(SEARCH($J$4,'Final Calculation Sheet'!$I$28))))),IF($K$4="",TRUE(),IF($K$4="(blank)",'Final Calculation Sheet'!$J$28="",IF($K$4="(nonblank)",'Final Calculation Sheet'!$J$28&lt;&gt;"",ISNUMBER(SEARCH($K$4,'Final Calculation Sheet'!$J$28))))),IF($L$4="",TRUE(),IF($L$4="(blank)",'Final Calculation Sheet'!$K$28="",IF($L$4="(nonblank)",'Final Calculation Sheet'!$K$28&lt;&gt;"",ISNUMBER(SEARCH($L$4,'Final Calculation Sheet'!$K$28))))),IF($M$4="",TRUE(),IF($M$4="(blank)",'Final Calculation Sheet'!$L$28="",IF($M$4="(nonblank)",'Final Calculation Sheet'!$L$28&lt;&gt;"",ISNUMBER(SEARCH($M$4,'Final Calculation Sheet'!$L$28))))),IF($N$4="",TRUE(),IF($N$4="(blank)",'Final Calculation Sheet'!$M$28="",IF($N$4="(nonblank)",'Final Calculation Sheet'!$M$28&lt;&gt;"",ISNUMBER(SEARCH($N$4,'Final Calculation Sheet'!$M$28))))),IF($O$4="",TRUE(),IF($O$4="(blank)",'Final Calculation Sheet'!$N$28="",IF($O$4="(nonblank)",'Final Calculation Sheet'!$N$28&lt;&gt;"",ISNUMBER(SEARCH($O$4,'Final Calculation Sheet'!$N$28))))),IF($P$4="",TRUE(),IF($P$4="(blank)",'Final Calculation Sheet'!$O$28="",IF($P$4="(nonblank)",'Final Calculation Sheet'!$O$28&lt;&gt;"",ISNUMBER(SEARCH($P$4,'Final Calculation Sheet'!$O$28))))),IF($Q$4="",TRUE(),IF($Q$4="(blank)",'Final Calculation Sheet'!$P$28="",IF($Q$4="(nonblank)",'Final Calculation Sheet'!$P$28&lt;&gt;"",ISNUMBER(SEARCH($Q$4,'Final Calculation Sheet'!$P$28))))),IF($R$4="",TRUE(),IF($R$4="(blank)",'Final Calculation Sheet'!$Q$28="",IF($R$4="(nonblank)",'Final Calculation Sheet'!$Q$28&lt;&gt;"",ISNUMBER(SEARCH($R$4,'Final Calculation Sheet'!$Q$28))))),IF($S$4="",TRUE(),IF($S$4="(blank)",'Final Calculation Sheet'!$R$28="",IF($S$4="(nonblank)",'Final Calculation Sheet'!$R$28&lt;&gt;"",ISNUMBER(SEARCH($S$4,'Final Calculation Sheet'!$R$28))))),IF($T$4="",TRUE(),IF($T$4="(blank)",'Final Calculation Sheet'!$S$28="",IF($T$4="(nonblank)",'Final Calculation Sheet'!$S$28&lt;&gt;"",ISNUMBER(SEARCH($T$4,'Final Calculation Sheet'!$S$28))))),IF($U$4="",TRUE(),IF($U$4="(blank)",'Final Calculation Sheet'!$T$28="",IF($U$4="(nonblank)",'Final Calculation Sheet'!$T$28&lt;&gt;"",ISNUMBER(SEARCH($U$4,'Final Calculation Sheet'!$T$28))))),IF($V$4="",TRUE(),IF($V$4="(blank)",'Final Calculation Sheet'!$U$28="",IF($V$4="(nonblank)",'Final Calculation Sheet'!$U$28&lt;&gt;"",ISNUMBER(SEARCH($V$4,'Final Calculation Sheet'!$U$28))))),IF($W$4="",TRUE(),IF($W$4="(blank)",'Final Calculation Sheet'!$V$28="",IF($W$4="(nonblank)",'Final Calculation Sheet'!$V$28&lt;&gt;"",ISNUMBER(SEARCH($W$4,'Final Calculation Sheet'!$V$28))))),IF($X$4="",TRUE(),IF($X$4="(blank)",'Final Calculation Sheet'!$W$28="",IF($X$4="(nonblank)",'Final Calculation Sheet'!$W$28&lt;&gt;"",ISNUMBER(SEARCH($X$4,'Final Calculation Sheet'!$W$28))))),IF($Y$4="",TRUE(),IF($Y$4="(blank)",'Final Calculation Sheet'!$X$28="",IF($Y$4="(nonblank)",'Final Calculation Sheet'!$X$28&lt;&gt;"",ISNUMBER(SEARCH($Y$4,'Final Calculation Sheet'!$X$28))))),IF($Z$4="",TRUE(),IF($Z$4="(blank)",'Final Calculation Sheet'!$Y$28="",IF($Z$4="(nonblank)",'Final Calculation Sheet'!$Y$28&lt;&gt;"",ISNUMBER(SEARCH($Z$4,'Final Calculation Sheet'!$Y$28))))),IF($AA$4="",TRUE(),IF($AA$4="(blank)",'Final Calculation Sheet'!$Z$28="",IF($AA$4="(nonblank)",'Final Calculation Sheet'!$Z$28&lt;&gt;"",ISNUMBER(SEARCH($AA$4,'Final Calculation Sheet'!$Z$28))))),IF($AB$4="",TRUE(),IF($AB$4="(blank)",'Final Calculation Sheet'!$AA$28="",IF($AB$4="(nonblank)",'Final Calculation Sheet'!$AA$28&lt;&gt;"",ISNUMBER(SEARCH($AB$4,'Final Calculation Sheet'!$AA$28))))),IF($AC$4="",TRUE(),IF($AC$4="(blank)",'Final Calculation Sheet'!$AB$28="",IF($AC$4="(nonblank)",'Final Calculation Sheet'!$AB$28&lt;&gt;"",ISNUMBER(SEARCH($AC$4,'Final Calculation Sheet'!$AB$28))))),IF($AD$4="",TRUE(),IF($AD$4="(blank)",'Final Calculation Sheet'!$AC$28="",IF($AD$4="(nonblank)",'Final Calculation Sheet'!$AC$28&lt;&gt;"",ISNUMBER(SEARCH($AD$4,'Final Calculation Sheet'!$AC$28))))),IF($AE$4="",TRUE(),IF($AE$4="(blank)",'Final Calculation Sheet'!$AD$28="",IF($AE$4="(nonblank)",'Final Calculation Sheet'!$AD$28&lt;&gt;"",ISNUMBER(SEARCH($AE$4,'Final Calculation Sheet'!$AD$28))))),IF($AG$4="",TRUE(),IF($AG$4="(blank)",'Final Calculation Sheet'!$AF$28="",IF($AG$4="(nonblank)",'Final Calculation Sheet'!$AF$28&lt;&gt;"",ISNUMBER(SEARCH($AG$4,'Final Calculation Sheet'!$AF$28))))),IF($AH$4="",TRUE(),IF($AH$4="(blank)",'Final Calculation Sheet'!$AG$28="",IF($AH$4="(nonblank)",'Final Calculation Sheet'!$AG$28&lt;&gt;"",ISNUMBER(SEARCH($AH$4,'Final Calculation Sheet'!$AG$28))))),IF($AI$4="",TRUE(),IF($AI$4="(blank)",'Final Calculation Sheet'!$AH$28="",IF($AI$4="(nonblank)",'Final Calculation Sheet'!$AH$28&lt;&gt;"",ISNUMBER(SEARCH($AI$4,'Final Calculation Sheet'!$AH$28))))),IF($AF$4="",TRUE(),IF($AF$4="(blank)",IF('Final Calculation Sheet'!$AD$28&lt;=5,"SETTLED","OUTSTANDING")="",IF($AF$4="(nonblank)",IF('Final Calculation Sheet'!$AD$28&lt;=5,"SETTLED","OUTSTANDING")&lt;&gt;"",ISNUMBER(SEARCH($AF$4,IF('Final Calculation Sheet'!$AD$28&lt;=5,"SETTLED","OUTSTANDING"))))))),1,0)</f>
      </c>
      <c r="AK54">
        <f>IF(AJ54=1,COUNTIF(AJ$7:AJ54,1),"")</f>
        <v/>
      </c>
    </row>
    <row r="55" outlineLevel="1" ht="15" customHeight="1" s="137">
      <c r="A55" s="67" t="n">
        <v>3</v>
      </c>
      <c r="B55" s="76">
        <f>IF('Final Calculation Sheet'!$F$35="","",'Final Calculation Sheet'!$F$35)</f>
        <v/>
      </c>
      <c r="C55" s="76">
        <f>IF('Final Calculation Sheet'!$G$35="","",'Final Calculation Sheet'!$G$35)</f>
        <v/>
      </c>
      <c r="D55" s="80">
        <f>IF('Final Calculation Sheet'!$B$35="","",'Final Calculation Sheet'!$B$35)</f>
        <v/>
      </c>
      <c r="E55" s="80">
        <f>IF('Final Calculation Sheet'!$D$35="","",'Final Calculation Sheet'!$D$35)</f>
        <v/>
      </c>
      <c r="F55" s="80">
        <f>IF('Final Calculation Sheet'!$A$35="","",'Final Calculation Sheet'!$A$35)</f>
        <v/>
      </c>
      <c r="G55" s="80">
        <f>IF('Final Calculation Sheet'!$E$35="","",'Final Calculation Sheet'!$E$35)</f>
        <v/>
      </c>
      <c r="H55" s="70">
        <f>IF('Final Calculation Sheet'!$C$35="","",'Final Calculation Sheet'!$C$35)</f>
        <v/>
      </c>
      <c r="I55" s="70">
        <f>IF('Final Calculation Sheet'!$H$35="","",'Final Calculation Sheet'!$H$35)</f>
        <v/>
      </c>
      <c r="J55" s="70">
        <f>IF('Final Calculation Sheet'!$I$35="","",'Final Calculation Sheet'!$I$35)</f>
        <v/>
      </c>
      <c r="K55" s="70">
        <f>IF('Final Calculation Sheet'!$J$35="","",'Final Calculation Sheet'!$J$35)</f>
        <v/>
      </c>
      <c r="L55" s="70">
        <f>IF('Final Calculation Sheet'!$K$35="","",'Final Calculation Sheet'!$K$35)</f>
        <v/>
      </c>
      <c r="M55" s="70">
        <f>IF('Final Calculation Sheet'!$L$35="","",'Final Calculation Sheet'!$L$35)</f>
        <v/>
      </c>
      <c r="N55" s="70">
        <f>IF('Final Calculation Sheet'!$M$35="","",'Final Calculation Sheet'!$M$35)</f>
        <v/>
      </c>
      <c r="O55" s="71">
        <f>IF('Final Calculation Sheet'!$N$35="","",'Final Calculation Sheet'!$N$35)</f>
        <v/>
      </c>
      <c r="P55" s="70">
        <f>IF('Final Calculation Sheet'!$O$35="","",'Final Calculation Sheet'!$O$35)</f>
        <v/>
      </c>
      <c r="Q55" s="70">
        <f>IF('Final Calculation Sheet'!$P$35="","",'Final Calculation Sheet'!$P$35)</f>
        <v/>
      </c>
      <c r="R55" s="72">
        <f>IF('Final Calculation Sheet'!$Q$35="","",'Final Calculation Sheet'!$Q$35)</f>
        <v/>
      </c>
      <c r="S55" s="70">
        <f>IF('Final Calculation Sheet'!$R$35="","",'Final Calculation Sheet'!$R$35)</f>
        <v/>
      </c>
      <c r="T55" s="70">
        <f>IF('Final Calculation Sheet'!$S$35="","",'Final Calculation Sheet'!$S$35)</f>
        <v/>
      </c>
      <c r="U55" s="70">
        <f>IF('Final Calculation Sheet'!$T$35="","",'Final Calculation Sheet'!$T$35)</f>
        <v/>
      </c>
      <c r="V55" s="73">
        <f>IF('Final Calculation Sheet'!$U$35="","",'Final Calculation Sheet'!$U$35)</f>
        <v/>
      </c>
      <c r="W55" s="70">
        <f>IF('Final Calculation Sheet'!$V$35="","",'Final Calculation Sheet'!$V$35)</f>
        <v/>
      </c>
      <c r="X55" s="70">
        <f>IF('Final Calculation Sheet'!$W$35="","",'Final Calculation Sheet'!$W$35)</f>
        <v/>
      </c>
      <c r="Y55" s="70">
        <f>IF('Final Calculation Sheet'!$X$35="","",'Final Calculation Sheet'!$X$35)</f>
        <v/>
      </c>
      <c r="Z55" s="70">
        <f>IF('Final Calculation Sheet'!$Y$35="","",'Final Calculation Sheet'!$Y$35)</f>
        <v/>
      </c>
      <c r="AA55" s="70">
        <f>IF('Final Calculation Sheet'!$Z$35="","",'Final Calculation Sheet'!$Z$35)</f>
        <v/>
      </c>
      <c r="AB55" s="70">
        <f>IF('Final Calculation Sheet'!$AA$35="","",'Final Calculation Sheet'!$AA$35)</f>
        <v/>
      </c>
      <c r="AC55" s="70">
        <f>IF('Final Calculation Sheet'!$AB$35="","",'Final Calculation Sheet'!$AB$35)</f>
        <v/>
      </c>
      <c r="AD55" s="70">
        <f>IF('Final Calculation Sheet'!$AC$35="","",'Final Calculation Sheet'!$AC$35)</f>
        <v/>
      </c>
      <c r="AE55" s="70">
        <f>IF('Final Calculation Sheet'!$AD$35="","",'Final Calculation Sheet'!$AD$35)</f>
        <v/>
      </c>
      <c r="AF55" s="75">
        <f>IF('Final Calculation Sheet'!$AD$35="","",IF('Final Calculation Sheet'!$AD$35&lt;=5,"SETTLED","OUTSTANDING"))</f>
        <v/>
      </c>
      <c r="AG55" s="70">
        <f>IF('Final Calculation Sheet'!$AF$35="","",'Final Calculation Sheet'!$AF$35)</f>
        <v/>
      </c>
      <c r="AH55" s="74">
        <f>IF('Final Calculation Sheet'!$AG$35="","",'Final Calculation Sheet'!$AG$35)</f>
        <v/>
      </c>
      <c r="AI55" s="70">
        <f>IF('Final Calculation Sheet'!$AH$35="","",'Final Calculation Sheet'!$AH$35)</f>
        <v/>
      </c>
      <c r="AJ55">
        <f>IF(AND(IF($B$4="",TRUE(),IF($B$4="(blank)",'Final Calculation Sheet'!$F$35="",IF($B$4="(nonblank)",'Final Calculation Sheet'!$F$35&lt;&gt;"",ISNUMBER(SEARCH($B$4,'Final Calculation Sheet'!$F$35))))),IF($C$4="",TRUE(),IF($C$4="(blank)",'Final Calculation Sheet'!$G$35="",IF($C$4="(nonblank)",'Final Calculation Sheet'!$G$35&lt;&gt;"",ISNUMBER(SEARCH($C$4,'Final Calculation Sheet'!$G$35))))),IF($D$4="",TRUE(),IF($D$4="(blank)",'Final Calculation Sheet'!$B$35="",IF($D$4="(nonblank)",'Final Calculation Sheet'!$B$35&lt;&gt;"",ISNUMBER(SEARCH($D$4,'Final Calculation Sheet'!$B$35))))),IF($E$4="",TRUE(),IF($E$4="(blank)",'Final Calculation Sheet'!$D$35="",IF($E$4="(nonblank)",'Final Calculation Sheet'!$D$35&lt;&gt;"",ISNUMBER(SEARCH($E$4,'Final Calculation Sheet'!$D$35))))),IF($F$4="",TRUE(),IF($F$4="(blank)",'Final Calculation Sheet'!$A$35="",IF($F$4="(nonblank)",'Final Calculation Sheet'!$A$35&lt;&gt;"",ISNUMBER(SEARCH($F$4,'Final Calculation Sheet'!$A$35))))),IF($G$4="",TRUE(),IF($G$4="(blank)",'Final Calculation Sheet'!$E$35="",IF($G$4="(nonblank)",'Final Calculation Sheet'!$E$35&lt;&gt;"",ISNUMBER(SEARCH($G$4,'Final Calculation Sheet'!$E$35))))),IF($H$4="",TRUE(),IF($H$4="(blank)",'Final Calculation Sheet'!$C$35="",IF($H$4="(nonblank)",'Final Calculation Sheet'!$C$35&lt;&gt;"",ISNUMBER(SEARCH($H$4,'Final Calculation Sheet'!$C$35))))),IF($I$4="",TRUE(),IF($I$4="(blank)",'Final Calculation Sheet'!$H$35="",IF($I$4="(nonblank)",'Final Calculation Sheet'!$H$35&lt;&gt;"",ISNUMBER(SEARCH($I$4,'Final Calculation Sheet'!$H$35))))),IF($J$4="",TRUE(),IF($J$4="(blank)",'Final Calculation Sheet'!$I$35="",IF($J$4="(nonblank)",'Final Calculation Sheet'!$I$35&lt;&gt;"",ISNUMBER(SEARCH($J$4,'Final Calculation Sheet'!$I$35))))),IF($K$4="",TRUE(),IF($K$4="(blank)",'Final Calculation Sheet'!$J$35="",IF($K$4="(nonblank)",'Final Calculation Sheet'!$J$35&lt;&gt;"",ISNUMBER(SEARCH($K$4,'Final Calculation Sheet'!$J$35))))),IF($L$4="",TRUE(),IF($L$4="(blank)",'Final Calculation Sheet'!$K$35="",IF($L$4="(nonblank)",'Final Calculation Sheet'!$K$35&lt;&gt;"",ISNUMBER(SEARCH($L$4,'Final Calculation Sheet'!$K$35))))),IF($M$4="",TRUE(),IF($M$4="(blank)",'Final Calculation Sheet'!$L$35="",IF($M$4="(nonblank)",'Final Calculation Sheet'!$L$35&lt;&gt;"",ISNUMBER(SEARCH($M$4,'Final Calculation Sheet'!$L$35))))),IF($N$4="",TRUE(),IF($N$4="(blank)",'Final Calculation Sheet'!$M$35="",IF($N$4="(nonblank)",'Final Calculation Sheet'!$M$35&lt;&gt;"",ISNUMBER(SEARCH($N$4,'Final Calculation Sheet'!$M$35))))),IF($O$4="",TRUE(),IF($O$4="(blank)",'Final Calculation Sheet'!$N$35="",IF($O$4="(nonblank)",'Final Calculation Sheet'!$N$35&lt;&gt;"",ISNUMBER(SEARCH($O$4,'Final Calculation Sheet'!$N$35))))),IF($P$4="",TRUE(),IF($P$4="(blank)",'Final Calculation Sheet'!$O$35="",IF($P$4="(nonblank)",'Final Calculation Sheet'!$O$35&lt;&gt;"",ISNUMBER(SEARCH($P$4,'Final Calculation Sheet'!$O$35))))),IF($Q$4="",TRUE(),IF($Q$4="(blank)",'Final Calculation Sheet'!$P$35="",IF($Q$4="(nonblank)",'Final Calculation Sheet'!$P$35&lt;&gt;"",ISNUMBER(SEARCH($Q$4,'Final Calculation Sheet'!$P$35))))),IF($R$4="",TRUE(),IF($R$4="(blank)",'Final Calculation Sheet'!$Q$35="",IF($R$4="(nonblank)",'Final Calculation Sheet'!$Q$35&lt;&gt;"",ISNUMBER(SEARCH($R$4,'Final Calculation Sheet'!$Q$35))))),IF($S$4="",TRUE(),IF($S$4="(blank)",'Final Calculation Sheet'!$R$35="",IF($S$4="(nonblank)",'Final Calculation Sheet'!$R$35&lt;&gt;"",ISNUMBER(SEARCH($S$4,'Final Calculation Sheet'!$R$35))))),IF($T$4="",TRUE(),IF($T$4="(blank)",'Final Calculation Sheet'!$S$35="",IF($T$4="(nonblank)",'Final Calculation Sheet'!$S$35&lt;&gt;"",ISNUMBER(SEARCH($T$4,'Final Calculation Sheet'!$S$35))))),IF($U$4="",TRUE(),IF($U$4="(blank)",'Final Calculation Sheet'!$T$35="",IF($U$4="(nonblank)",'Final Calculation Sheet'!$T$35&lt;&gt;"",ISNUMBER(SEARCH($U$4,'Final Calculation Sheet'!$T$35))))),IF($V$4="",TRUE(),IF($V$4="(blank)",'Final Calculation Sheet'!$U$35="",IF($V$4="(nonblank)",'Final Calculation Sheet'!$U$35&lt;&gt;"",ISNUMBER(SEARCH($V$4,'Final Calculation Sheet'!$U$35))))),IF($W$4="",TRUE(),IF($W$4="(blank)",'Final Calculation Sheet'!$V$35="",IF($W$4="(nonblank)",'Final Calculation Sheet'!$V$35&lt;&gt;"",ISNUMBER(SEARCH($W$4,'Final Calculation Sheet'!$V$35))))),IF($X$4="",TRUE(),IF($X$4="(blank)",'Final Calculation Sheet'!$W$35="",IF($X$4="(nonblank)",'Final Calculation Sheet'!$W$35&lt;&gt;"",ISNUMBER(SEARCH($X$4,'Final Calculation Sheet'!$W$35))))),IF($Y$4="",TRUE(),IF($Y$4="(blank)",'Final Calculation Sheet'!$X$35="",IF($Y$4="(nonblank)",'Final Calculation Sheet'!$X$35&lt;&gt;"",ISNUMBER(SEARCH($Y$4,'Final Calculation Sheet'!$X$35))))),IF($Z$4="",TRUE(),IF($Z$4="(blank)",'Final Calculation Sheet'!$Y$35="",IF($Z$4="(nonblank)",'Final Calculation Sheet'!$Y$35&lt;&gt;"",ISNUMBER(SEARCH($Z$4,'Final Calculation Sheet'!$Y$35))))),IF($AA$4="",TRUE(),IF($AA$4="(blank)",'Final Calculation Sheet'!$Z$35="",IF($AA$4="(nonblank)",'Final Calculation Sheet'!$Z$35&lt;&gt;"",ISNUMBER(SEARCH($AA$4,'Final Calculation Sheet'!$Z$35))))),IF($AB$4="",TRUE(),IF($AB$4="(blank)",'Final Calculation Sheet'!$AA$35="",IF($AB$4="(nonblank)",'Final Calculation Sheet'!$AA$35&lt;&gt;"",ISNUMBER(SEARCH($AB$4,'Final Calculation Sheet'!$AA$35))))),IF($AC$4="",TRUE(),IF($AC$4="(blank)",'Final Calculation Sheet'!$AB$35="",IF($AC$4="(nonblank)",'Final Calculation Sheet'!$AB$35&lt;&gt;"",ISNUMBER(SEARCH($AC$4,'Final Calculation Sheet'!$AB$35))))),IF($AD$4="",TRUE(),IF($AD$4="(blank)",'Final Calculation Sheet'!$AC$35="",IF($AD$4="(nonblank)",'Final Calculation Sheet'!$AC$35&lt;&gt;"",ISNUMBER(SEARCH($AD$4,'Final Calculation Sheet'!$AC$35))))),IF($AE$4="",TRUE(),IF($AE$4="(blank)",'Final Calculation Sheet'!$AD$35="",IF($AE$4="(nonblank)",'Final Calculation Sheet'!$AD$35&lt;&gt;"",ISNUMBER(SEARCH($AE$4,'Final Calculation Sheet'!$AD$35))))),IF($AG$4="",TRUE(),IF($AG$4="(blank)",'Final Calculation Sheet'!$AF$35="",IF($AG$4="(nonblank)",'Final Calculation Sheet'!$AF$35&lt;&gt;"",ISNUMBER(SEARCH($AG$4,'Final Calculation Sheet'!$AF$35))))),IF($AH$4="",TRUE(),IF($AH$4="(blank)",'Final Calculation Sheet'!$AG$35="",IF($AH$4="(nonblank)",'Final Calculation Sheet'!$AG$35&lt;&gt;"",ISNUMBER(SEARCH($AH$4,'Final Calculation Sheet'!$AG$35))))),IF($AI$4="",TRUE(),IF($AI$4="(blank)",'Final Calculation Sheet'!$AH$35="",IF($AI$4="(nonblank)",'Final Calculation Sheet'!$AH$35&lt;&gt;"",ISNUMBER(SEARCH($AI$4,'Final Calculation Sheet'!$AH$35))))),IF($AF$4="",TRUE(),IF($AF$4="(blank)",IF('Final Calculation Sheet'!$AD$35&lt;=5,"SETTLED","OUTSTANDING")="",IF($AF$4="(nonblank)",IF('Final Calculation Sheet'!$AD$35&lt;=5,"SETTLED","OUTSTANDING")&lt;&gt;"",ISNUMBER(SEARCH($AF$4,IF('Final Calculation Sheet'!$AD$35&lt;=5,"SETTLED","OUTSTANDING"))))))),1,0)</f>
      </c>
      <c r="AK55">
        <f>IF(AJ55=1,COUNTIF(AJ$7:AJ55,1),"")</f>
        <v/>
      </c>
    </row>
    <row r="56" ht="15" customHeight="1" s="137">
      <c r="A56" s="81" t="inlineStr">
        <is>
          <t>∑</t>
        </is>
      </c>
      <c r="B56" s="83" t="n"/>
      <c r="C56" s="83">
        <f>ROWS($C$53:$C$55)&amp;" lot(s)"</f>
        <v/>
      </c>
      <c r="D56" s="83" t="inlineStr">
        <is>
          <t>SUBTOTAL — WATAN SCRAP TRADERS</t>
        </is>
      </c>
      <c r="E56" s="83" t="inlineStr">
        <is>
          <t>–</t>
        </is>
      </c>
      <c r="F56" s="83">
        <f>SUM(F53:F55)</f>
        <v/>
      </c>
      <c r="G56" s="83" t="inlineStr">
        <is>
          <t>–</t>
        </is>
      </c>
      <c r="H56" s="84" t="inlineStr">
        <is>
          <t>–</t>
        </is>
      </c>
      <c r="I56" s="84">
        <f>SUM(I53:I55)</f>
        <v/>
      </c>
      <c r="J56" s="84">
        <f>SUM(J53:J55)</f>
        <v/>
      </c>
      <c r="K56" s="84">
        <f>SUM(K53:K55)</f>
        <v/>
      </c>
      <c r="L56" s="84">
        <f>SUM(L53:L55)</f>
        <v/>
      </c>
      <c r="M56" s="84">
        <f>SUM(M53:M55)</f>
        <v/>
      </c>
      <c r="N56" s="84">
        <f>SUM(N53:N55)</f>
        <v/>
      </c>
      <c r="O56" s="85">
        <f>SUM(O53:O55)</f>
        <v/>
      </c>
      <c r="P56" s="84">
        <f>SUM(P53:P55)</f>
        <v/>
      </c>
      <c r="Q56" s="84">
        <f>SUM(Q53:Q55)</f>
        <v/>
      </c>
      <c r="R56" s="86" t="inlineStr">
        <is>
          <t>–</t>
        </is>
      </c>
      <c r="S56" s="84">
        <f>SUM(S53:S55)</f>
        <v/>
      </c>
      <c r="T56" s="84">
        <f>SUM(T53:T55)</f>
        <v/>
      </c>
      <c r="U56" s="84">
        <f>SUM(U53:U55)</f>
        <v/>
      </c>
      <c r="V56" s="87">
        <f>SUM(V53:V55)</f>
        <v/>
      </c>
      <c r="W56" s="84" t="inlineStr">
        <is>
          <t>–</t>
        </is>
      </c>
      <c r="X56" s="84">
        <f>SUM(X53:X55)</f>
        <v/>
      </c>
      <c r="Y56" s="84">
        <f>SUM(Y53:Y55)</f>
        <v/>
      </c>
      <c r="Z56" s="84" t="inlineStr">
        <is>
          <t>–</t>
        </is>
      </c>
      <c r="AA56" s="84">
        <f>SUM(AA53:AA55)</f>
        <v/>
      </c>
      <c r="AB56" s="84">
        <f>SUM(AB53:AB55)</f>
        <v/>
      </c>
      <c r="AC56" s="84" t="inlineStr">
        <is>
          <t>–</t>
        </is>
      </c>
      <c r="AD56" s="84">
        <f>SUM(AD53:AD55)</f>
        <v/>
      </c>
      <c r="AE56" s="84">
        <f>SUM(AE53:AE55)</f>
        <v/>
      </c>
      <c r="AF56" s="89">
        <f>IF(AE56&lt;=5,"SETTLED","OUTSTANDING")</f>
        <v/>
      </c>
      <c r="AG56" s="84" t="inlineStr">
        <is>
          <t>–</t>
        </is>
      </c>
      <c r="AH56" s="88" t="inlineStr">
        <is>
          <t>–</t>
        </is>
      </c>
      <c r="AI56" s="84" t="inlineStr">
        <is>
          <t>–</t>
        </is>
      </c>
    </row>
    <row r="57" ht="15" customHeight="1" s="137">
      <c r="A57" s="101" t="inlineStr">
        <is>
          <t>∑</t>
        </is>
      </c>
      <c r="B57" s="102" t="n"/>
      <c r="C57" s="102">
        <f>COUNTA('Final Calculation Sheet'!$G$4:$G$40)&amp;" lot(s)"</f>
        <v/>
      </c>
      <c r="D57" s="102" t="inlineStr">
        <is>
          <t>TOTAL — every buyer together</t>
        </is>
      </c>
      <c r="E57" s="102" t="inlineStr">
        <is>
          <t>–</t>
        </is>
      </c>
      <c r="F57" s="102">
        <f>SUM(F8,F11,F13,F15,F17,F31,F33,F36,F39,F41,F44,F52,F56)</f>
        <v/>
      </c>
      <c r="G57" s="102" t="inlineStr">
        <is>
          <t>–</t>
        </is>
      </c>
      <c r="H57" s="103" t="inlineStr">
        <is>
          <t>–</t>
        </is>
      </c>
      <c r="I57" s="103">
        <f>SUM(I8,I11,I13,I15,I17,I31,I33,I36,I39,I41,I44,I52,I56)</f>
        <v/>
      </c>
      <c r="J57" s="103">
        <f>SUM(J8,J11,J13,J15,J17,J31,J33,J36,J39,J41,J44,J52,J56)</f>
        <v/>
      </c>
      <c r="K57" s="103">
        <f>SUM(K8,K11,K13,K15,K17,K31,K33,K36,K39,K41,K44,K52,K56)</f>
        <v/>
      </c>
      <c r="L57" s="103">
        <f>SUM(L8,L11,L13,L15,L17,L31,L33,L36,L39,L41,L44,L52,L56)</f>
        <v/>
      </c>
      <c r="M57" s="103">
        <f>SUM(M8,M11,M13,M15,M17,M31,M33,M36,M39,M41,M44,M52,M56)</f>
        <v/>
      </c>
      <c r="N57" s="103">
        <f>SUM(N8,N11,N13,N15,N17,N31,N33,N36,N39,N41,N44,N52,N56)</f>
        <v/>
      </c>
      <c r="O57" s="104">
        <f>SUM(O8,O11,O13,O15,O17,O31,O33,O36,O39,O41,O44,O52,O56)</f>
        <v/>
      </c>
      <c r="P57" s="103">
        <f>SUM(P8,P11,P13,P15,P17,P31,P33,P36,P39,P41,P44,P52,P56)</f>
        <v/>
      </c>
      <c r="Q57" s="103">
        <f>SUM(Q8,Q11,Q13,Q15,Q17,Q31,Q33,Q36,Q39,Q41,Q44,Q52,Q56)</f>
        <v/>
      </c>
      <c r="R57" s="105" t="inlineStr">
        <is>
          <t>–</t>
        </is>
      </c>
      <c r="S57" s="103">
        <f>SUM(S8,S11,S13,S15,S17,S31,S33,S36,S39,S41,S44,S52,S56)</f>
        <v/>
      </c>
      <c r="T57" s="103">
        <f>SUM(T8,T11,T13,T15,T17,T31,T33,T36,T39,T41,T44,T52,T56)</f>
        <v/>
      </c>
      <c r="U57" s="103">
        <f>SUM(U8,U11,U13,U15,U17,U31,U33,U36,U39,U41,U44,U52,U56)</f>
        <v/>
      </c>
      <c r="V57" s="106">
        <f>SUM(V8,V11,V13,V15,V17,V31,V33,V36,V39,V41,V44,V52,V56)</f>
        <v/>
      </c>
      <c r="W57" s="103" t="inlineStr">
        <is>
          <t>–</t>
        </is>
      </c>
      <c r="X57" s="103">
        <f>SUM(X8,X11,X13,X15,X17,X31,X33,X36,X39,X41,X44,X52,X56)</f>
        <v/>
      </c>
      <c r="Y57" s="103">
        <f>SUM(Y8,Y11,Y13,Y15,Y17,Y31,Y33,Y36,Y39,Y41,Y44,Y52,Y56)</f>
        <v/>
      </c>
      <c r="Z57" s="103" t="inlineStr">
        <is>
          <t>–</t>
        </is>
      </c>
      <c r="AA57" s="103">
        <f>SUM(AA8,AA11,AA13,AA15,AA17,AA31,AA33,AA36,AA39,AA41,AA44,AA52,AA56)</f>
        <v/>
      </c>
      <c r="AB57" s="103">
        <f>SUM(AB8,AB11,AB13,AB15,AB17,AB31,AB33,AB36,AB39,AB41,AB44,AB52,AB56)</f>
        <v/>
      </c>
      <c r="AC57" s="103" t="inlineStr">
        <is>
          <t>–</t>
        </is>
      </c>
      <c r="AD57" s="103">
        <f>SUM(AD8,AD11,AD13,AD15,AD17,AD31,AD33,AD36,AD39,AD41,AD44,AD52,AD56)</f>
        <v/>
      </c>
      <c r="AE57" s="103">
        <f>SUM(AE8,AE11,AE13,AE15,AE17,AE31,AE33,AE36,AE39,AE41,AE44,AE52,AE56)</f>
        <v/>
      </c>
      <c r="AF57" s="108">
        <f>IF(AE57&lt;=5,"SETTLED","OUTSTANDING")</f>
        <v/>
      </c>
      <c r="AG57" s="103" t="inlineStr">
        <is>
          <t>–</t>
        </is>
      </c>
      <c r="AH57" s="107" t="inlineStr">
        <is>
          <t>–</t>
        </is>
      </c>
      <c r="AI57" s="103" t="inlineStr">
        <is>
          <t>–</t>
        </is>
      </c>
      <c r="AM57">
        <f>IF(AND(Lists!$O$4&lt;&gt;"",ISNUMBER(SEARCH($B$4,Lists!$O$4))),1,0)</f>
        <v/>
      </c>
      <c r="AN57">
        <f>IF(ROW()-56&gt;MAX($AM$57:$AM$95),"",INDEX(Lists!$O$4:$O$42,MATCH(ROW()-56,$AM$57:$AM$95,0)))</f>
        <v/>
      </c>
      <c r="AO57">
        <f>IF(AND(Lists!$T$4&lt;&gt;"",ISNUMBER(SEARCH($C$4,Lists!$T$4))),1,0)</f>
        <v/>
      </c>
      <c r="AP57">
        <f>IF(ROW()-56&gt;MAX($AO$57:$AO$95),"",INDEX(Lists!$T$4:$T$42,MATCH(ROW()-56,$AO$57:$AO$95,0)))</f>
        <v/>
      </c>
      <c r="AQ57">
        <f>IF(AND(Lists!$Y$4&lt;&gt;"",ISNUMBER(SEARCH($D$4,Lists!$Y$4))),1,0)</f>
        <v/>
      </c>
      <c r="AR57">
        <f>IF(ROW()-56&gt;MAX($AQ$57:$AQ$95),"",INDEX(Lists!$Y$4:$Y$42,MATCH(ROW()-56,$AQ$57:$AQ$95,0)))</f>
        <v/>
      </c>
      <c r="AS57">
        <f>IF(AND(Lists!$AD$4&lt;&gt;"",ISNUMBER(SEARCH($E$4,Lists!$AD$4))),1,0)</f>
        <v/>
      </c>
      <c r="AT57">
        <f>IF(ROW()-56&gt;MAX($AS$57:$AS$95),"",INDEX(Lists!$AD$4:$AD$42,MATCH(ROW()-56,$AS$57:$AS$95,0)))</f>
        <v/>
      </c>
      <c r="AU57">
        <f>IF(AND(Lists!$AI$4&lt;&gt;"",ISNUMBER(SEARCH($F$4,Lists!$AI$4))),1,0)</f>
        <v/>
      </c>
      <c r="AV57">
        <f>IF(ROW()-56&gt;MAX($AU$57:$AU$95),"",INDEX(Lists!$AI$4:$AI$42,MATCH(ROW()-56,$AU$57:$AU$95,0)))</f>
        <v/>
      </c>
      <c r="AW57">
        <f>IF(AND(Lists!$AN$4&lt;&gt;"",ISNUMBER(SEARCH($G$4,Lists!$AN$4))),1,0)</f>
        <v/>
      </c>
      <c r="AX57">
        <f>IF(ROW()-56&gt;MAX($AW$57:$AW$95),"",INDEX(Lists!$AN$4:$AN$42,MATCH(ROW()-56,$AW$57:$AW$95,0)))</f>
        <v/>
      </c>
      <c r="AY57">
        <f>IF(AND(Lists!$AS$4&lt;&gt;"",ISNUMBER(SEARCH($H$4,Lists!$AS$4))),1,0)</f>
        <v/>
      </c>
      <c r="AZ57">
        <f>IF(ROW()-56&gt;MAX($AY$57:$AY$95),"",INDEX(Lists!$AS$4:$AS$42,MATCH(ROW()-56,$AY$57:$AY$95,0)))</f>
        <v/>
      </c>
      <c r="BA57">
        <f>IF(AND(Lists!$AX$4&lt;&gt;"",ISNUMBER(SEARCH($I$4,Lists!$AX$4))),1,0)</f>
        <v/>
      </c>
      <c r="BB57">
        <f>IF(ROW()-56&gt;MAX($BA$57:$BA$95),"",INDEX(Lists!$AX$4:$AX$42,MATCH(ROW()-56,$BA$57:$BA$95,0)))</f>
        <v/>
      </c>
      <c r="BC57">
        <f>IF(AND(Lists!$BC$4&lt;&gt;"",ISNUMBER(SEARCH($J$4,Lists!$BC$4))),1,0)</f>
        <v/>
      </c>
      <c r="BD57">
        <f>IF(ROW()-56&gt;MAX($BC$57:$BC$95),"",INDEX(Lists!$BC$4:$BC$42,MATCH(ROW()-56,$BC$57:$BC$95,0)))</f>
        <v/>
      </c>
      <c r="BE57">
        <f>IF(AND(Lists!$BH$4&lt;&gt;"",ISNUMBER(SEARCH($K$4,Lists!$BH$4))),1,0)</f>
        <v/>
      </c>
      <c r="BF57">
        <f>IF(ROW()-56&gt;MAX($BE$57:$BE$95),"",INDEX(Lists!$BH$4:$BH$42,MATCH(ROW()-56,$BE$57:$BE$95,0)))</f>
        <v/>
      </c>
      <c r="BG57">
        <f>IF(AND(Lists!$BM$4&lt;&gt;"",ISNUMBER(SEARCH($L$4,Lists!$BM$4))),1,0)</f>
        <v/>
      </c>
      <c r="BH57">
        <f>IF(ROW()-56&gt;MAX($BG$57:$BG$95),"",INDEX(Lists!$BM$4:$BM$42,MATCH(ROW()-56,$BG$57:$BG$95,0)))</f>
        <v/>
      </c>
      <c r="BI57">
        <f>IF(AND(Lists!$BR$4&lt;&gt;"",ISNUMBER(SEARCH($M$4,Lists!$BR$4))),1,0)</f>
        <v/>
      </c>
      <c r="BJ57">
        <f>IF(ROW()-56&gt;MAX($BI$57:$BI$95),"",INDEX(Lists!$BR$4:$BR$42,MATCH(ROW()-56,$BI$57:$BI$95,0)))</f>
        <v/>
      </c>
      <c r="BK57">
        <f>IF(AND(Lists!$BW$4&lt;&gt;"",ISNUMBER(SEARCH($N$4,Lists!$BW$4))),1,0)</f>
        <v/>
      </c>
      <c r="BL57">
        <f>IF(ROW()-56&gt;MAX($BK$57:$BK$95),"",INDEX(Lists!$BW$4:$BW$42,MATCH(ROW()-56,$BK$57:$BK$95,0)))</f>
        <v/>
      </c>
      <c r="BM57">
        <f>IF(AND(Lists!$CB$4&lt;&gt;"",ISNUMBER(SEARCH($O$4,Lists!$CB$4))),1,0)</f>
        <v/>
      </c>
      <c r="BN57">
        <f>IF(ROW()-56&gt;MAX($BM$57:$BM$95),"",INDEX(Lists!$CB$4:$CB$42,MATCH(ROW()-56,$BM$57:$BM$95,0)))</f>
        <v/>
      </c>
      <c r="BO57">
        <f>IF(AND(Lists!$CG$4&lt;&gt;"",ISNUMBER(SEARCH($P$4,Lists!$CG$4))),1,0)</f>
        <v/>
      </c>
      <c r="BP57">
        <f>IF(ROW()-56&gt;MAX($BO$57:$BO$95),"",INDEX(Lists!$CG$4:$CG$42,MATCH(ROW()-56,$BO$57:$BO$95,0)))</f>
        <v/>
      </c>
      <c r="BQ57">
        <f>IF(AND(Lists!$CL$4&lt;&gt;"",ISNUMBER(SEARCH($Q$4,Lists!$CL$4))),1,0)</f>
        <v/>
      </c>
      <c r="BR57">
        <f>IF(ROW()-56&gt;MAX($BQ$57:$BQ$95),"",INDEX(Lists!$CL$4:$CL$42,MATCH(ROW()-56,$BQ$57:$BQ$95,0)))</f>
        <v/>
      </c>
      <c r="BS57">
        <f>IF(AND(Lists!$CQ$4&lt;&gt;"",ISNUMBER(SEARCH($R$4,Lists!$CQ$4))),1,0)</f>
        <v/>
      </c>
      <c r="BT57">
        <f>IF(ROW()-56&gt;MAX($BS$57:$BS$95),"",INDEX(Lists!$CQ$4:$CQ$42,MATCH(ROW()-56,$BS$57:$BS$95,0)))</f>
        <v/>
      </c>
      <c r="BU57">
        <f>IF(AND(Lists!$CV$4&lt;&gt;"",ISNUMBER(SEARCH($S$4,Lists!$CV$4))),1,0)</f>
        <v/>
      </c>
      <c r="BV57">
        <f>IF(ROW()-56&gt;MAX($BU$57:$BU$95),"",INDEX(Lists!$CV$4:$CV$42,MATCH(ROW()-56,$BU$57:$BU$95,0)))</f>
        <v/>
      </c>
      <c r="BW57">
        <f>IF(AND(Lists!$DA$4&lt;&gt;"",ISNUMBER(SEARCH($T$4,Lists!$DA$4))),1,0)</f>
        <v/>
      </c>
      <c r="BX57">
        <f>IF(ROW()-56&gt;MAX($BW$57:$BW$95),"",INDEX(Lists!$DA$4:$DA$42,MATCH(ROW()-56,$BW$57:$BW$95,0)))</f>
        <v/>
      </c>
      <c r="BY57">
        <f>IF(AND(Lists!$DF$4&lt;&gt;"",ISNUMBER(SEARCH($U$4,Lists!$DF$4))),1,0)</f>
        <v/>
      </c>
      <c r="BZ57">
        <f>IF(ROW()-56&gt;MAX($BY$57:$BY$95),"",INDEX(Lists!$DF$4:$DF$42,MATCH(ROW()-56,$BY$57:$BY$95,0)))</f>
        <v/>
      </c>
      <c r="CA57">
        <f>IF(AND(Lists!$DK$4&lt;&gt;"",ISNUMBER(SEARCH($V$4,Lists!$DK$4))),1,0)</f>
        <v/>
      </c>
      <c r="CB57">
        <f>IF(ROW()-56&gt;MAX($CA$57:$CA$95),"",INDEX(Lists!$DK$4:$DK$42,MATCH(ROW()-56,$CA$57:$CA$95,0)))</f>
        <v/>
      </c>
      <c r="CC57">
        <f>IF(AND(Lists!$DP$4&lt;&gt;"",ISNUMBER(SEARCH($W$4,Lists!$DP$4))),1,0)</f>
        <v/>
      </c>
      <c r="CD57">
        <f>IF(ROW()-56&gt;MAX($CC$57:$CC$95),"",INDEX(Lists!$DP$4:$DP$42,MATCH(ROW()-56,$CC$57:$CC$95,0)))</f>
        <v/>
      </c>
      <c r="CE57">
        <f>IF(AND(Lists!$DU$4&lt;&gt;"",ISNUMBER(SEARCH($X$4,Lists!$DU$4))),1,0)</f>
        <v/>
      </c>
      <c r="CF57">
        <f>IF(ROW()-56&gt;MAX($CE$57:$CE$95),"",INDEX(Lists!$DU$4:$DU$42,MATCH(ROW()-56,$CE$57:$CE$95,0)))</f>
        <v/>
      </c>
      <c r="CG57">
        <f>IF(AND(Lists!$DZ$4&lt;&gt;"",ISNUMBER(SEARCH($Y$4,Lists!$DZ$4))),1,0)</f>
        <v/>
      </c>
      <c r="CH57">
        <f>IF(ROW()-56&gt;MAX($CG$57:$CG$95),"",INDEX(Lists!$DZ$4:$DZ$42,MATCH(ROW()-56,$CG$57:$CG$95,0)))</f>
        <v/>
      </c>
      <c r="CI57">
        <f>IF(AND(Lists!$EE$4&lt;&gt;"",ISNUMBER(SEARCH($Z$4,Lists!$EE$4))),1,0)</f>
        <v/>
      </c>
      <c r="CJ57">
        <f>IF(ROW()-56&gt;MAX($CI$57:$CI$95),"",INDEX(Lists!$EE$4:$EE$42,MATCH(ROW()-56,$CI$57:$CI$95,0)))</f>
        <v/>
      </c>
      <c r="CK57">
        <f>IF(AND(Lists!$EJ$4&lt;&gt;"",ISNUMBER(SEARCH($AA$4,Lists!$EJ$4))),1,0)</f>
        <v/>
      </c>
      <c r="CL57">
        <f>IF(ROW()-56&gt;MAX($CK$57:$CK$95),"",INDEX(Lists!$EJ$4:$EJ$42,MATCH(ROW()-56,$CK$57:$CK$95,0)))</f>
        <v/>
      </c>
      <c r="CM57">
        <f>IF(AND(Lists!$EO$4&lt;&gt;"",ISNUMBER(SEARCH($AB$4,Lists!$EO$4))),1,0)</f>
        <v/>
      </c>
      <c r="CN57">
        <f>IF(ROW()-56&gt;MAX($CM$57:$CM$95),"",INDEX(Lists!$EO$4:$EO$42,MATCH(ROW()-56,$CM$57:$CM$95,0)))</f>
        <v/>
      </c>
      <c r="CO57">
        <f>IF(AND(Lists!$ET$4&lt;&gt;"",ISNUMBER(SEARCH($AC$4,Lists!$ET$4))),1,0)</f>
        <v/>
      </c>
      <c r="CP57">
        <f>IF(ROW()-56&gt;MAX($CO$57:$CO$95),"",INDEX(Lists!$ET$4:$ET$42,MATCH(ROW()-56,$CO$57:$CO$95,0)))</f>
        <v/>
      </c>
      <c r="CQ57">
        <f>IF(AND(Lists!$EY$4&lt;&gt;"",ISNUMBER(SEARCH($AD$4,Lists!$EY$4))),1,0)</f>
        <v/>
      </c>
      <c r="CR57">
        <f>IF(ROW()-56&gt;MAX($CQ$57:$CQ$95),"",INDEX(Lists!$EY$4:$EY$42,MATCH(ROW()-56,$CQ$57:$CQ$95,0)))</f>
        <v/>
      </c>
      <c r="CS57">
        <f>IF(AND(Lists!$FD$4&lt;&gt;"",ISNUMBER(SEARCH($AE$4,Lists!$FD$4))),1,0)</f>
        <v/>
      </c>
      <c r="CT57">
        <f>IF(ROW()-56&gt;MAX($CS$57:$CS$95),"",INDEX(Lists!$FD$4:$FD$42,MATCH(ROW()-56,$CS$57:$CS$95,0)))</f>
        <v/>
      </c>
      <c r="CU57">
        <f>IF(AND(Lists!$FI$4&lt;&gt;"",ISNUMBER(SEARCH($AG$4,Lists!$FI$4))),1,0)</f>
        <v/>
      </c>
      <c r="CV57">
        <f>IF(ROW()-56&gt;MAX($CU$57:$CU$95),"",INDEX(Lists!$FI$4:$FI$42,MATCH(ROW()-56,$CU$57:$CU$95,0)))</f>
        <v/>
      </c>
      <c r="CW57">
        <f>IF(AND(Lists!$FN$4&lt;&gt;"",ISNUMBER(SEARCH($AH$4,Lists!$FN$4))),1,0)</f>
        <v/>
      </c>
      <c r="CX57">
        <f>IF(ROW()-56&gt;MAX($CW$57:$CW$95),"",INDEX(Lists!$FN$4:$FN$42,MATCH(ROW()-56,$CW$57:$CW$95,0)))</f>
        <v/>
      </c>
      <c r="CY57">
        <f>IF(AND(Lists!$FS$4&lt;&gt;"",ISNUMBER(SEARCH($AI$4,Lists!$FS$4))),1,0)</f>
        <v/>
      </c>
      <c r="CZ57">
        <f>IF(ROW()-56&gt;MAX($CY$57:$CY$95),"",INDEX(Lists!$FS$4:$FS$42,MATCH(ROW()-56,$CY$57:$CY$95,0)))</f>
        <v/>
      </c>
      <c r="DA57">
        <f>IF(AND(Lists!$FX$4&lt;&gt;"",ISNUMBER(SEARCH($AF$4,Lists!$FX$4))),1,0)</f>
        <v/>
      </c>
      <c r="DB57">
        <f>IF(ROW()-56&gt;MAX($DA$57:$DA$95),"",INDEX(Lists!$FX$4:$FX$42,MATCH(ROW()-56,$DA$57:$DA$95,0)))</f>
        <v/>
      </c>
    </row>
    <row r="58" ht="15" customHeight="1" s="137">
      <c r="A58" s="109" t="inlineStr">
        <is>
          <t>∑</t>
        </is>
      </c>
      <c r="B58" s="110" t="n"/>
      <c r="C58" s="110">
        <f>COUNTA('Final Calculation Sheet'!$G$4:$G$40)&amp;" lot(s)"</f>
        <v/>
      </c>
      <c r="D58" s="110" t="inlineStr">
        <is>
          <t>GRAND TOTAL — cross-checked to source</t>
        </is>
      </c>
      <c r="E58" s="110" t="inlineStr">
        <is>
          <t>–</t>
        </is>
      </c>
      <c r="F58" s="110">
        <f>SUM('Final Calculation Sheet'!$A$4:$A$40)</f>
        <v/>
      </c>
      <c r="G58" s="110" t="inlineStr">
        <is>
          <t>–</t>
        </is>
      </c>
      <c r="H58" s="111" t="inlineStr">
        <is>
          <t>–</t>
        </is>
      </c>
      <c r="I58" s="111">
        <f>SUM('Final Calculation Sheet'!$H$4:$H$40)</f>
        <v/>
      </c>
      <c r="J58" s="111">
        <f>SUM('Final Calculation Sheet'!$I$4:$I$40)</f>
        <v/>
      </c>
      <c r="K58" s="111">
        <f>SUM('Final Calculation Sheet'!$J$4:$J$40)</f>
        <v/>
      </c>
      <c r="L58" s="111">
        <f>SUM('Final Calculation Sheet'!$K$4:$K$40)</f>
        <v/>
      </c>
      <c r="M58" s="111">
        <f>SUM('Final Calculation Sheet'!$L$4:$L$40)</f>
        <v/>
      </c>
      <c r="N58" s="111">
        <f>SUM('Final Calculation Sheet'!$M$4:$M$40)</f>
        <v/>
      </c>
      <c r="O58" s="112">
        <f>SUM('Final Calculation Sheet'!$N$4:$N$40)</f>
        <v/>
      </c>
      <c r="P58" s="111">
        <f>SUM('Final Calculation Sheet'!$O$4:$O$40)</f>
        <v/>
      </c>
      <c r="Q58" s="111">
        <f>SUM('Final Calculation Sheet'!$P$4:$P$40)</f>
        <v/>
      </c>
      <c r="R58" s="113" t="inlineStr">
        <is>
          <t>–</t>
        </is>
      </c>
      <c r="S58" s="111">
        <f>SUM('Final Calculation Sheet'!$R$4:$R$40)</f>
        <v/>
      </c>
      <c r="T58" s="111">
        <f>SUM('Final Calculation Sheet'!$S$4:$S$40)</f>
        <v/>
      </c>
      <c r="U58" s="111">
        <f>SUM('Final Calculation Sheet'!$T$4:$T$40)</f>
        <v/>
      </c>
      <c r="V58" s="114">
        <f>SUM('Final Calculation Sheet'!$U$4:$U$40)</f>
        <v/>
      </c>
      <c r="W58" s="111" t="inlineStr">
        <is>
          <t>–</t>
        </is>
      </c>
      <c r="X58" s="111">
        <f>SUM('Final Calculation Sheet'!$W$4:$W$40)</f>
        <v/>
      </c>
      <c r="Y58" s="111">
        <f>SUM('Final Calculation Sheet'!$X$4:$X$40)</f>
        <v/>
      </c>
      <c r="Z58" s="111" t="inlineStr">
        <is>
          <t>–</t>
        </is>
      </c>
      <c r="AA58" s="111">
        <f>SUM('Final Calculation Sheet'!$Z$4:$Z$40)</f>
        <v/>
      </c>
      <c r="AB58" s="111">
        <f>SUM('Final Calculation Sheet'!$AA$4:$AA$40)</f>
        <v/>
      </c>
      <c r="AC58" s="111" t="inlineStr">
        <is>
          <t>–</t>
        </is>
      </c>
      <c r="AD58" s="111">
        <f>SUM('Final Calculation Sheet'!$AC$4:$AC$40)</f>
        <v/>
      </c>
      <c r="AE58" s="111">
        <f>SUM('Final Calculation Sheet'!$AD$4:$AD$40)</f>
        <v/>
      </c>
      <c r="AF58" s="116">
        <f>IF(AE58&lt;=5,"SETTLED","OUTSTANDING")</f>
        <v/>
      </c>
      <c r="AG58" s="111" t="inlineStr">
        <is>
          <t>–</t>
        </is>
      </c>
      <c r="AH58" s="115" t="inlineStr">
        <is>
          <t>–</t>
        </is>
      </c>
      <c r="AI58" s="111" t="inlineStr">
        <is>
          <t>–</t>
        </is>
      </c>
      <c r="AM58">
        <f>AM57+IF(AND(Lists!$O$5&lt;&gt;"",ISNUMBER(SEARCH($B$4,Lists!$O$5))),1,0)</f>
        <v/>
      </c>
      <c r="AN58">
        <f>IF(ROW()-56&gt;MAX($AM$57:$AM$95),"",INDEX(Lists!$O$4:$O$42,MATCH(ROW()-56,$AM$57:$AM$95,0)))</f>
        <v/>
      </c>
      <c r="AO58">
        <f>AO57+IF(AND(Lists!$T$5&lt;&gt;"",ISNUMBER(SEARCH($C$4,Lists!$T$5))),1,0)</f>
        <v/>
      </c>
      <c r="AP58">
        <f>IF(ROW()-56&gt;MAX($AO$57:$AO$95),"",INDEX(Lists!$T$4:$T$42,MATCH(ROW()-56,$AO$57:$AO$95,0)))</f>
        <v/>
      </c>
      <c r="AQ58">
        <f>AQ57+IF(AND(Lists!$Y$5&lt;&gt;"",ISNUMBER(SEARCH($D$4,Lists!$Y$5))),1,0)</f>
        <v/>
      </c>
      <c r="AR58">
        <f>IF(ROW()-56&gt;MAX($AQ$57:$AQ$95),"",INDEX(Lists!$Y$4:$Y$42,MATCH(ROW()-56,$AQ$57:$AQ$95,0)))</f>
        <v/>
      </c>
      <c r="AS58">
        <f>AS57+IF(AND(Lists!$AD$5&lt;&gt;"",ISNUMBER(SEARCH($E$4,Lists!$AD$5))),1,0)</f>
        <v/>
      </c>
      <c r="AT58">
        <f>IF(ROW()-56&gt;MAX($AS$57:$AS$95),"",INDEX(Lists!$AD$4:$AD$42,MATCH(ROW()-56,$AS$57:$AS$95,0)))</f>
        <v/>
      </c>
      <c r="AU58">
        <f>AU57+IF(AND(Lists!$AI$5&lt;&gt;"",ISNUMBER(SEARCH($F$4,Lists!$AI$5))),1,0)</f>
        <v/>
      </c>
      <c r="AV58">
        <f>IF(ROW()-56&gt;MAX($AU$57:$AU$95),"",INDEX(Lists!$AI$4:$AI$42,MATCH(ROW()-56,$AU$57:$AU$95,0)))</f>
        <v/>
      </c>
      <c r="AW58">
        <f>AW57+IF(AND(Lists!$AN$5&lt;&gt;"",ISNUMBER(SEARCH($G$4,Lists!$AN$5))),1,0)</f>
        <v/>
      </c>
      <c r="AX58">
        <f>IF(ROW()-56&gt;MAX($AW$57:$AW$95),"",INDEX(Lists!$AN$4:$AN$42,MATCH(ROW()-56,$AW$57:$AW$95,0)))</f>
        <v/>
      </c>
      <c r="AY58">
        <f>AY57+IF(AND(Lists!$AS$5&lt;&gt;"",ISNUMBER(SEARCH($H$4,Lists!$AS$5))),1,0)</f>
        <v/>
      </c>
      <c r="AZ58">
        <f>IF(ROW()-56&gt;MAX($AY$57:$AY$95),"",INDEX(Lists!$AS$4:$AS$42,MATCH(ROW()-56,$AY$57:$AY$95,0)))</f>
        <v/>
      </c>
      <c r="BA58">
        <f>BA57+IF(AND(Lists!$AX$5&lt;&gt;"",ISNUMBER(SEARCH($I$4,Lists!$AX$5))),1,0)</f>
        <v/>
      </c>
      <c r="BB58">
        <f>IF(ROW()-56&gt;MAX($BA$57:$BA$95),"",INDEX(Lists!$AX$4:$AX$42,MATCH(ROW()-56,$BA$57:$BA$95,0)))</f>
        <v/>
      </c>
      <c r="BC58">
        <f>BC57+IF(AND(Lists!$BC$5&lt;&gt;"",ISNUMBER(SEARCH($J$4,Lists!$BC$5))),1,0)</f>
        <v/>
      </c>
      <c r="BD58">
        <f>IF(ROW()-56&gt;MAX($BC$57:$BC$95),"",INDEX(Lists!$BC$4:$BC$42,MATCH(ROW()-56,$BC$57:$BC$95,0)))</f>
        <v/>
      </c>
      <c r="BE58">
        <f>BE57+IF(AND(Lists!$BH$5&lt;&gt;"",ISNUMBER(SEARCH($K$4,Lists!$BH$5))),1,0)</f>
        <v/>
      </c>
      <c r="BF58">
        <f>IF(ROW()-56&gt;MAX($BE$57:$BE$95),"",INDEX(Lists!$BH$4:$BH$42,MATCH(ROW()-56,$BE$57:$BE$95,0)))</f>
        <v/>
      </c>
      <c r="BG58">
        <f>BG57+IF(AND(Lists!$BM$5&lt;&gt;"",ISNUMBER(SEARCH($L$4,Lists!$BM$5))),1,0)</f>
        <v/>
      </c>
      <c r="BH58">
        <f>IF(ROW()-56&gt;MAX($BG$57:$BG$95),"",INDEX(Lists!$BM$4:$BM$42,MATCH(ROW()-56,$BG$57:$BG$95,0)))</f>
        <v/>
      </c>
      <c r="BI58">
        <f>BI57+IF(AND(Lists!$BR$5&lt;&gt;"",ISNUMBER(SEARCH($M$4,Lists!$BR$5))),1,0)</f>
        <v/>
      </c>
      <c r="BJ58">
        <f>IF(ROW()-56&gt;MAX($BI$57:$BI$95),"",INDEX(Lists!$BR$4:$BR$42,MATCH(ROW()-56,$BI$57:$BI$95,0)))</f>
        <v/>
      </c>
      <c r="BK58">
        <f>BK57+IF(AND(Lists!$BW$5&lt;&gt;"",ISNUMBER(SEARCH($N$4,Lists!$BW$5))),1,0)</f>
        <v/>
      </c>
      <c r="BL58">
        <f>IF(ROW()-56&gt;MAX($BK$57:$BK$95),"",INDEX(Lists!$BW$4:$BW$42,MATCH(ROW()-56,$BK$57:$BK$95,0)))</f>
        <v/>
      </c>
      <c r="BM58">
        <f>BM57+IF(AND(Lists!$CB$5&lt;&gt;"",ISNUMBER(SEARCH($O$4,Lists!$CB$5))),1,0)</f>
        <v/>
      </c>
      <c r="BN58">
        <f>IF(ROW()-56&gt;MAX($BM$57:$BM$95),"",INDEX(Lists!$CB$4:$CB$42,MATCH(ROW()-56,$BM$57:$BM$95,0)))</f>
        <v/>
      </c>
      <c r="BO58">
        <f>BO57+IF(AND(Lists!$CG$5&lt;&gt;"",ISNUMBER(SEARCH($P$4,Lists!$CG$5))),1,0)</f>
        <v/>
      </c>
      <c r="BP58">
        <f>IF(ROW()-56&gt;MAX($BO$57:$BO$95),"",INDEX(Lists!$CG$4:$CG$42,MATCH(ROW()-56,$BO$57:$BO$95,0)))</f>
        <v/>
      </c>
      <c r="BQ58">
        <f>BQ57+IF(AND(Lists!$CL$5&lt;&gt;"",ISNUMBER(SEARCH($Q$4,Lists!$CL$5))),1,0)</f>
        <v/>
      </c>
      <c r="BR58">
        <f>IF(ROW()-56&gt;MAX($BQ$57:$BQ$95),"",INDEX(Lists!$CL$4:$CL$42,MATCH(ROW()-56,$BQ$57:$BQ$95,0)))</f>
        <v/>
      </c>
      <c r="BS58">
        <f>BS57+IF(AND(Lists!$CQ$5&lt;&gt;"",ISNUMBER(SEARCH($R$4,Lists!$CQ$5))),1,0)</f>
        <v/>
      </c>
      <c r="BT58">
        <f>IF(ROW()-56&gt;MAX($BS$57:$BS$95),"",INDEX(Lists!$CQ$4:$CQ$42,MATCH(ROW()-56,$BS$57:$BS$95,0)))</f>
        <v/>
      </c>
      <c r="BU58">
        <f>BU57+IF(AND(Lists!$CV$5&lt;&gt;"",ISNUMBER(SEARCH($S$4,Lists!$CV$5))),1,0)</f>
        <v/>
      </c>
      <c r="BV58">
        <f>IF(ROW()-56&gt;MAX($BU$57:$BU$95),"",INDEX(Lists!$CV$4:$CV$42,MATCH(ROW()-56,$BU$57:$BU$95,0)))</f>
        <v/>
      </c>
      <c r="BW58">
        <f>BW57+IF(AND(Lists!$DA$5&lt;&gt;"",ISNUMBER(SEARCH($T$4,Lists!$DA$5))),1,0)</f>
        <v/>
      </c>
      <c r="BX58">
        <f>IF(ROW()-56&gt;MAX($BW$57:$BW$95),"",INDEX(Lists!$DA$4:$DA$42,MATCH(ROW()-56,$BW$57:$BW$95,0)))</f>
        <v/>
      </c>
      <c r="BY58">
        <f>BY57+IF(AND(Lists!$DF$5&lt;&gt;"",ISNUMBER(SEARCH($U$4,Lists!$DF$5))),1,0)</f>
        <v/>
      </c>
      <c r="BZ58">
        <f>IF(ROW()-56&gt;MAX($BY$57:$BY$95),"",INDEX(Lists!$DF$4:$DF$42,MATCH(ROW()-56,$BY$57:$BY$95,0)))</f>
        <v/>
      </c>
      <c r="CA58">
        <f>CA57+IF(AND(Lists!$DK$5&lt;&gt;"",ISNUMBER(SEARCH($V$4,Lists!$DK$5))),1,0)</f>
        <v/>
      </c>
      <c r="CB58">
        <f>IF(ROW()-56&gt;MAX($CA$57:$CA$95),"",INDEX(Lists!$DK$4:$DK$42,MATCH(ROW()-56,$CA$57:$CA$95,0)))</f>
        <v/>
      </c>
      <c r="CC58">
        <f>CC57+IF(AND(Lists!$DP$5&lt;&gt;"",ISNUMBER(SEARCH($W$4,Lists!$DP$5))),1,0)</f>
        <v/>
      </c>
      <c r="CD58">
        <f>IF(ROW()-56&gt;MAX($CC$57:$CC$95),"",INDEX(Lists!$DP$4:$DP$42,MATCH(ROW()-56,$CC$57:$CC$95,0)))</f>
        <v/>
      </c>
      <c r="CE58">
        <f>CE57+IF(AND(Lists!$DU$5&lt;&gt;"",ISNUMBER(SEARCH($X$4,Lists!$DU$5))),1,0)</f>
        <v/>
      </c>
      <c r="CF58">
        <f>IF(ROW()-56&gt;MAX($CE$57:$CE$95),"",INDEX(Lists!$DU$4:$DU$42,MATCH(ROW()-56,$CE$57:$CE$95,0)))</f>
        <v/>
      </c>
      <c r="CG58">
        <f>CG57+IF(AND(Lists!$DZ$5&lt;&gt;"",ISNUMBER(SEARCH($Y$4,Lists!$DZ$5))),1,0)</f>
        <v/>
      </c>
      <c r="CH58">
        <f>IF(ROW()-56&gt;MAX($CG$57:$CG$95),"",INDEX(Lists!$DZ$4:$DZ$42,MATCH(ROW()-56,$CG$57:$CG$95,0)))</f>
        <v/>
      </c>
      <c r="CI58">
        <f>CI57+IF(AND(Lists!$EE$5&lt;&gt;"",ISNUMBER(SEARCH($Z$4,Lists!$EE$5))),1,0)</f>
        <v/>
      </c>
      <c r="CJ58">
        <f>IF(ROW()-56&gt;MAX($CI$57:$CI$95),"",INDEX(Lists!$EE$4:$EE$42,MATCH(ROW()-56,$CI$57:$CI$95,0)))</f>
        <v/>
      </c>
      <c r="CK58">
        <f>CK57+IF(AND(Lists!$EJ$5&lt;&gt;"",ISNUMBER(SEARCH($AA$4,Lists!$EJ$5))),1,0)</f>
        <v/>
      </c>
      <c r="CL58">
        <f>IF(ROW()-56&gt;MAX($CK$57:$CK$95),"",INDEX(Lists!$EJ$4:$EJ$42,MATCH(ROW()-56,$CK$57:$CK$95,0)))</f>
        <v/>
      </c>
      <c r="CM58">
        <f>CM57+IF(AND(Lists!$EO$5&lt;&gt;"",ISNUMBER(SEARCH($AB$4,Lists!$EO$5))),1,0)</f>
        <v/>
      </c>
      <c r="CN58">
        <f>IF(ROW()-56&gt;MAX($CM$57:$CM$95),"",INDEX(Lists!$EO$4:$EO$42,MATCH(ROW()-56,$CM$57:$CM$95,0)))</f>
        <v/>
      </c>
      <c r="CO58">
        <f>CO57+IF(AND(Lists!$ET$5&lt;&gt;"",ISNUMBER(SEARCH($AC$4,Lists!$ET$5))),1,0)</f>
        <v/>
      </c>
      <c r="CP58">
        <f>IF(ROW()-56&gt;MAX($CO$57:$CO$95),"",INDEX(Lists!$ET$4:$ET$42,MATCH(ROW()-56,$CO$57:$CO$95,0)))</f>
        <v/>
      </c>
      <c r="CQ58">
        <f>CQ57+IF(AND(Lists!$EY$5&lt;&gt;"",ISNUMBER(SEARCH($AD$4,Lists!$EY$5))),1,0)</f>
        <v/>
      </c>
      <c r="CR58">
        <f>IF(ROW()-56&gt;MAX($CQ$57:$CQ$95),"",INDEX(Lists!$EY$4:$EY$42,MATCH(ROW()-56,$CQ$57:$CQ$95,0)))</f>
        <v/>
      </c>
      <c r="CS58">
        <f>CS57+IF(AND(Lists!$FD$5&lt;&gt;"",ISNUMBER(SEARCH($AE$4,Lists!$FD$5))),1,0)</f>
        <v/>
      </c>
      <c r="CT58">
        <f>IF(ROW()-56&gt;MAX($CS$57:$CS$95),"",INDEX(Lists!$FD$4:$FD$42,MATCH(ROW()-56,$CS$57:$CS$95,0)))</f>
        <v/>
      </c>
      <c r="CU58">
        <f>CU57+IF(AND(Lists!$FI$5&lt;&gt;"",ISNUMBER(SEARCH($AG$4,Lists!$FI$5))),1,0)</f>
        <v/>
      </c>
      <c r="CV58">
        <f>IF(ROW()-56&gt;MAX($CU$57:$CU$95),"",INDEX(Lists!$FI$4:$FI$42,MATCH(ROW()-56,$CU$57:$CU$95,0)))</f>
        <v/>
      </c>
      <c r="CW58">
        <f>CW57+IF(AND(Lists!$FN$5&lt;&gt;"",ISNUMBER(SEARCH($AH$4,Lists!$FN$5))),1,0)</f>
        <v/>
      </c>
      <c r="CX58">
        <f>IF(ROW()-56&gt;MAX($CW$57:$CW$95),"",INDEX(Lists!$FN$4:$FN$42,MATCH(ROW()-56,$CW$57:$CW$95,0)))</f>
        <v/>
      </c>
      <c r="CY58">
        <f>CY57+IF(AND(Lists!$FS$5&lt;&gt;"",ISNUMBER(SEARCH($AI$4,Lists!$FS$5))),1,0)</f>
        <v/>
      </c>
      <c r="CZ58">
        <f>IF(ROW()-56&gt;MAX($CY$57:$CY$95),"",INDEX(Lists!$FS$4:$FS$42,MATCH(ROW()-56,$CY$57:$CY$95,0)))</f>
        <v/>
      </c>
      <c r="DA58">
        <f>DA57+IF(AND(Lists!$FX$5&lt;&gt;"",ISNUMBER(SEARCH($AF$4,Lists!$FX$5))),1,0)</f>
        <v/>
      </c>
      <c r="DB58">
        <f>IF(ROW()-56&gt;MAX($DA$57:$DA$95),"",INDEX(Lists!$FX$4:$FX$42,MATCH(ROW()-56,$DA$57:$DA$95,0)))</f>
        <v/>
      </c>
    </row>
    <row r="59">
      <c r="AM59">
        <f>AM58+IF(AND(Lists!$O$6&lt;&gt;"",ISNUMBER(SEARCH($B$4,Lists!$O$6))),1,0)</f>
        <v/>
      </c>
      <c r="AN59">
        <f>IF(ROW()-56&gt;MAX($AM$57:$AM$95),"",INDEX(Lists!$O$4:$O$42,MATCH(ROW()-56,$AM$57:$AM$95,0)))</f>
        <v/>
      </c>
      <c r="AO59">
        <f>AO58+IF(AND(Lists!$T$6&lt;&gt;"",ISNUMBER(SEARCH($C$4,Lists!$T$6))),1,0)</f>
        <v/>
      </c>
      <c r="AP59">
        <f>IF(ROW()-56&gt;MAX($AO$57:$AO$95),"",INDEX(Lists!$T$4:$T$42,MATCH(ROW()-56,$AO$57:$AO$95,0)))</f>
        <v/>
      </c>
      <c r="AQ59">
        <f>AQ58+IF(AND(Lists!$Y$6&lt;&gt;"",ISNUMBER(SEARCH($D$4,Lists!$Y$6))),1,0)</f>
        <v/>
      </c>
      <c r="AR59">
        <f>IF(ROW()-56&gt;MAX($AQ$57:$AQ$95),"",INDEX(Lists!$Y$4:$Y$42,MATCH(ROW()-56,$AQ$57:$AQ$95,0)))</f>
        <v/>
      </c>
      <c r="AS59">
        <f>AS58+IF(AND(Lists!$AD$6&lt;&gt;"",ISNUMBER(SEARCH($E$4,Lists!$AD$6))),1,0)</f>
        <v/>
      </c>
      <c r="AT59">
        <f>IF(ROW()-56&gt;MAX($AS$57:$AS$95),"",INDEX(Lists!$AD$4:$AD$42,MATCH(ROW()-56,$AS$57:$AS$95,0)))</f>
        <v/>
      </c>
      <c r="AU59">
        <f>AU58+IF(AND(Lists!$AI$6&lt;&gt;"",ISNUMBER(SEARCH($F$4,Lists!$AI$6))),1,0)</f>
        <v/>
      </c>
      <c r="AV59">
        <f>IF(ROW()-56&gt;MAX($AU$57:$AU$95),"",INDEX(Lists!$AI$4:$AI$42,MATCH(ROW()-56,$AU$57:$AU$95,0)))</f>
        <v/>
      </c>
      <c r="AW59">
        <f>AW58+IF(AND(Lists!$AN$6&lt;&gt;"",ISNUMBER(SEARCH($G$4,Lists!$AN$6))),1,0)</f>
        <v/>
      </c>
      <c r="AX59">
        <f>IF(ROW()-56&gt;MAX($AW$57:$AW$95),"",INDEX(Lists!$AN$4:$AN$42,MATCH(ROW()-56,$AW$57:$AW$95,0)))</f>
        <v/>
      </c>
      <c r="AY59">
        <f>AY58+IF(AND(Lists!$AS$6&lt;&gt;"",ISNUMBER(SEARCH($H$4,Lists!$AS$6))),1,0)</f>
        <v/>
      </c>
      <c r="AZ59">
        <f>IF(ROW()-56&gt;MAX($AY$57:$AY$95),"",INDEX(Lists!$AS$4:$AS$42,MATCH(ROW()-56,$AY$57:$AY$95,0)))</f>
        <v/>
      </c>
      <c r="BA59">
        <f>BA58+IF(AND(Lists!$AX$6&lt;&gt;"",ISNUMBER(SEARCH($I$4,Lists!$AX$6))),1,0)</f>
        <v/>
      </c>
      <c r="BB59">
        <f>IF(ROW()-56&gt;MAX($BA$57:$BA$95),"",INDEX(Lists!$AX$4:$AX$42,MATCH(ROW()-56,$BA$57:$BA$95,0)))</f>
        <v/>
      </c>
      <c r="BC59">
        <f>BC58+IF(AND(Lists!$BC$6&lt;&gt;"",ISNUMBER(SEARCH($J$4,Lists!$BC$6))),1,0)</f>
        <v/>
      </c>
      <c r="BD59">
        <f>IF(ROW()-56&gt;MAX($BC$57:$BC$95),"",INDEX(Lists!$BC$4:$BC$42,MATCH(ROW()-56,$BC$57:$BC$95,0)))</f>
        <v/>
      </c>
      <c r="BE59">
        <f>BE58+IF(AND(Lists!$BH$6&lt;&gt;"",ISNUMBER(SEARCH($K$4,Lists!$BH$6))),1,0)</f>
        <v/>
      </c>
      <c r="BF59">
        <f>IF(ROW()-56&gt;MAX($BE$57:$BE$95),"",INDEX(Lists!$BH$4:$BH$42,MATCH(ROW()-56,$BE$57:$BE$95,0)))</f>
        <v/>
      </c>
      <c r="BG59">
        <f>BG58+IF(AND(Lists!$BM$6&lt;&gt;"",ISNUMBER(SEARCH($L$4,Lists!$BM$6))),1,0)</f>
        <v/>
      </c>
      <c r="BH59">
        <f>IF(ROW()-56&gt;MAX($BG$57:$BG$95),"",INDEX(Lists!$BM$4:$BM$42,MATCH(ROW()-56,$BG$57:$BG$95,0)))</f>
        <v/>
      </c>
      <c r="BI59">
        <f>BI58+IF(AND(Lists!$BR$6&lt;&gt;"",ISNUMBER(SEARCH($M$4,Lists!$BR$6))),1,0)</f>
        <v/>
      </c>
      <c r="BJ59">
        <f>IF(ROW()-56&gt;MAX($BI$57:$BI$95),"",INDEX(Lists!$BR$4:$BR$42,MATCH(ROW()-56,$BI$57:$BI$95,0)))</f>
        <v/>
      </c>
      <c r="BK59">
        <f>BK58+IF(AND(Lists!$BW$6&lt;&gt;"",ISNUMBER(SEARCH($N$4,Lists!$BW$6))),1,0)</f>
        <v/>
      </c>
      <c r="BL59">
        <f>IF(ROW()-56&gt;MAX($BK$57:$BK$95),"",INDEX(Lists!$BW$4:$BW$42,MATCH(ROW()-56,$BK$57:$BK$95,0)))</f>
        <v/>
      </c>
      <c r="BM59">
        <f>BM58+IF(AND(Lists!$CB$6&lt;&gt;"",ISNUMBER(SEARCH($O$4,Lists!$CB$6))),1,0)</f>
        <v/>
      </c>
      <c r="BN59">
        <f>IF(ROW()-56&gt;MAX($BM$57:$BM$95),"",INDEX(Lists!$CB$4:$CB$42,MATCH(ROW()-56,$BM$57:$BM$95,0)))</f>
        <v/>
      </c>
      <c r="BO59">
        <f>BO58+IF(AND(Lists!$CG$6&lt;&gt;"",ISNUMBER(SEARCH($P$4,Lists!$CG$6))),1,0)</f>
        <v/>
      </c>
      <c r="BP59">
        <f>IF(ROW()-56&gt;MAX($BO$57:$BO$95),"",INDEX(Lists!$CG$4:$CG$42,MATCH(ROW()-56,$BO$57:$BO$95,0)))</f>
        <v/>
      </c>
      <c r="BQ59">
        <f>BQ58+IF(AND(Lists!$CL$6&lt;&gt;"",ISNUMBER(SEARCH($Q$4,Lists!$CL$6))),1,0)</f>
        <v/>
      </c>
      <c r="BR59">
        <f>IF(ROW()-56&gt;MAX($BQ$57:$BQ$95),"",INDEX(Lists!$CL$4:$CL$42,MATCH(ROW()-56,$BQ$57:$BQ$95,0)))</f>
        <v/>
      </c>
      <c r="BS59">
        <f>BS58+IF(AND(Lists!$CQ$6&lt;&gt;"",ISNUMBER(SEARCH($R$4,Lists!$CQ$6))),1,0)</f>
        <v/>
      </c>
      <c r="BT59">
        <f>IF(ROW()-56&gt;MAX($BS$57:$BS$95),"",INDEX(Lists!$CQ$4:$CQ$42,MATCH(ROW()-56,$BS$57:$BS$95,0)))</f>
        <v/>
      </c>
      <c r="BU59">
        <f>BU58+IF(AND(Lists!$CV$6&lt;&gt;"",ISNUMBER(SEARCH($S$4,Lists!$CV$6))),1,0)</f>
        <v/>
      </c>
      <c r="BV59">
        <f>IF(ROW()-56&gt;MAX($BU$57:$BU$95),"",INDEX(Lists!$CV$4:$CV$42,MATCH(ROW()-56,$BU$57:$BU$95,0)))</f>
        <v/>
      </c>
      <c r="BW59">
        <f>BW58+IF(AND(Lists!$DA$6&lt;&gt;"",ISNUMBER(SEARCH($T$4,Lists!$DA$6))),1,0)</f>
        <v/>
      </c>
      <c r="BX59">
        <f>IF(ROW()-56&gt;MAX($BW$57:$BW$95),"",INDEX(Lists!$DA$4:$DA$42,MATCH(ROW()-56,$BW$57:$BW$95,0)))</f>
        <v/>
      </c>
      <c r="BY59">
        <f>BY58+IF(AND(Lists!$DF$6&lt;&gt;"",ISNUMBER(SEARCH($U$4,Lists!$DF$6))),1,0)</f>
        <v/>
      </c>
      <c r="BZ59">
        <f>IF(ROW()-56&gt;MAX($BY$57:$BY$95),"",INDEX(Lists!$DF$4:$DF$42,MATCH(ROW()-56,$BY$57:$BY$95,0)))</f>
        <v/>
      </c>
      <c r="CA59">
        <f>CA58+IF(AND(Lists!$DK$6&lt;&gt;"",ISNUMBER(SEARCH($V$4,Lists!$DK$6))),1,0)</f>
        <v/>
      </c>
      <c r="CB59">
        <f>IF(ROW()-56&gt;MAX($CA$57:$CA$95),"",INDEX(Lists!$DK$4:$DK$42,MATCH(ROW()-56,$CA$57:$CA$95,0)))</f>
        <v/>
      </c>
      <c r="CC59">
        <f>CC58+IF(AND(Lists!$DP$6&lt;&gt;"",ISNUMBER(SEARCH($W$4,Lists!$DP$6))),1,0)</f>
        <v/>
      </c>
      <c r="CD59">
        <f>IF(ROW()-56&gt;MAX($CC$57:$CC$95),"",INDEX(Lists!$DP$4:$DP$42,MATCH(ROW()-56,$CC$57:$CC$95,0)))</f>
        <v/>
      </c>
      <c r="CE59">
        <f>CE58+IF(AND(Lists!$DU$6&lt;&gt;"",ISNUMBER(SEARCH($X$4,Lists!$DU$6))),1,0)</f>
        <v/>
      </c>
      <c r="CF59">
        <f>IF(ROW()-56&gt;MAX($CE$57:$CE$95),"",INDEX(Lists!$DU$4:$DU$42,MATCH(ROW()-56,$CE$57:$CE$95,0)))</f>
        <v/>
      </c>
      <c r="CG59">
        <f>CG58+IF(AND(Lists!$DZ$6&lt;&gt;"",ISNUMBER(SEARCH($Y$4,Lists!$DZ$6))),1,0)</f>
        <v/>
      </c>
      <c r="CH59">
        <f>IF(ROW()-56&gt;MAX($CG$57:$CG$95),"",INDEX(Lists!$DZ$4:$DZ$42,MATCH(ROW()-56,$CG$57:$CG$95,0)))</f>
        <v/>
      </c>
      <c r="CI59">
        <f>CI58+IF(AND(Lists!$EE$6&lt;&gt;"",ISNUMBER(SEARCH($Z$4,Lists!$EE$6))),1,0)</f>
        <v/>
      </c>
      <c r="CJ59">
        <f>IF(ROW()-56&gt;MAX($CI$57:$CI$95),"",INDEX(Lists!$EE$4:$EE$42,MATCH(ROW()-56,$CI$57:$CI$95,0)))</f>
        <v/>
      </c>
      <c r="CK59">
        <f>CK58+IF(AND(Lists!$EJ$6&lt;&gt;"",ISNUMBER(SEARCH($AA$4,Lists!$EJ$6))),1,0)</f>
        <v/>
      </c>
      <c r="CL59">
        <f>IF(ROW()-56&gt;MAX($CK$57:$CK$95),"",INDEX(Lists!$EJ$4:$EJ$42,MATCH(ROW()-56,$CK$57:$CK$95,0)))</f>
        <v/>
      </c>
      <c r="CM59">
        <f>CM58+IF(AND(Lists!$EO$6&lt;&gt;"",ISNUMBER(SEARCH($AB$4,Lists!$EO$6))),1,0)</f>
        <v/>
      </c>
      <c r="CN59">
        <f>IF(ROW()-56&gt;MAX($CM$57:$CM$95),"",INDEX(Lists!$EO$4:$EO$42,MATCH(ROW()-56,$CM$57:$CM$95,0)))</f>
        <v/>
      </c>
      <c r="CO59">
        <f>CO58+IF(AND(Lists!$ET$6&lt;&gt;"",ISNUMBER(SEARCH($AC$4,Lists!$ET$6))),1,0)</f>
        <v/>
      </c>
      <c r="CP59">
        <f>IF(ROW()-56&gt;MAX($CO$57:$CO$95),"",INDEX(Lists!$ET$4:$ET$42,MATCH(ROW()-56,$CO$57:$CO$95,0)))</f>
        <v/>
      </c>
      <c r="CQ59">
        <f>CQ58+IF(AND(Lists!$EY$6&lt;&gt;"",ISNUMBER(SEARCH($AD$4,Lists!$EY$6))),1,0)</f>
        <v/>
      </c>
      <c r="CR59">
        <f>IF(ROW()-56&gt;MAX($CQ$57:$CQ$95),"",INDEX(Lists!$EY$4:$EY$42,MATCH(ROW()-56,$CQ$57:$CQ$95,0)))</f>
        <v/>
      </c>
      <c r="CS59">
        <f>CS58+IF(AND(Lists!$FD$6&lt;&gt;"",ISNUMBER(SEARCH($AE$4,Lists!$FD$6))),1,0)</f>
        <v/>
      </c>
      <c r="CT59">
        <f>IF(ROW()-56&gt;MAX($CS$57:$CS$95),"",INDEX(Lists!$FD$4:$FD$42,MATCH(ROW()-56,$CS$57:$CS$95,0)))</f>
        <v/>
      </c>
      <c r="CU59">
        <f>CU58+IF(AND(Lists!$FI$6&lt;&gt;"",ISNUMBER(SEARCH($AG$4,Lists!$FI$6))),1,0)</f>
        <v/>
      </c>
      <c r="CV59">
        <f>IF(ROW()-56&gt;MAX($CU$57:$CU$95),"",INDEX(Lists!$FI$4:$FI$42,MATCH(ROW()-56,$CU$57:$CU$95,0)))</f>
        <v/>
      </c>
      <c r="CW59">
        <f>CW58+IF(AND(Lists!$FN$6&lt;&gt;"",ISNUMBER(SEARCH($AH$4,Lists!$FN$6))),1,0)</f>
        <v/>
      </c>
      <c r="CX59">
        <f>IF(ROW()-56&gt;MAX($CW$57:$CW$95),"",INDEX(Lists!$FN$4:$FN$42,MATCH(ROW()-56,$CW$57:$CW$95,0)))</f>
        <v/>
      </c>
      <c r="CY59">
        <f>CY58+IF(AND(Lists!$FS$6&lt;&gt;"",ISNUMBER(SEARCH($AI$4,Lists!$FS$6))),1,0)</f>
        <v/>
      </c>
      <c r="CZ59">
        <f>IF(ROW()-56&gt;MAX($CY$57:$CY$95),"",INDEX(Lists!$FS$4:$FS$42,MATCH(ROW()-56,$CY$57:$CY$95,0)))</f>
        <v/>
      </c>
      <c r="DA59">
        <f>DA58+IF(AND(Lists!$FX$6&lt;&gt;"",ISNUMBER(SEARCH($AF$4,Lists!$FX$6))),1,0)</f>
        <v/>
      </c>
      <c r="DB59">
        <f>IF(ROW()-56&gt;MAX($DA$57:$DA$95),"",INDEX(Lists!$FX$4:$FX$42,MATCH(ROW()-56,$DA$57:$DA$95,0)))</f>
        <v/>
      </c>
      <c r="DG59">
        <f>IF($B$4="",1,IF($B$4="(blank)",--('Final Calculation Sheet'!$F$4=""),IF($B$4="(nonblank)",--('Final Calculation Sheet'!$F$4&lt;&gt;""),--ISNUMBER(SEARCH($B$4,'Final Calculation Sheet'!$F$4)))))</f>
        <v/>
      </c>
      <c r="DH59">
        <f>IF($C$4="",1,IF($C$4="(blank)",--('Final Calculation Sheet'!$G$4=""),IF($C$4="(nonblank)",--('Final Calculation Sheet'!$G$4&lt;&gt;""),--ISNUMBER(SEARCH($C$4,'Final Calculation Sheet'!$G$4)))))</f>
        <v/>
      </c>
      <c r="DI59">
        <f>IF($D$4="",1,IF($D$4="(blank)",--('Final Calculation Sheet'!$B$4=""),IF($D$4="(nonblank)",--('Final Calculation Sheet'!$B$4&lt;&gt;""),--ISNUMBER(SEARCH($D$4,'Final Calculation Sheet'!$B$4)))))</f>
        <v/>
      </c>
      <c r="DJ59">
        <f>IF($E$4="",1,IF($E$4="(blank)",--('Final Calculation Sheet'!$D$4=""),IF($E$4="(nonblank)",--('Final Calculation Sheet'!$D$4&lt;&gt;""),--ISNUMBER(SEARCH($E$4,'Final Calculation Sheet'!$D$4)))))</f>
        <v/>
      </c>
      <c r="DK59">
        <f>IF($F$4="",1,IF($F$4="(blank)",--('Final Calculation Sheet'!$A$4=""),IF($F$4="(nonblank)",--('Final Calculation Sheet'!$A$4&lt;&gt;""),--ISNUMBER(SEARCH($F$4,'Final Calculation Sheet'!$A$4)))))</f>
        <v/>
      </c>
      <c r="DL59">
        <f>IF($G$4="",1,IF($G$4="(blank)",--('Final Calculation Sheet'!$E$4=""),IF($G$4="(nonblank)",--('Final Calculation Sheet'!$E$4&lt;&gt;""),--ISNUMBER(SEARCH($G$4,'Final Calculation Sheet'!$E$4)))))</f>
        <v/>
      </c>
      <c r="DM59">
        <f>IF($H$4="",1,IF($H$4="(blank)",--('Final Calculation Sheet'!$C$4=""),IF($H$4="(nonblank)",--('Final Calculation Sheet'!$C$4&lt;&gt;""),--ISNUMBER(SEARCH($H$4,'Final Calculation Sheet'!$C$4)))))</f>
        <v/>
      </c>
      <c r="DN59">
        <f>IF($I$4="",1,IF($I$4="(blank)",--('Final Calculation Sheet'!$H$4=""),IF($I$4="(nonblank)",--('Final Calculation Sheet'!$H$4&lt;&gt;""),--ISNUMBER(SEARCH($I$4,'Final Calculation Sheet'!$H$4)))))</f>
        <v/>
      </c>
      <c r="DO59">
        <f>IF($J$4="",1,IF($J$4="(blank)",--('Final Calculation Sheet'!$I$4=""),IF($J$4="(nonblank)",--('Final Calculation Sheet'!$I$4&lt;&gt;""),--ISNUMBER(SEARCH($J$4,'Final Calculation Sheet'!$I$4)))))</f>
        <v/>
      </c>
      <c r="DP59">
        <f>IF($K$4="",1,IF($K$4="(blank)",--('Final Calculation Sheet'!$J$4=""),IF($K$4="(nonblank)",--('Final Calculation Sheet'!$J$4&lt;&gt;""),--ISNUMBER(SEARCH($K$4,'Final Calculation Sheet'!$J$4)))))</f>
        <v/>
      </c>
      <c r="DQ59">
        <f>IF($L$4="",1,IF($L$4="(blank)",--('Final Calculation Sheet'!$K$4=""),IF($L$4="(nonblank)",--('Final Calculation Sheet'!$K$4&lt;&gt;""),--ISNUMBER(SEARCH($L$4,'Final Calculation Sheet'!$K$4)))))</f>
        <v/>
      </c>
      <c r="DR59">
        <f>IF($M$4="",1,IF($M$4="(blank)",--('Final Calculation Sheet'!$L$4=""),IF($M$4="(nonblank)",--('Final Calculation Sheet'!$L$4&lt;&gt;""),--ISNUMBER(SEARCH($M$4,'Final Calculation Sheet'!$L$4)))))</f>
        <v/>
      </c>
      <c r="DS59">
        <f>IF($N$4="",1,IF($N$4="(blank)",--('Final Calculation Sheet'!$M$4=""),IF($N$4="(nonblank)",--('Final Calculation Sheet'!$M$4&lt;&gt;""),--ISNUMBER(SEARCH($N$4,'Final Calculation Sheet'!$M$4)))))</f>
        <v/>
      </c>
      <c r="DT59">
        <f>IF($O$4="",1,IF($O$4="(blank)",--('Final Calculation Sheet'!$N$4=""),IF($O$4="(nonblank)",--('Final Calculation Sheet'!$N$4&lt;&gt;""),--ISNUMBER(SEARCH($O$4,'Final Calculation Sheet'!$N$4)))))</f>
        <v/>
      </c>
      <c r="DU59">
        <f>IF($P$4="",1,IF($P$4="(blank)",--('Final Calculation Sheet'!$O$4=""),IF($P$4="(nonblank)",--('Final Calculation Sheet'!$O$4&lt;&gt;""),--ISNUMBER(SEARCH($P$4,'Final Calculation Sheet'!$O$4)))))</f>
        <v/>
      </c>
      <c r="DV59">
        <f>IF($Q$4="",1,IF($Q$4="(blank)",--('Final Calculation Sheet'!$P$4=""),IF($Q$4="(nonblank)",--('Final Calculation Sheet'!$P$4&lt;&gt;""),--ISNUMBER(SEARCH($Q$4,'Final Calculation Sheet'!$P$4)))))</f>
        <v/>
      </c>
      <c r="DW59">
        <f>IF($R$4="",1,IF($R$4="(blank)",--('Final Calculation Sheet'!$Q$4=""),IF($R$4="(nonblank)",--('Final Calculation Sheet'!$Q$4&lt;&gt;""),--ISNUMBER(SEARCH($R$4,'Final Calculation Sheet'!$Q$4)))))</f>
        <v/>
      </c>
      <c r="DX59">
        <f>IF($S$4="",1,IF($S$4="(blank)",--('Final Calculation Sheet'!$R$4=""),IF($S$4="(nonblank)",--('Final Calculation Sheet'!$R$4&lt;&gt;""),--ISNUMBER(SEARCH($S$4,'Final Calculation Sheet'!$R$4)))))</f>
        <v/>
      </c>
      <c r="DY59">
        <f>IF($T$4="",1,IF($T$4="(blank)",--('Final Calculation Sheet'!$S$4=""),IF($T$4="(nonblank)",--('Final Calculation Sheet'!$S$4&lt;&gt;""),--ISNUMBER(SEARCH($T$4,'Final Calculation Sheet'!$S$4)))))</f>
        <v/>
      </c>
      <c r="DZ59">
        <f>IF($U$4="",1,IF($U$4="(blank)",--('Final Calculation Sheet'!$T$4=""),IF($U$4="(nonblank)",--('Final Calculation Sheet'!$T$4&lt;&gt;""),--ISNUMBER(SEARCH($U$4,'Final Calculation Sheet'!$T$4)))))</f>
        <v/>
      </c>
      <c r="EA59">
        <f>IF($V$4="",1,IF($V$4="(blank)",--('Final Calculation Sheet'!$U$4=""),IF($V$4="(nonblank)",--('Final Calculation Sheet'!$U$4&lt;&gt;""),--ISNUMBER(SEARCH($V$4,'Final Calculation Sheet'!$U$4)))))</f>
        <v/>
      </c>
      <c r="EB59">
        <f>IF($W$4="",1,IF($W$4="(blank)",--('Final Calculation Sheet'!$V$4=""),IF($W$4="(nonblank)",--('Final Calculation Sheet'!$V$4&lt;&gt;""),--ISNUMBER(SEARCH($W$4,'Final Calculation Sheet'!$V$4)))))</f>
        <v/>
      </c>
      <c r="EC59">
        <f>IF($X$4="",1,IF($X$4="(blank)",--('Final Calculation Sheet'!$W$4=""),IF($X$4="(nonblank)",--('Final Calculation Sheet'!$W$4&lt;&gt;""),--ISNUMBER(SEARCH($X$4,'Final Calculation Sheet'!$W$4)))))</f>
        <v/>
      </c>
      <c r="ED59">
        <f>IF($Y$4="",1,IF($Y$4="(blank)",--('Final Calculation Sheet'!$X$4=""),IF($Y$4="(nonblank)",--('Final Calculation Sheet'!$X$4&lt;&gt;""),--ISNUMBER(SEARCH($Y$4,'Final Calculation Sheet'!$X$4)))))</f>
        <v/>
      </c>
      <c r="EE59">
        <f>IF($Z$4="",1,IF($Z$4="(blank)",--('Final Calculation Sheet'!$Y$4=""),IF($Z$4="(nonblank)",--('Final Calculation Sheet'!$Y$4&lt;&gt;""),--ISNUMBER(SEARCH($Z$4,'Final Calculation Sheet'!$Y$4)))))</f>
        <v/>
      </c>
      <c r="EF59">
        <f>IF($AA$4="",1,IF($AA$4="(blank)",--('Final Calculation Sheet'!$Z$4=""),IF($AA$4="(nonblank)",--('Final Calculation Sheet'!$Z$4&lt;&gt;""),--ISNUMBER(SEARCH($AA$4,'Final Calculation Sheet'!$Z$4)))))</f>
        <v/>
      </c>
      <c r="EG59">
        <f>IF($AB$4="",1,IF($AB$4="(blank)",--('Final Calculation Sheet'!$AA$4=""),IF($AB$4="(nonblank)",--('Final Calculation Sheet'!$AA$4&lt;&gt;""),--ISNUMBER(SEARCH($AB$4,'Final Calculation Sheet'!$AA$4)))))</f>
        <v/>
      </c>
      <c r="EH59">
        <f>IF($AC$4="",1,IF($AC$4="(blank)",--('Final Calculation Sheet'!$AB$4=""),IF($AC$4="(nonblank)",--('Final Calculation Sheet'!$AB$4&lt;&gt;""),--ISNUMBER(SEARCH($AC$4,'Final Calculation Sheet'!$AB$4)))))</f>
        <v/>
      </c>
      <c r="EI59">
        <f>IF($AD$4="",1,IF($AD$4="(blank)",--('Final Calculation Sheet'!$AC$4=""),IF($AD$4="(nonblank)",--('Final Calculation Sheet'!$AC$4&lt;&gt;""),--ISNUMBER(SEARCH($AD$4,'Final Calculation Sheet'!$AC$4)))))</f>
        <v/>
      </c>
      <c r="EJ59">
        <f>IF($AE$4="",1,IF($AE$4="(blank)",--('Final Calculation Sheet'!$AD$4=""),IF($AE$4="(nonblank)",--('Final Calculation Sheet'!$AD$4&lt;&gt;""),--ISNUMBER(SEARCH($AE$4,'Final Calculation Sheet'!$AD$4)))))</f>
        <v/>
      </c>
      <c r="EK59">
        <f>IF($AF$4="",1,IF($AF$4="(blank)",--(IF('Final Calculation Sheet'!$AD$4&lt;=5,"SETTLED","OUTSTANDING")=""),IF($AF$4="(nonblank)",--(IF('Final Calculation Sheet'!$AD$4&lt;=5,"SETTLED","OUTSTANDING")&lt;&gt;""),--ISNUMBER(SEARCH($AF$4,IF('Final Calculation Sheet'!$AD$4&lt;=5,"SETTLED","OUTSTANDING"))))))</f>
        <v/>
      </c>
      <c r="EL59">
        <f>IF($AG$4="",1,IF($AG$4="(blank)",--('Final Calculation Sheet'!$AF$4=""),IF($AG$4="(nonblank)",--('Final Calculation Sheet'!$AF$4&lt;&gt;""),--ISNUMBER(SEARCH($AG$4,'Final Calculation Sheet'!$AF$4)))))</f>
        <v/>
      </c>
      <c r="EM59">
        <f>IF($AH$4="",1,IF($AH$4="(blank)",--('Final Calculation Sheet'!$AG$4=""),IF($AH$4="(nonblank)",--('Final Calculation Sheet'!$AG$4&lt;&gt;""),--ISNUMBER(SEARCH($AH$4,'Final Calculation Sheet'!$AG$4)))))</f>
        <v/>
      </c>
      <c r="EN59">
        <f>IF($AI$4="",1,IF($AI$4="(blank)",--('Final Calculation Sheet'!$AH$4=""),IF($AI$4="(nonblank)",--('Final Calculation Sheet'!$AH$4&lt;&gt;""),--ISNUMBER(SEARCH($AI$4,'Final Calculation Sheet'!$AH$4)))))</f>
        <v/>
      </c>
    </row>
    <row r="60">
      <c r="AM60">
        <f>AM59+IF(AND(Lists!$O$7&lt;&gt;"",ISNUMBER(SEARCH($B$4,Lists!$O$7))),1,0)</f>
        <v/>
      </c>
      <c r="AN60">
        <f>IF(ROW()-56&gt;MAX($AM$57:$AM$95),"",INDEX(Lists!$O$4:$O$42,MATCH(ROW()-56,$AM$57:$AM$95,0)))</f>
        <v/>
      </c>
      <c r="AO60">
        <f>AO59+IF(AND(Lists!$T$7&lt;&gt;"",ISNUMBER(SEARCH($C$4,Lists!$T$7))),1,0)</f>
        <v/>
      </c>
      <c r="AP60">
        <f>IF(ROW()-56&gt;MAX($AO$57:$AO$95),"",INDEX(Lists!$T$4:$T$42,MATCH(ROW()-56,$AO$57:$AO$95,0)))</f>
        <v/>
      </c>
      <c r="AQ60">
        <f>AQ59+IF(AND(Lists!$Y$7&lt;&gt;"",ISNUMBER(SEARCH($D$4,Lists!$Y$7))),1,0)</f>
        <v/>
      </c>
      <c r="AR60">
        <f>IF(ROW()-56&gt;MAX($AQ$57:$AQ$95),"",INDEX(Lists!$Y$4:$Y$42,MATCH(ROW()-56,$AQ$57:$AQ$95,0)))</f>
        <v/>
      </c>
      <c r="AS60">
        <f>AS59+IF(AND(Lists!$AD$7&lt;&gt;"",ISNUMBER(SEARCH($E$4,Lists!$AD$7))),1,0)</f>
        <v/>
      </c>
      <c r="AT60">
        <f>IF(ROW()-56&gt;MAX($AS$57:$AS$95),"",INDEX(Lists!$AD$4:$AD$42,MATCH(ROW()-56,$AS$57:$AS$95,0)))</f>
        <v/>
      </c>
      <c r="AU60">
        <f>AU59+IF(AND(Lists!$AI$7&lt;&gt;"",ISNUMBER(SEARCH($F$4,Lists!$AI$7))),1,0)</f>
        <v/>
      </c>
      <c r="AV60">
        <f>IF(ROW()-56&gt;MAX($AU$57:$AU$95),"",INDEX(Lists!$AI$4:$AI$42,MATCH(ROW()-56,$AU$57:$AU$95,0)))</f>
        <v/>
      </c>
      <c r="AW60">
        <f>AW59+IF(AND(Lists!$AN$7&lt;&gt;"",ISNUMBER(SEARCH($G$4,Lists!$AN$7))),1,0)</f>
        <v/>
      </c>
      <c r="AX60">
        <f>IF(ROW()-56&gt;MAX($AW$57:$AW$95),"",INDEX(Lists!$AN$4:$AN$42,MATCH(ROW()-56,$AW$57:$AW$95,0)))</f>
        <v/>
      </c>
      <c r="AY60">
        <f>AY59+IF(AND(Lists!$AS$7&lt;&gt;"",ISNUMBER(SEARCH($H$4,Lists!$AS$7))),1,0)</f>
        <v/>
      </c>
      <c r="AZ60">
        <f>IF(ROW()-56&gt;MAX($AY$57:$AY$95),"",INDEX(Lists!$AS$4:$AS$42,MATCH(ROW()-56,$AY$57:$AY$95,0)))</f>
        <v/>
      </c>
      <c r="BA60">
        <f>BA59+IF(AND(Lists!$AX$7&lt;&gt;"",ISNUMBER(SEARCH($I$4,Lists!$AX$7))),1,0)</f>
        <v/>
      </c>
      <c r="BB60">
        <f>IF(ROW()-56&gt;MAX($BA$57:$BA$95),"",INDEX(Lists!$AX$4:$AX$42,MATCH(ROW()-56,$BA$57:$BA$95,0)))</f>
        <v/>
      </c>
      <c r="BC60">
        <f>BC59+IF(AND(Lists!$BC$7&lt;&gt;"",ISNUMBER(SEARCH($J$4,Lists!$BC$7))),1,0)</f>
        <v/>
      </c>
      <c r="BD60">
        <f>IF(ROW()-56&gt;MAX($BC$57:$BC$95),"",INDEX(Lists!$BC$4:$BC$42,MATCH(ROW()-56,$BC$57:$BC$95,0)))</f>
        <v/>
      </c>
      <c r="BE60">
        <f>BE59+IF(AND(Lists!$BH$7&lt;&gt;"",ISNUMBER(SEARCH($K$4,Lists!$BH$7))),1,0)</f>
        <v/>
      </c>
      <c r="BF60">
        <f>IF(ROW()-56&gt;MAX($BE$57:$BE$95),"",INDEX(Lists!$BH$4:$BH$42,MATCH(ROW()-56,$BE$57:$BE$95,0)))</f>
        <v/>
      </c>
      <c r="BG60">
        <f>BG59+IF(AND(Lists!$BM$7&lt;&gt;"",ISNUMBER(SEARCH($L$4,Lists!$BM$7))),1,0)</f>
        <v/>
      </c>
      <c r="BH60">
        <f>IF(ROW()-56&gt;MAX($BG$57:$BG$95),"",INDEX(Lists!$BM$4:$BM$42,MATCH(ROW()-56,$BG$57:$BG$95,0)))</f>
        <v/>
      </c>
      <c r="BI60">
        <f>BI59+IF(AND(Lists!$BR$7&lt;&gt;"",ISNUMBER(SEARCH($M$4,Lists!$BR$7))),1,0)</f>
        <v/>
      </c>
      <c r="BJ60">
        <f>IF(ROW()-56&gt;MAX($BI$57:$BI$95),"",INDEX(Lists!$BR$4:$BR$42,MATCH(ROW()-56,$BI$57:$BI$95,0)))</f>
        <v/>
      </c>
      <c r="BK60">
        <f>BK59+IF(AND(Lists!$BW$7&lt;&gt;"",ISNUMBER(SEARCH($N$4,Lists!$BW$7))),1,0)</f>
        <v/>
      </c>
      <c r="BL60">
        <f>IF(ROW()-56&gt;MAX($BK$57:$BK$95),"",INDEX(Lists!$BW$4:$BW$42,MATCH(ROW()-56,$BK$57:$BK$95,0)))</f>
        <v/>
      </c>
      <c r="BM60">
        <f>BM59+IF(AND(Lists!$CB$7&lt;&gt;"",ISNUMBER(SEARCH($O$4,Lists!$CB$7))),1,0)</f>
        <v/>
      </c>
      <c r="BN60">
        <f>IF(ROW()-56&gt;MAX($BM$57:$BM$95),"",INDEX(Lists!$CB$4:$CB$42,MATCH(ROW()-56,$BM$57:$BM$95,0)))</f>
        <v/>
      </c>
      <c r="BO60">
        <f>BO59+IF(AND(Lists!$CG$7&lt;&gt;"",ISNUMBER(SEARCH($P$4,Lists!$CG$7))),1,0)</f>
        <v/>
      </c>
      <c r="BP60">
        <f>IF(ROW()-56&gt;MAX($BO$57:$BO$95),"",INDEX(Lists!$CG$4:$CG$42,MATCH(ROW()-56,$BO$57:$BO$95,0)))</f>
        <v/>
      </c>
      <c r="BQ60">
        <f>BQ59+IF(AND(Lists!$CL$7&lt;&gt;"",ISNUMBER(SEARCH($Q$4,Lists!$CL$7))),1,0)</f>
        <v/>
      </c>
      <c r="BR60">
        <f>IF(ROW()-56&gt;MAX($BQ$57:$BQ$95),"",INDEX(Lists!$CL$4:$CL$42,MATCH(ROW()-56,$BQ$57:$BQ$95,0)))</f>
        <v/>
      </c>
      <c r="BS60">
        <f>BS59+IF(AND(Lists!$CQ$7&lt;&gt;"",ISNUMBER(SEARCH($R$4,Lists!$CQ$7))),1,0)</f>
        <v/>
      </c>
      <c r="BT60">
        <f>IF(ROW()-56&gt;MAX($BS$57:$BS$95),"",INDEX(Lists!$CQ$4:$CQ$42,MATCH(ROW()-56,$BS$57:$BS$95,0)))</f>
        <v/>
      </c>
      <c r="BU60">
        <f>BU59+IF(AND(Lists!$CV$7&lt;&gt;"",ISNUMBER(SEARCH($S$4,Lists!$CV$7))),1,0)</f>
        <v/>
      </c>
      <c r="BV60">
        <f>IF(ROW()-56&gt;MAX($BU$57:$BU$95),"",INDEX(Lists!$CV$4:$CV$42,MATCH(ROW()-56,$BU$57:$BU$95,0)))</f>
        <v/>
      </c>
      <c r="BW60">
        <f>BW59+IF(AND(Lists!$DA$7&lt;&gt;"",ISNUMBER(SEARCH($T$4,Lists!$DA$7))),1,0)</f>
        <v/>
      </c>
      <c r="BX60">
        <f>IF(ROW()-56&gt;MAX($BW$57:$BW$95),"",INDEX(Lists!$DA$4:$DA$42,MATCH(ROW()-56,$BW$57:$BW$95,0)))</f>
        <v/>
      </c>
      <c r="BY60">
        <f>BY59+IF(AND(Lists!$DF$7&lt;&gt;"",ISNUMBER(SEARCH($U$4,Lists!$DF$7))),1,0)</f>
        <v/>
      </c>
      <c r="BZ60">
        <f>IF(ROW()-56&gt;MAX($BY$57:$BY$95),"",INDEX(Lists!$DF$4:$DF$42,MATCH(ROW()-56,$BY$57:$BY$95,0)))</f>
        <v/>
      </c>
      <c r="CA60">
        <f>CA59+IF(AND(Lists!$DK$7&lt;&gt;"",ISNUMBER(SEARCH($V$4,Lists!$DK$7))),1,0)</f>
        <v/>
      </c>
      <c r="CB60">
        <f>IF(ROW()-56&gt;MAX($CA$57:$CA$95),"",INDEX(Lists!$DK$4:$DK$42,MATCH(ROW()-56,$CA$57:$CA$95,0)))</f>
        <v/>
      </c>
      <c r="CC60">
        <f>CC59+IF(AND(Lists!$DP$7&lt;&gt;"",ISNUMBER(SEARCH($W$4,Lists!$DP$7))),1,0)</f>
        <v/>
      </c>
      <c r="CD60">
        <f>IF(ROW()-56&gt;MAX($CC$57:$CC$95),"",INDEX(Lists!$DP$4:$DP$42,MATCH(ROW()-56,$CC$57:$CC$95,0)))</f>
        <v/>
      </c>
      <c r="CE60">
        <f>CE59+IF(AND(Lists!$DU$7&lt;&gt;"",ISNUMBER(SEARCH($X$4,Lists!$DU$7))),1,0)</f>
        <v/>
      </c>
      <c r="CF60">
        <f>IF(ROW()-56&gt;MAX($CE$57:$CE$95),"",INDEX(Lists!$DU$4:$DU$42,MATCH(ROW()-56,$CE$57:$CE$95,0)))</f>
        <v/>
      </c>
      <c r="CG60">
        <f>CG59+IF(AND(Lists!$DZ$7&lt;&gt;"",ISNUMBER(SEARCH($Y$4,Lists!$DZ$7))),1,0)</f>
        <v/>
      </c>
      <c r="CH60">
        <f>IF(ROW()-56&gt;MAX($CG$57:$CG$95),"",INDEX(Lists!$DZ$4:$DZ$42,MATCH(ROW()-56,$CG$57:$CG$95,0)))</f>
        <v/>
      </c>
      <c r="CI60">
        <f>CI59+IF(AND(Lists!$EE$7&lt;&gt;"",ISNUMBER(SEARCH($Z$4,Lists!$EE$7))),1,0)</f>
        <v/>
      </c>
      <c r="CJ60">
        <f>IF(ROW()-56&gt;MAX($CI$57:$CI$95),"",INDEX(Lists!$EE$4:$EE$42,MATCH(ROW()-56,$CI$57:$CI$95,0)))</f>
        <v/>
      </c>
      <c r="CK60">
        <f>CK59+IF(AND(Lists!$EJ$7&lt;&gt;"",ISNUMBER(SEARCH($AA$4,Lists!$EJ$7))),1,0)</f>
        <v/>
      </c>
      <c r="CL60">
        <f>IF(ROW()-56&gt;MAX($CK$57:$CK$95),"",INDEX(Lists!$EJ$4:$EJ$42,MATCH(ROW()-56,$CK$57:$CK$95,0)))</f>
        <v/>
      </c>
      <c r="CM60">
        <f>CM59+IF(AND(Lists!$EO$7&lt;&gt;"",ISNUMBER(SEARCH($AB$4,Lists!$EO$7))),1,0)</f>
        <v/>
      </c>
      <c r="CN60">
        <f>IF(ROW()-56&gt;MAX($CM$57:$CM$95),"",INDEX(Lists!$EO$4:$EO$42,MATCH(ROW()-56,$CM$57:$CM$95,0)))</f>
        <v/>
      </c>
      <c r="CO60">
        <f>CO59+IF(AND(Lists!$ET$7&lt;&gt;"",ISNUMBER(SEARCH($AC$4,Lists!$ET$7))),1,0)</f>
        <v/>
      </c>
      <c r="CP60">
        <f>IF(ROW()-56&gt;MAX($CO$57:$CO$95),"",INDEX(Lists!$ET$4:$ET$42,MATCH(ROW()-56,$CO$57:$CO$95,0)))</f>
        <v/>
      </c>
      <c r="CQ60">
        <f>CQ59+IF(AND(Lists!$EY$7&lt;&gt;"",ISNUMBER(SEARCH($AD$4,Lists!$EY$7))),1,0)</f>
        <v/>
      </c>
      <c r="CR60">
        <f>IF(ROW()-56&gt;MAX($CQ$57:$CQ$95),"",INDEX(Lists!$EY$4:$EY$42,MATCH(ROW()-56,$CQ$57:$CQ$95,0)))</f>
        <v/>
      </c>
      <c r="CS60">
        <f>CS59+IF(AND(Lists!$FD$7&lt;&gt;"",ISNUMBER(SEARCH($AE$4,Lists!$FD$7))),1,0)</f>
        <v/>
      </c>
      <c r="CT60">
        <f>IF(ROW()-56&gt;MAX($CS$57:$CS$95),"",INDEX(Lists!$FD$4:$FD$42,MATCH(ROW()-56,$CS$57:$CS$95,0)))</f>
        <v/>
      </c>
      <c r="CU60">
        <f>CU59+IF(AND(Lists!$FI$7&lt;&gt;"",ISNUMBER(SEARCH($AG$4,Lists!$FI$7))),1,0)</f>
        <v/>
      </c>
      <c r="CV60">
        <f>IF(ROW()-56&gt;MAX($CU$57:$CU$95),"",INDEX(Lists!$FI$4:$FI$42,MATCH(ROW()-56,$CU$57:$CU$95,0)))</f>
        <v/>
      </c>
      <c r="CW60">
        <f>CW59+IF(AND(Lists!$FN$7&lt;&gt;"",ISNUMBER(SEARCH($AH$4,Lists!$FN$7))),1,0)</f>
        <v/>
      </c>
      <c r="CX60">
        <f>IF(ROW()-56&gt;MAX($CW$57:$CW$95),"",INDEX(Lists!$FN$4:$FN$42,MATCH(ROW()-56,$CW$57:$CW$95,0)))</f>
        <v/>
      </c>
      <c r="CY60">
        <f>CY59+IF(AND(Lists!$FS$7&lt;&gt;"",ISNUMBER(SEARCH($AI$4,Lists!$FS$7))),1,0)</f>
        <v/>
      </c>
      <c r="CZ60">
        <f>IF(ROW()-56&gt;MAX($CY$57:$CY$95),"",INDEX(Lists!$FS$4:$FS$42,MATCH(ROW()-56,$CY$57:$CY$95,0)))</f>
        <v/>
      </c>
      <c r="DA60">
        <f>DA59+IF(AND(Lists!$FX$7&lt;&gt;"",ISNUMBER(SEARCH($AF$4,Lists!$FX$7))),1,0)</f>
        <v/>
      </c>
      <c r="DB60">
        <f>IF(ROW()-56&gt;MAX($DA$57:$DA$95),"",INDEX(Lists!$FX$4:$FX$42,MATCH(ROW()-56,$DA$57:$DA$95,0)))</f>
        <v/>
      </c>
      <c r="DG60">
        <f>IF($B$4="",1,IF($B$4="(blank)",--('Final Calculation Sheet'!$F$5=""),IF($B$4="(nonblank)",--('Final Calculation Sheet'!$F$5&lt;&gt;""),--ISNUMBER(SEARCH($B$4,'Final Calculation Sheet'!$F$5)))))</f>
        <v/>
      </c>
      <c r="DH60">
        <f>IF($C$4="",1,IF($C$4="(blank)",--('Final Calculation Sheet'!$G$5=""),IF($C$4="(nonblank)",--('Final Calculation Sheet'!$G$5&lt;&gt;""),--ISNUMBER(SEARCH($C$4,'Final Calculation Sheet'!$G$5)))))</f>
        <v/>
      </c>
      <c r="DI60">
        <f>IF($D$4="",1,IF($D$4="(blank)",--('Final Calculation Sheet'!$B$5=""),IF($D$4="(nonblank)",--('Final Calculation Sheet'!$B$5&lt;&gt;""),--ISNUMBER(SEARCH($D$4,'Final Calculation Sheet'!$B$5)))))</f>
        <v/>
      </c>
      <c r="DJ60">
        <f>IF($E$4="",1,IF($E$4="(blank)",--('Final Calculation Sheet'!$D$5=""),IF($E$4="(nonblank)",--('Final Calculation Sheet'!$D$5&lt;&gt;""),--ISNUMBER(SEARCH($E$4,'Final Calculation Sheet'!$D$5)))))</f>
        <v/>
      </c>
      <c r="DK60">
        <f>IF($F$4="",1,IF($F$4="(blank)",--('Final Calculation Sheet'!$A$5=""),IF($F$4="(nonblank)",--('Final Calculation Sheet'!$A$5&lt;&gt;""),--ISNUMBER(SEARCH($F$4,'Final Calculation Sheet'!$A$5)))))</f>
        <v/>
      </c>
      <c r="DL60">
        <f>IF($G$4="",1,IF($G$4="(blank)",--('Final Calculation Sheet'!$E$5=""),IF($G$4="(nonblank)",--('Final Calculation Sheet'!$E$5&lt;&gt;""),--ISNUMBER(SEARCH($G$4,'Final Calculation Sheet'!$E$5)))))</f>
        <v/>
      </c>
      <c r="DM60">
        <f>IF($H$4="",1,IF($H$4="(blank)",--('Final Calculation Sheet'!$C$5=""),IF($H$4="(nonblank)",--('Final Calculation Sheet'!$C$5&lt;&gt;""),--ISNUMBER(SEARCH($H$4,'Final Calculation Sheet'!$C$5)))))</f>
        <v/>
      </c>
      <c r="DN60">
        <f>IF($I$4="",1,IF($I$4="(blank)",--('Final Calculation Sheet'!$H$5=""),IF($I$4="(nonblank)",--('Final Calculation Sheet'!$H$5&lt;&gt;""),--ISNUMBER(SEARCH($I$4,'Final Calculation Sheet'!$H$5)))))</f>
        <v/>
      </c>
      <c r="DO60">
        <f>IF($J$4="",1,IF($J$4="(blank)",--('Final Calculation Sheet'!$I$5=""),IF($J$4="(nonblank)",--('Final Calculation Sheet'!$I$5&lt;&gt;""),--ISNUMBER(SEARCH($J$4,'Final Calculation Sheet'!$I$5)))))</f>
        <v/>
      </c>
      <c r="DP60">
        <f>IF($K$4="",1,IF($K$4="(blank)",--('Final Calculation Sheet'!$J$5=""),IF($K$4="(nonblank)",--('Final Calculation Sheet'!$J$5&lt;&gt;""),--ISNUMBER(SEARCH($K$4,'Final Calculation Sheet'!$J$5)))))</f>
        <v/>
      </c>
      <c r="DQ60">
        <f>IF($L$4="",1,IF($L$4="(blank)",--('Final Calculation Sheet'!$K$5=""),IF($L$4="(nonblank)",--('Final Calculation Sheet'!$K$5&lt;&gt;""),--ISNUMBER(SEARCH($L$4,'Final Calculation Sheet'!$K$5)))))</f>
        <v/>
      </c>
      <c r="DR60">
        <f>IF($M$4="",1,IF($M$4="(blank)",--('Final Calculation Sheet'!$L$5=""),IF($M$4="(nonblank)",--('Final Calculation Sheet'!$L$5&lt;&gt;""),--ISNUMBER(SEARCH($M$4,'Final Calculation Sheet'!$L$5)))))</f>
        <v/>
      </c>
      <c r="DS60">
        <f>IF($N$4="",1,IF($N$4="(blank)",--('Final Calculation Sheet'!$M$5=""),IF($N$4="(nonblank)",--('Final Calculation Sheet'!$M$5&lt;&gt;""),--ISNUMBER(SEARCH($N$4,'Final Calculation Sheet'!$M$5)))))</f>
        <v/>
      </c>
      <c r="DT60">
        <f>IF($O$4="",1,IF($O$4="(blank)",--('Final Calculation Sheet'!$N$5=""),IF($O$4="(nonblank)",--('Final Calculation Sheet'!$N$5&lt;&gt;""),--ISNUMBER(SEARCH($O$4,'Final Calculation Sheet'!$N$5)))))</f>
        <v/>
      </c>
      <c r="DU60">
        <f>IF($P$4="",1,IF($P$4="(blank)",--('Final Calculation Sheet'!$O$5=""),IF($P$4="(nonblank)",--('Final Calculation Sheet'!$O$5&lt;&gt;""),--ISNUMBER(SEARCH($P$4,'Final Calculation Sheet'!$O$5)))))</f>
        <v/>
      </c>
      <c r="DV60">
        <f>IF($Q$4="",1,IF($Q$4="(blank)",--('Final Calculation Sheet'!$P$5=""),IF($Q$4="(nonblank)",--('Final Calculation Sheet'!$P$5&lt;&gt;""),--ISNUMBER(SEARCH($Q$4,'Final Calculation Sheet'!$P$5)))))</f>
        <v/>
      </c>
      <c r="DW60">
        <f>IF($R$4="",1,IF($R$4="(blank)",--('Final Calculation Sheet'!$Q$5=""),IF($R$4="(nonblank)",--('Final Calculation Sheet'!$Q$5&lt;&gt;""),--ISNUMBER(SEARCH($R$4,'Final Calculation Sheet'!$Q$5)))))</f>
        <v/>
      </c>
      <c r="DX60">
        <f>IF($S$4="",1,IF($S$4="(blank)",--('Final Calculation Sheet'!$R$5=""),IF($S$4="(nonblank)",--('Final Calculation Sheet'!$R$5&lt;&gt;""),--ISNUMBER(SEARCH($S$4,'Final Calculation Sheet'!$R$5)))))</f>
        <v/>
      </c>
      <c r="DY60">
        <f>IF($T$4="",1,IF($T$4="(blank)",--('Final Calculation Sheet'!$S$5=""),IF($T$4="(nonblank)",--('Final Calculation Sheet'!$S$5&lt;&gt;""),--ISNUMBER(SEARCH($T$4,'Final Calculation Sheet'!$S$5)))))</f>
        <v/>
      </c>
      <c r="DZ60">
        <f>IF($U$4="",1,IF($U$4="(blank)",--('Final Calculation Sheet'!$T$5=""),IF($U$4="(nonblank)",--('Final Calculation Sheet'!$T$5&lt;&gt;""),--ISNUMBER(SEARCH($U$4,'Final Calculation Sheet'!$T$5)))))</f>
        <v/>
      </c>
      <c r="EA60">
        <f>IF($V$4="",1,IF($V$4="(blank)",--('Final Calculation Sheet'!$U$5=""),IF($V$4="(nonblank)",--('Final Calculation Sheet'!$U$5&lt;&gt;""),--ISNUMBER(SEARCH($V$4,'Final Calculation Sheet'!$U$5)))))</f>
        <v/>
      </c>
      <c r="EB60">
        <f>IF($W$4="",1,IF($W$4="(blank)",--('Final Calculation Sheet'!$V$5=""),IF($W$4="(nonblank)",--('Final Calculation Sheet'!$V$5&lt;&gt;""),--ISNUMBER(SEARCH($W$4,'Final Calculation Sheet'!$V$5)))))</f>
        <v/>
      </c>
      <c r="EC60">
        <f>IF($X$4="",1,IF($X$4="(blank)",--('Final Calculation Sheet'!$W$5=""),IF($X$4="(nonblank)",--('Final Calculation Sheet'!$W$5&lt;&gt;""),--ISNUMBER(SEARCH($X$4,'Final Calculation Sheet'!$W$5)))))</f>
        <v/>
      </c>
      <c r="ED60">
        <f>IF($Y$4="",1,IF($Y$4="(blank)",--('Final Calculation Sheet'!$X$5=""),IF($Y$4="(nonblank)",--('Final Calculation Sheet'!$X$5&lt;&gt;""),--ISNUMBER(SEARCH($Y$4,'Final Calculation Sheet'!$X$5)))))</f>
        <v/>
      </c>
      <c r="EE60">
        <f>IF($Z$4="",1,IF($Z$4="(blank)",--('Final Calculation Sheet'!$Y$5=""),IF($Z$4="(nonblank)",--('Final Calculation Sheet'!$Y$5&lt;&gt;""),--ISNUMBER(SEARCH($Z$4,'Final Calculation Sheet'!$Y$5)))))</f>
        <v/>
      </c>
      <c r="EF60">
        <f>IF($AA$4="",1,IF($AA$4="(blank)",--('Final Calculation Sheet'!$Z$5=""),IF($AA$4="(nonblank)",--('Final Calculation Sheet'!$Z$5&lt;&gt;""),--ISNUMBER(SEARCH($AA$4,'Final Calculation Sheet'!$Z$5)))))</f>
        <v/>
      </c>
      <c r="EG60">
        <f>IF($AB$4="",1,IF($AB$4="(blank)",--('Final Calculation Sheet'!$AA$5=""),IF($AB$4="(nonblank)",--('Final Calculation Sheet'!$AA$5&lt;&gt;""),--ISNUMBER(SEARCH($AB$4,'Final Calculation Sheet'!$AA$5)))))</f>
        <v/>
      </c>
      <c r="EH60">
        <f>IF($AC$4="",1,IF($AC$4="(blank)",--('Final Calculation Sheet'!$AB$5=""),IF($AC$4="(nonblank)",--('Final Calculation Sheet'!$AB$5&lt;&gt;""),--ISNUMBER(SEARCH($AC$4,'Final Calculation Sheet'!$AB$5)))))</f>
        <v/>
      </c>
      <c r="EI60">
        <f>IF($AD$4="",1,IF($AD$4="(blank)",--('Final Calculation Sheet'!$AC$5=""),IF($AD$4="(nonblank)",--('Final Calculation Sheet'!$AC$5&lt;&gt;""),--ISNUMBER(SEARCH($AD$4,'Final Calculation Sheet'!$AC$5)))))</f>
        <v/>
      </c>
      <c r="EJ60">
        <f>IF($AE$4="",1,IF($AE$4="(blank)",--('Final Calculation Sheet'!$AD$5=""),IF($AE$4="(nonblank)",--('Final Calculation Sheet'!$AD$5&lt;&gt;""),--ISNUMBER(SEARCH($AE$4,'Final Calculation Sheet'!$AD$5)))))</f>
        <v/>
      </c>
      <c r="EK60">
        <f>IF($AF$4="",1,IF($AF$4="(blank)",--(IF('Final Calculation Sheet'!$AD$5&lt;=5,"SETTLED","OUTSTANDING")=""),IF($AF$4="(nonblank)",--(IF('Final Calculation Sheet'!$AD$5&lt;=5,"SETTLED","OUTSTANDING")&lt;&gt;""),--ISNUMBER(SEARCH($AF$4,IF('Final Calculation Sheet'!$AD$5&lt;=5,"SETTLED","OUTSTANDING"))))))</f>
        <v/>
      </c>
      <c r="EL60">
        <f>IF($AG$4="",1,IF($AG$4="(blank)",--('Final Calculation Sheet'!$AF$5=""),IF($AG$4="(nonblank)",--('Final Calculation Sheet'!$AF$5&lt;&gt;""),--ISNUMBER(SEARCH($AG$4,'Final Calculation Sheet'!$AF$5)))))</f>
        <v/>
      </c>
      <c r="EM60">
        <f>IF($AH$4="",1,IF($AH$4="(blank)",--('Final Calculation Sheet'!$AG$5=""),IF($AH$4="(nonblank)",--('Final Calculation Sheet'!$AG$5&lt;&gt;""),--ISNUMBER(SEARCH($AH$4,'Final Calculation Sheet'!$AG$5)))))</f>
        <v/>
      </c>
      <c r="EN60">
        <f>IF($AI$4="",1,IF($AI$4="(blank)",--('Final Calculation Sheet'!$AH$5=""),IF($AI$4="(nonblank)",--('Final Calculation Sheet'!$AH$5&lt;&gt;""),--ISNUMBER(SEARCH($AI$4,'Final Calculation Sheet'!$AH$5)))))</f>
        <v/>
      </c>
    </row>
    <row r="61">
      <c r="AM61">
        <f>AM60+IF(AND(Lists!$O$8&lt;&gt;"",ISNUMBER(SEARCH($B$4,Lists!$O$8))),1,0)</f>
        <v/>
      </c>
      <c r="AN61">
        <f>IF(ROW()-56&gt;MAX($AM$57:$AM$95),"",INDEX(Lists!$O$4:$O$42,MATCH(ROW()-56,$AM$57:$AM$95,0)))</f>
        <v/>
      </c>
      <c r="AO61">
        <f>AO60+IF(AND(Lists!$T$8&lt;&gt;"",ISNUMBER(SEARCH($C$4,Lists!$T$8))),1,0)</f>
        <v/>
      </c>
      <c r="AP61">
        <f>IF(ROW()-56&gt;MAX($AO$57:$AO$95),"",INDEX(Lists!$T$4:$T$42,MATCH(ROW()-56,$AO$57:$AO$95,0)))</f>
        <v/>
      </c>
      <c r="AQ61">
        <f>AQ60+IF(AND(Lists!$Y$8&lt;&gt;"",ISNUMBER(SEARCH($D$4,Lists!$Y$8))),1,0)</f>
        <v/>
      </c>
      <c r="AR61">
        <f>IF(ROW()-56&gt;MAX($AQ$57:$AQ$95),"",INDEX(Lists!$Y$4:$Y$42,MATCH(ROW()-56,$AQ$57:$AQ$95,0)))</f>
        <v/>
      </c>
      <c r="AS61">
        <f>AS60+IF(AND(Lists!$AD$8&lt;&gt;"",ISNUMBER(SEARCH($E$4,Lists!$AD$8))),1,0)</f>
        <v/>
      </c>
      <c r="AT61">
        <f>IF(ROW()-56&gt;MAX($AS$57:$AS$95),"",INDEX(Lists!$AD$4:$AD$42,MATCH(ROW()-56,$AS$57:$AS$95,0)))</f>
        <v/>
      </c>
      <c r="AU61">
        <f>AU60+IF(AND(Lists!$AI$8&lt;&gt;"",ISNUMBER(SEARCH($F$4,Lists!$AI$8))),1,0)</f>
        <v/>
      </c>
      <c r="AV61">
        <f>IF(ROW()-56&gt;MAX($AU$57:$AU$95),"",INDEX(Lists!$AI$4:$AI$42,MATCH(ROW()-56,$AU$57:$AU$95,0)))</f>
        <v/>
      </c>
      <c r="AW61">
        <f>AW60+IF(AND(Lists!$AN$8&lt;&gt;"",ISNUMBER(SEARCH($G$4,Lists!$AN$8))),1,0)</f>
        <v/>
      </c>
      <c r="AX61">
        <f>IF(ROW()-56&gt;MAX($AW$57:$AW$95),"",INDEX(Lists!$AN$4:$AN$42,MATCH(ROW()-56,$AW$57:$AW$95,0)))</f>
        <v/>
      </c>
      <c r="AY61">
        <f>AY60+IF(AND(Lists!$AS$8&lt;&gt;"",ISNUMBER(SEARCH($H$4,Lists!$AS$8))),1,0)</f>
        <v/>
      </c>
      <c r="AZ61">
        <f>IF(ROW()-56&gt;MAX($AY$57:$AY$95),"",INDEX(Lists!$AS$4:$AS$42,MATCH(ROW()-56,$AY$57:$AY$95,0)))</f>
        <v/>
      </c>
      <c r="BA61">
        <f>BA60+IF(AND(Lists!$AX$8&lt;&gt;"",ISNUMBER(SEARCH($I$4,Lists!$AX$8))),1,0)</f>
        <v/>
      </c>
      <c r="BB61">
        <f>IF(ROW()-56&gt;MAX($BA$57:$BA$95),"",INDEX(Lists!$AX$4:$AX$42,MATCH(ROW()-56,$BA$57:$BA$95,0)))</f>
        <v/>
      </c>
      <c r="BC61">
        <f>BC60+IF(AND(Lists!$BC$8&lt;&gt;"",ISNUMBER(SEARCH($J$4,Lists!$BC$8))),1,0)</f>
        <v/>
      </c>
      <c r="BD61">
        <f>IF(ROW()-56&gt;MAX($BC$57:$BC$95),"",INDEX(Lists!$BC$4:$BC$42,MATCH(ROW()-56,$BC$57:$BC$95,0)))</f>
        <v/>
      </c>
      <c r="BE61">
        <f>BE60+IF(AND(Lists!$BH$8&lt;&gt;"",ISNUMBER(SEARCH($K$4,Lists!$BH$8))),1,0)</f>
        <v/>
      </c>
      <c r="BF61">
        <f>IF(ROW()-56&gt;MAX($BE$57:$BE$95),"",INDEX(Lists!$BH$4:$BH$42,MATCH(ROW()-56,$BE$57:$BE$95,0)))</f>
        <v/>
      </c>
      <c r="BG61">
        <f>BG60+IF(AND(Lists!$BM$8&lt;&gt;"",ISNUMBER(SEARCH($L$4,Lists!$BM$8))),1,0)</f>
        <v/>
      </c>
      <c r="BH61">
        <f>IF(ROW()-56&gt;MAX($BG$57:$BG$95),"",INDEX(Lists!$BM$4:$BM$42,MATCH(ROW()-56,$BG$57:$BG$95,0)))</f>
        <v/>
      </c>
      <c r="BI61">
        <f>BI60+IF(AND(Lists!$BR$8&lt;&gt;"",ISNUMBER(SEARCH($M$4,Lists!$BR$8))),1,0)</f>
        <v/>
      </c>
      <c r="BJ61">
        <f>IF(ROW()-56&gt;MAX($BI$57:$BI$95),"",INDEX(Lists!$BR$4:$BR$42,MATCH(ROW()-56,$BI$57:$BI$95,0)))</f>
        <v/>
      </c>
      <c r="BK61">
        <f>BK60+IF(AND(Lists!$BW$8&lt;&gt;"",ISNUMBER(SEARCH($N$4,Lists!$BW$8))),1,0)</f>
        <v/>
      </c>
      <c r="BL61">
        <f>IF(ROW()-56&gt;MAX($BK$57:$BK$95),"",INDEX(Lists!$BW$4:$BW$42,MATCH(ROW()-56,$BK$57:$BK$95,0)))</f>
        <v/>
      </c>
      <c r="BM61">
        <f>BM60+IF(AND(Lists!$CB$8&lt;&gt;"",ISNUMBER(SEARCH($O$4,Lists!$CB$8))),1,0)</f>
        <v/>
      </c>
      <c r="BN61">
        <f>IF(ROW()-56&gt;MAX($BM$57:$BM$95),"",INDEX(Lists!$CB$4:$CB$42,MATCH(ROW()-56,$BM$57:$BM$95,0)))</f>
        <v/>
      </c>
      <c r="BO61">
        <f>BO60+IF(AND(Lists!$CG$8&lt;&gt;"",ISNUMBER(SEARCH($P$4,Lists!$CG$8))),1,0)</f>
        <v/>
      </c>
      <c r="BP61">
        <f>IF(ROW()-56&gt;MAX($BO$57:$BO$95),"",INDEX(Lists!$CG$4:$CG$42,MATCH(ROW()-56,$BO$57:$BO$95,0)))</f>
        <v/>
      </c>
      <c r="BQ61">
        <f>BQ60+IF(AND(Lists!$CL$8&lt;&gt;"",ISNUMBER(SEARCH($Q$4,Lists!$CL$8))),1,0)</f>
        <v/>
      </c>
      <c r="BR61">
        <f>IF(ROW()-56&gt;MAX($BQ$57:$BQ$95),"",INDEX(Lists!$CL$4:$CL$42,MATCH(ROW()-56,$BQ$57:$BQ$95,0)))</f>
        <v/>
      </c>
      <c r="BS61">
        <f>BS60+IF(AND(Lists!$CQ$8&lt;&gt;"",ISNUMBER(SEARCH($R$4,Lists!$CQ$8))),1,0)</f>
        <v/>
      </c>
      <c r="BT61">
        <f>IF(ROW()-56&gt;MAX($BS$57:$BS$95),"",INDEX(Lists!$CQ$4:$CQ$42,MATCH(ROW()-56,$BS$57:$BS$95,0)))</f>
        <v/>
      </c>
      <c r="BU61">
        <f>BU60+IF(AND(Lists!$CV$8&lt;&gt;"",ISNUMBER(SEARCH($S$4,Lists!$CV$8))),1,0)</f>
        <v/>
      </c>
      <c r="BV61">
        <f>IF(ROW()-56&gt;MAX($BU$57:$BU$95),"",INDEX(Lists!$CV$4:$CV$42,MATCH(ROW()-56,$BU$57:$BU$95,0)))</f>
        <v/>
      </c>
      <c r="BW61">
        <f>BW60+IF(AND(Lists!$DA$8&lt;&gt;"",ISNUMBER(SEARCH($T$4,Lists!$DA$8))),1,0)</f>
        <v/>
      </c>
      <c r="BX61">
        <f>IF(ROW()-56&gt;MAX($BW$57:$BW$95),"",INDEX(Lists!$DA$4:$DA$42,MATCH(ROW()-56,$BW$57:$BW$95,0)))</f>
        <v/>
      </c>
      <c r="BY61">
        <f>BY60+IF(AND(Lists!$DF$8&lt;&gt;"",ISNUMBER(SEARCH($U$4,Lists!$DF$8))),1,0)</f>
        <v/>
      </c>
      <c r="BZ61">
        <f>IF(ROW()-56&gt;MAX($BY$57:$BY$95),"",INDEX(Lists!$DF$4:$DF$42,MATCH(ROW()-56,$BY$57:$BY$95,0)))</f>
        <v/>
      </c>
      <c r="CA61">
        <f>CA60+IF(AND(Lists!$DK$8&lt;&gt;"",ISNUMBER(SEARCH($V$4,Lists!$DK$8))),1,0)</f>
        <v/>
      </c>
      <c r="CB61">
        <f>IF(ROW()-56&gt;MAX($CA$57:$CA$95),"",INDEX(Lists!$DK$4:$DK$42,MATCH(ROW()-56,$CA$57:$CA$95,0)))</f>
        <v/>
      </c>
      <c r="CC61">
        <f>CC60+IF(AND(Lists!$DP$8&lt;&gt;"",ISNUMBER(SEARCH($W$4,Lists!$DP$8))),1,0)</f>
        <v/>
      </c>
      <c r="CD61">
        <f>IF(ROW()-56&gt;MAX($CC$57:$CC$95),"",INDEX(Lists!$DP$4:$DP$42,MATCH(ROW()-56,$CC$57:$CC$95,0)))</f>
        <v/>
      </c>
      <c r="CE61">
        <f>CE60+IF(AND(Lists!$DU$8&lt;&gt;"",ISNUMBER(SEARCH($X$4,Lists!$DU$8))),1,0)</f>
        <v/>
      </c>
      <c r="CF61">
        <f>IF(ROW()-56&gt;MAX($CE$57:$CE$95),"",INDEX(Lists!$DU$4:$DU$42,MATCH(ROW()-56,$CE$57:$CE$95,0)))</f>
        <v/>
      </c>
      <c r="CG61">
        <f>CG60+IF(AND(Lists!$DZ$8&lt;&gt;"",ISNUMBER(SEARCH($Y$4,Lists!$DZ$8))),1,0)</f>
        <v/>
      </c>
      <c r="CH61">
        <f>IF(ROW()-56&gt;MAX($CG$57:$CG$95),"",INDEX(Lists!$DZ$4:$DZ$42,MATCH(ROW()-56,$CG$57:$CG$95,0)))</f>
        <v/>
      </c>
      <c r="CI61">
        <f>CI60+IF(AND(Lists!$EE$8&lt;&gt;"",ISNUMBER(SEARCH($Z$4,Lists!$EE$8))),1,0)</f>
        <v/>
      </c>
      <c r="CJ61">
        <f>IF(ROW()-56&gt;MAX($CI$57:$CI$95),"",INDEX(Lists!$EE$4:$EE$42,MATCH(ROW()-56,$CI$57:$CI$95,0)))</f>
        <v/>
      </c>
      <c r="CK61">
        <f>CK60+IF(AND(Lists!$EJ$8&lt;&gt;"",ISNUMBER(SEARCH($AA$4,Lists!$EJ$8))),1,0)</f>
        <v/>
      </c>
      <c r="CL61">
        <f>IF(ROW()-56&gt;MAX($CK$57:$CK$95),"",INDEX(Lists!$EJ$4:$EJ$42,MATCH(ROW()-56,$CK$57:$CK$95,0)))</f>
        <v/>
      </c>
      <c r="CM61">
        <f>CM60+IF(AND(Lists!$EO$8&lt;&gt;"",ISNUMBER(SEARCH($AB$4,Lists!$EO$8))),1,0)</f>
        <v/>
      </c>
      <c r="CN61">
        <f>IF(ROW()-56&gt;MAX($CM$57:$CM$95),"",INDEX(Lists!$EO$4:$EO$42,MATCH(ROW()-56,$CM$57:$CM$95,0)))</f>
        <v/>
      </c>
      <c r="CO61">
        <f>CO60+IF(AND(Lists!$ET$8&lt;&gt;"",ISNUMBER(SEARCH($AC$4,Lists!$ET$8))),1,0)</f>
        <v/>
      </c>
      <c r="CP61">
        <f>IF(ROW()-56&gt;MAX($CO$57:$CO$95),"",INDEX(Lists!$ET$4:$ET$42,MATCH(ROW()-56,$CO$57:$CO$95,0)))</f>
        <v/>
      </c>
      <c r="CQ61">
        <f>CQ60+IF(AND(Lists!$EY$8&lt;&gt;"",ISNUMBER(SEARCH($AD$4,Lists!$EY$8))),1,0)</f>
        <v/>
      </c>
      <c r="CR61">
        <f>IF(ROW()-56&gt;MAX($CQ$57:$CQ$95),"",INDEX(Lists!$EY$4:$EY$42,MATCH(ROW()-56,$CQ$57:$CQ$95,0)))</f>
        <v/>
      </c>
      <c r="CS61">
        <f>CS60+IF(AND(Lists!$FD$8&lt;&gt;"",ISNUMBER(SEARCH($AE$4,Lists!$FD$8))),1,0)</f>
        <v/>
      </c>
      <c r="CT61">
        <f>IF(ROW()-56&gt;MAX($CS$57:$CS$95),"",INDEX(Lists!$FD$4:$FD$42,MATCH(ROW()-56,$CS$57:$CS$95,0)))</f>
        <v/>
      </c>
      <c r="CU61">
        <f>CU60+IF(AND(Lists!$FI$8&lt;&gt;"",ISNUMBER(SEARCH($AG$4,Lists!$FI$8))),1,0)</f>
        <v/>
      </c>
      <c r="CV61">
        <f>IF(ROW()-56&gt;MAX($CU$57:$CU$95),"",INDEX(Lists!$FI$4:$FI$42,MATCH(ROW()-56,$CU$57:$CU$95,0)))</f>
        <v/>
      </c>
      <c r="CW61">
        <f>CW60+IF(AND(Lists!$FN$8&lt;&gt;"",ISNUMBER(SEARCH($AH$4,Lists!$FN$8))),1,0)</f>
        <v/>
      </c>
      <c r="CX61">
        <f>IF(ROW()-56&gt;MAX($CW$57:$CW$95),"",INDEX(Lists!$FN$4:$FN$42,MATCH(ROW()-56,$CW$57:$CW$95,0)))</f>
        <v/>
      </c>
      <c r="CY61">
        <f>CY60+IF(AND(Lists!$FS$8&lt;&gt;"",ISNUMBER(SEARCH($AI$4,Lists!$FS$8))),1,0)</f>
        <v/>
      </c>
      <c r="CZ61">
        <f>IF(ROW()-56&gt;MAX($CY$57:$CY$95),"",INDEX(Lists!$FS$4:$FS$42,MATCH(ROW()-56,$CY$57:$CY$95,0)))</f>
        <v/>
      </c>
      <c r="DA61">
        <f>DA60+IF(AND(Lists!$FX$8&lt;&gt;"",ISNUMBER(SEARCH($AF$4,Lists!$FX$8))),1,0)</f>
        <v/>
      </c>
      <c r="DB61">
        <f>IF(ROW()-56&gt;MAX($DA$57:$DA$95),"",INDEX(Lists!$FX$4:$FX$42,MATCH(ROW()-56,$DA$57:$DA$95,0)))</f>
        <v/>
      </c>
      <c r="DG61">
        <f>IF($B$4="",1,IF($B$4="(blank)",--('Final Calculation Sheet'!$F$6=""),IF($B$4="(nonblank)",--('Final Calculation Sheet'!$F$6&lt;&gt;""),--ISNUMBER(SEARCH($B$4,'Final Calculation Sheet'!$F$6)))))</f>
        <v/>
      </c>
      <c r="DH61">
        <f>IF($C$4="",1,IF($C$4="(blank)",--('Final Calculation Sheet'!$G$6=""),IF($C$4="(nonblank)",--('Final Calculation Sheet'!$G$6&lt;&gt;""),--ISNUMBER(SEARCH($C$4,'Final Calculation Sheet'!$G$6)))))</f>
        <v/>
      </c>
      <c r="DI61">
        <f>IF($D$4="",1,IF($D$4="(blank)",--('Final Calculation Sheet'!$B$6=""),IF($D$4="(nonblank)",--('Final Calculation Sheet'!$B$6&lt;&gt;""),--ISNUMBER(SEARCH($D$4,'Final Calculation Sheet'!$B$6)))))</f>
        <v/>
      </c>
      <c r="DJ61">
        <f>IF($E$4="",1,IF($E$4="(blank)",--('Final Calculation Sheet'!$D$6=""),IF($E$4="(nonblank)",--('Final Calculation Sheet'!$D$6&lt;&gt;""),--ISNUMBER(SEARCH($E$4,'Final Calculation Sheet'!$D$6)))))</f>
        <v/>
      </c>
      <c r="DK61">
        <f>IF($F$4="",1,IF($F$4="(blank)",--('Final Calculation Sheet'!$A$6=""),IF($F$4="(nonblank)",--('Final Calculation Sheet'!$A$6&lt;&gt;""),--ISNUMBER(SEARCH($F$4,'Final Calculation Sheet'!$A$6)))))</f>
        <v/>
      </c>
      <c r="DL61">
        <f>IF($G$4="",1,IF($G$4="(blank)",--('Final Calculation Sheet'!$E$6=""),IF($G$4="(nonblank)",--('Final Calculation Sheet'!$E$6&lt;&gt;""),--ISNUMBER(SEARCH($G$4,'Final Calculation Sheet'!$E$6)))))</f>
        <v/>
      </c>
      <c r="DM61">
        <f>IF($H$4="",1,IF($H$4="(blank)",--('Final Calculation Sheet'!$C$6=""),IF($H$4="(nonblank)",--('Final Calculation Sheet'!$C$6&lt;&gt;""),--ISNUMBER(SEARCH($H$4,'Final Calculation Sheet'!$C$6)))))</f>
        <v/>
      </c>
      <c r="DN61">
        <f>IF($I$4="",1,IF($I$4="(blank)",--('Final Calculation Sheet'!$H$6=""),IF($I$4="(nonblank)",--('Final Calculation Sheet'!$H$6&lt;&gt;""),--ISNUMBER(SEARCH($I$4,'Final Calculation Sheet'!$H$6)))))</f>
        <v/>
      </c>
      <c r="DO61">
        <f>IF($J$4="",1,IF($J$4="(blank)",--('Final Calculation Sheet'!$I$6=""),IF($J$4="(nonblank)",--('Final Calculation Sheet'!$I$6&lt;&gt;""),--ISNUMBER(SEARCH($J$4,'Final Calculation Sheet'!$I$6)))))</f>
        <v/>
      </c>
      <c r="DP61">
        <f>IF($K$4="",1,IF($K$4="(blank)",--('Final Calculation Sheet'!$J$6=""),IF($K$4="(nonblank)",--('Final Calculation Sheet'!$J$6&lt;&gt;""),--ISNUMBER(SEARCH($K$4,'Final Calculation Sheet'!$J$6)))))</f>
        <v/>
      </c>
      <c r="DQ61">
        <f>IF($L$4="",1,IF($L$4="(blank)",--('Final Calculation Sheet'!$K$6=""),IF($L$4="(nonblank)",--('Final Calculation Sheet'!$K$6&lt;&gt;""),--ISNUMBER(SEARCH($L$4,'Final Calculation Sheet'!$K$6)))))</f>
        <v/>
      </c>
      <c r="DR61">
        <f>IF($M$4="",1,IF($M$4="(blank)",--('Final Calculation Sheet'!$L$6=""),IF($M$4="(nonblank)",--('Final Calculation Sheet'!$L$6&lt;&gt;""),--ISNUMBER(SEARCH($M$4,'Final Calculation Sheet'!$L$6)))))</f>
        <v/>
      </c>
      <c r="DS61">
        <f>IF($N$4="",1,IF($N$4="(blank)",--('Final Calculation Sheet'!$M$6=""),IF($N$4="(nonblank)",--('Final Calculation Sheet'!$M$6&lt;&gt;""),--ISNUMBER(SEARCH($N$4,'Final Calculation Sheet'!$M$6)))))</f>
        <v/>
      </c>
      <c r="DT61">
        <f>IF($O$4="",1,IF($O$4="(blank)",--('Final Calculation Sheet'!$N$6=""),IF($O$4="(nonblank)",--('Final Calculation Sheet'!$N$6&lt;&gt;""),--ISNUMBER(SEARCH($O$4,'Final Calculation Sheet'!$N$6)))))</f>
        <v/>
      </c>
      <c r="DU61">
        <f>IF($P$4="",1,IF($P$4="(blank)",--('Final Calculation Sheet'!$O$6=""),IF($P$4="(nonblank)",--('Final Calculation Sheet'!$O$6&lt;&gt;""),--ISNUMBER(SEARCH($P$4,'Final Calculation Sheet'!$O$6)))))</f>
        <v/>
      </c>
      <c r="DV61">
        <f>IF($Q$4="",1,IF($Q$4="(blank)",--('Final Calculation Sheet'!$P$6=""),IF($Q$4="(nonblank)",--('Final Calculation Sheet'!$P$6&lt;&gt;""),--ISNUMBER(SEARCH($Q$4,'Final Calculation Sheet'!$P$6)))))</f>
        <v/>
      </c>
      <c r="DW61">
        <f>IF($R$4="",1,IF($R$4="(blank)",--('Final Calculation Sheet'!$Q$6=""),IF($R$4="(nonblank)",--('Final Calculation Sheet'!$Q$6&lt;&gt;""),--ISNUMBER(SEARCH($R$4,'Final Calculation Sheet'!$Q$6)))))</f>
        <v/>
      </c>
      <c r="DX61">
        <f>IF($S$4="",1,IF($S$4="(blank)",--('Final Calculation Sheet'!$R$6=""),IF($S$4="(nonblank)",--('Final Calculation Sheet'!$R$6&lt;&gt;""),--ISNUMBER(SEARCH($S$4,'Final Calculation Sheet'!$R$6)))))</f>
        <v/>
      </c>
      <c r="DY61">
        <f>IF($T$4="",1,IF($T$4="(blank)",--('Final Calculation Sheet'!$S$6=""),IF($T$4="(nonblank)",--('Final Calculation Sheet'!$S$6&lt;&gt;""),--ISNUMBER(SEARCH($T$4,'Final Calculation Sheet'!$S$6)))))</f>
        <v/>
      </c>
      <c r="DZ61">
        <f>IF($U$4="",1,IF($U$4="(blank)",--('Final Calculation Sheet'!$T$6=""),IF($U$4="(nonblank)",--('Final Calculation Sheet'!$T$6&lt;&gt;""),--ISNUMBER(SEARCH($U$4,'Final Calculation Sheet'!$T$6)))))</f>
        <v/>
      </c>
      <c r="EA61">
        <f>IF($V$4="",1,IF($V$4="(blank)",--('Final Calculation Sheet'!$U$6=""),IF($V$4="(nonblank)",--('Final Calculation Sheet'!$U$6&lt;&gt;""),--ISNUMBER(SEARCH($V$4,'Final Calculation Sheet'!$U$6)))))</f>
        <v/>
      </c>
      <c r="EB61">
        <f>IF($W$4="",1,IF($W$4="(blank)",--('Final Calculation Sheet'!$V$6=""),IF($W$4="(nonblank)",--('Final Calculation Sheet'!$V$6&lt;&gt;""),--ISNUMBER(SEARCH($W$4,'Final Calculation Sheet'!$V$6)))))</f>
        <v/>
      </c>
      <c r="EC61">
        <f>IF($X$4="",1,IF($X$4="(blank)",--('Final Calculation Sheet'!$W$6=""),IF($X$4="(nonblank)",--('Final Calculation Sheet'!$W$6&lt;&gt;""),--ISNUMBER(SEARCH($X$4,'Final Calculation Sheet'!$W$6)))))</f>
        <v/>
      </c>
      <c r="ED61">
        <f>IF($Y$4="",1,IF($Y$4="(blank)",--('Final Calculation Sheet'!$X$6=""),IF($Y$4="(nonblank)",--('Final Calculation Sheet'!$X$6&lt;&gt;""),--ISNUMBER(SEARCH($Y$4,'Final Calculation Sheet'!$X$6)))))</f>
        <v/>
      </c>
      <c r="EE61">
        <f>IF($Z$4="",1,IF($Z$4="(blank)",--('Final Calculation Sheet'!$Y$6=""),IF($Z$4="(nonblank)",--('Final Calculation Sheet'!$Y$6&lt;&gt;""),--ISNUMBER(SEARCH($Z$4,'Final Calculation Sheet'!$Y$6)))))</f>
        <v/>
      </c>
      <c r="EF61">
        <f>IF($AA$4="",1,IF($AA$4="(blank)",--('Final Calculation Sheet'!$Z$6=""),IF($AA$4="(nonblank)",--('Final Calculation Sheet'!$Z$6&lt;&gt;""),--ISNUMBER(SEARCH($AA$4,'Final Calculation Sheet'!$Z$6)))))</f>
        <v/>
      </c>
      <c r="EG61">
        <f>IF($AB$4="",1,IF($AB$4="(blank)",--('Final Calculation Sheet'!$AA$6=""),IF($AB$4="(nonblank)",--('Final Calculation Sheet'!$AA$6&lt;&gt;""),--ISNUMBER(SEARCH($AB$4,'Final Calculation Sheet'!$AA$6)))))</f>
        <v/>
      </c>
      <c r="EH61">
        <f>IF($AC$4="",1,IF($AC$4="(blank)",--('Final Calculation Sheet'!$AB$6=""),IF($AC$4="(nonblank)",--('Final Calculation Sheet'!$AB$6&lt;&gt;""),--ISNUMBER(SEARCH($AC$4,'Final Calculation Sheet'!$AB$6)))))</f>
        <v/>
      </c>
      <c r="EI61">
        <f>IF($AD$4="",1,IF($AD$4="(blank)",--('Final Calculation Sheet'!$AC$6=""),IF($AD$4="(nonblank)",--('Final Calculation Sheet'!$AC$6&lt;&gt;""),--ISNUMBER(SEARCH($AD$4,'Final Calculation Sheet'!$AC$6)))))</f>
        <v/>
      </c>
      <c r="EJ61">
        <f>IF($AE$4="",1,IF($AE$4="(blank)",--('Final Calculation Sheet'!$AD$6=""),IF($AE$4="(nonblank)",--('Final Calculation Sheet'!$AD$6&lt;&gt;""),--ISNUMBER(SEARCH($AE$4,'Final Calculation Sheet'!$AD$6)))))</f>
        <v/>
      </c>
      <c r="EK61">
        <f>IF($AF$4="",1,IF($AF$4="(blank)",--(IF('Final Calculation Sheet'!$AD$6&lt;=5,"SETTLED","OUTSTANDING")=""),IF($AF$4="(nonblank)",--(IF('Final Calculation Sheet'!$AD$6&lt;=5,"SETTLED","OUTSTANDING")&lt;&gt;""),--ISNUMBER(SEARCH($AF$4,IF('Final Calculation Sheet'!$AD$6&lt;=5,"SETTLED","OUTSTANDING"))))))</f>
        <v/>
      </c>
      <c r="EL61">
        <f>IF($AG$4="",1,IF($AG$4="(blank)",--('Final Calculation Sheet'!$AF$6=""),IF($AG$4="(nonblank)",--('Final Calculation Sheet'!$AF$6&lt;&gt;""),--ISNUMBER(SEARCH($AG$4,'Final Calculation Sheet'!$AF$6)))))</f>
        <v/>
      </c>
      <c r="EM61">
        <f>IF($AH$4="",1,IF($AH$4="(blank)",--('Final Calculation Sheet'!$AG$6=""),IF($AH$4="(nonblank)",--('Final Calculation Sheet'!$AG$6&lt;&gt;""),--ISNUMBER(SEARCH($AH$4,'Final Calculation Sheet'!$AG$6)))))</f>
        <v/>
      </c>
      <c r="EN61">
        <f>IF($AI$4="",1,IF($AI$4="(blank)",--('Final Calculation Sheet'!$AH$6=""),IF($AI$4="(nonblank)",--('Final Calculation Sheet'!$AH$6&lt;&gt;""),--ISNUMBER(SEARCH($AI$4,'Final Calculation Sheet'!$AH$6)))))</f>
        <v/>
      </c>
    </row>
    <row r="62">
      <c r="AM62">
        <f>AM61+IF(AND(Lists!$O$9&lt;&gt;"",ISNUMBER(SEARCH($B$4,Lists!$O$9))),1,0)</f>
        <v/>
      </c>
      <c r="AN62">
        <f>IF(ROW()-56&gt;MAX($AM$57:$AM$95),"",INDEX(Lists!$O$4:$O$42,MATCH(ROW()-56,$AM$57:$AM$95,0)))</f>
        <v/>
      </c>
      <c r="AO62">
        <f>AO61+IF(AND(Lists!$T$9&lt;&gt;"",ISNUMBER(SEARCH($C$4,Lists!$T$9))),1,0)</f>
        <v/>
      </c>
      <c r="AP62">
        <f>IF(ROW()-56&gt;MAX($AO$57:$AO$95),"",INDEX(Lists!$T$4:$T$42,MATCH(ROW()-56,$AO$57:$AO$95,0)))</f>
        <v/>
      </c>
      <c r="AQ62">
        <f>AQ61+IF(AND(Lists!$Y$9&lt;&gt;"",ISNUMBER(SEARCH($D$4,Lists!$Y$9))),1,0)</f>
        <v/>
      </c>
      <c r="AR62">
        <f>IF(ROW()-56&gt;MAX($AQ$57:$AQ$95),"",INDEX(Lists!$Y$4:$Y$42,MATCH(ROW()-56,$AQ$57:$AQ$95,0)))</f>
        <v/>
      </c>
      <c r="AS62">
        <f>AS61+IF(AND(Lists!$AD$9&lt;&gt;"",ISNUMBER(SEARCH($E$4,Lists!$AD$9))),1,0)</f>
        <v/>
      </c>
      <c r="AT62">
        <f>IF(ROW()-56&gt;MAX($AS$57:$AS$95),"",INDEX(Lists!$AD$4:$AD$42,MATCH(ROW()-56,$AS$57:$AS$95,0)))</f>
        <v/>
      </c>
      <c r="AU62">
        <f>AU61+IF(AND(Lists!$AI$9&lt;&gt;"",ISNUMBER(SEARCH($F$4,Lists!$AI$9))),1,0)</f>
        <v/>
      </c>
      <c r="AV62">
        <f>IF(ROW()-56&gt;MAX($AU$57:$AU$95),"",INDEX(Lists!$AI$4:$AI$42,MATCH(ROW()-56,$AU$57:$AU$95,0)))</f>
        <v/>
      </c>
      <c r="AW62">
        <f>AW61+IF(AND(Lists!$AN$9&lt;&gt;"",ISNUMBER(SEARCH($G$4,Lists!$AN$9))),1,0)</f>
        <v/>
      </c>
      <c r="AX62">
        <f>IF(ROW()-56&gt;MAX($AW$57:$AW$95),"",INDEX(Lists!$AN$4:$AN$42,MATCH(ROW()-56,$AW$57:$AW$95,0)))</f>
        <v/>
      </c>
      <c r="AY62">
        <f>AY61+IF(AND(Lists!$AS$9&lt;&gt;"",ISNUMBER(SEARCH($H$4,Lists!$AS$9))),1,0)</f>
        <v/>
      </c>
      <c r="AZ62">
        <f>IF(ROW()-56&gt;MAX($AY$57:$AY$95),"",INDEX(Lists!$AS$4:$AS$42,MATCH(ROW()-56,$AY$57:$AY$95,0)))</f>
        <v/>
      </c>
      <c r="BA62">
        <f>BA61+IF(AND(Lists!$AX$9&lt;&gt;"",ISNUMBER(SEARCH($I$4,Lists!$AX$9))),1,0)</f>
        <v/>
      </c>
      <c r="BB62">
        <f>IF(ROW()-56&gt;MAX($BA$57:$BA$95),"",INDEX(Lists!$AX$4:$AX$42,MATCH(ROW()-56,$BA$57:$BA$95,0)))</f>
        <v/>
      </c>
      <c r="BC62">
        <f>BC61+IF(AND(Lists!$BC$9&lt;&gt;"",ISNUMBER(SEARCH($J$4,Lists!$BC$9))),1,0)</f>
        <v/>
      </c>
      <c r="BD62">
        <f>IF(ROW()-56&gt;MAX($BC$57:$BC$95),"",INDEX(Lists!$BC$4:$BC$42,MATCH(ROW()-56,$BC$57:$BC$95,0)))</f>
        <v/>
      </c>
      <c r="BE62">
        <f>BE61+IF(AND(Lists!$BH$9&lt;&gt;"",ISNUMBER(SEARCH($K$4,Lists!$BH$9))),1,0)</f>
        <v/>
      </c>
      <c r="BF62">
        <f>IF(ROW()-56&gt;MAX($BE$57:$BE$95),"",INDEX(Lists!$BH$4:$BH$42,MATCH(ROW()-56,$BE$57:$BE$95,0)))</f>
        <v/>
      </c>
      <c r="BG62">
        <f>BG61+IF(AND(Lists!$BM$9&lt;&gt;"",ISNUMBER(SEARCH($L$4,Lists!$BM$9))),1,0)</f>
        <v/>
      </c>
      <c r="BH62">
        <f>IF(ROW()-56&gt;MAX($BG$57:$BG$95),"",INDEX(Lists!$BM$4:$BM$42,MATCH(ROW()-56,$BG$57:$BG$95,0)))</f>
        <v/>
      </c>
      <c r="BI62">
        <f>BI61+IF(AND(Lists!$BR$9&lt;&gt;"",ISNUMBER(SEARCH($M$4,Lists!$BR$9))),1,0)</f>
        <v/>
      </c>
      <c r="BJ62">
        <f>IF(ROW()-56&gt;MAX($BI$57:$BI$95),"",INDEX(Lists!$BR$4:$BR$42,MATCH(ROW()-56,$BI$57:$BI$95,0)))</f>
        <v/>
      </c>
      <c r="BK62">
        <f>BK61+IF(AND(Lists!$BW$9&lt;&gt;"",ISNUMBER(SEARCH($N$4,Lists!$BW$9))),1,0)</f>
        <v/>
      </c>
      <c r="BL62">
        <f>IF(ROW()-56&gt;MAX($BK$57:$BK$95),"",INDEX(Lists!$BW$4:$BW$42,MATCH(ROW()-56,$BK$57:$BK$95,0)))</f>
        <v/>
      </c>
      <c r="BM62">
        <f>BM61+IF(AND(Lists!$CB$9&lt;&gt;"",ISNUMBER(SEARCH($O$4,Lists!$CB$9))),1,0)</f>
        <v/>
      </c>
      <c r="BN62">
        <f>IF(ROW()-56&gt;MAX($BM$57:$BM$95),"",INDEX(Lists!$CB$4:$CB$42,MATCH(ROW()-56,$BM$57:$BM$95,0)))</f>
        <v/>
      </c>
      <c r="BO62">
        <f>BO61+IF(AND(Lists!$CG$9&lt;&gt;"",ISNUMBER(SEARCH($P$4,Lists!$CG$9))),1,0)</f>
        <v/>
      </c>
      <c r="BP62">
        <f>IF(ROW()-56&gt;MAX($BO$57:$BO$95),"",INDEX(Lists!$CG$4:$CG$42,MATCH(ROW()-56,$BO$57:$BO$95,0)))</f>
        <v/>
      </c>
      <c r="BQ62">
        <f>BQ61+IF(AND(Lists!$CL$9&lt;&gt;"",ISNUMBER(SEARCH($Q$4,Lists!$CL$9))),1,0)</f>
        <v/>
      </c>
      <c r="BR62">
        <f>IF(ROW()-56&gt;MAX($BQ$57:$BQ$95),"",INDEX(Lists!$CL$4:$CL$42,MATCH(ROW()-56,$BQ$57:$BQ$95,0)))</f>
        <v/>
      </c>
      <c r="BS62">
        <f>BS61+IF(AND(Lists!$CQ$9&lt;&gt;"",ISNUMBER(SEARCH($R$4,Lists!$CQ$9))),1,0)</f>
        <v/>
      </c>
      <c r="BT62">
        <f>IF(ROW()-56&gt;MAX($BS$57:$BS$95),"",INDEX(Lists!$CQ$4:$CQ$42,MATCH(ROW()-56,$BS$57:$BS$95,0)))</f>
        <v/>
      </c>
      <c r="BU62">
        <f>BU61+IF(AND(Lists!$CV$9&lt;&gt;"",ISNUMBER(SEARCH($S$4,Lists!$CV$9))),1,0)</f>
        <v/>
      </c>
      <c r="BV62">
        <f>IF(ROW()-56&gt;MAX($BU$57:$BU$95),"",INDEX(Lists!$CV$4:$CV$42,MATCH(ROW()-56,$BU$57:$BU$95,0)))</f>
        <v/>
      </c>
      <c r="BW62">
        <f>BW61+IF(AND(Lists!$DA$9&lt;&gt;"",ISNUMBER(SEARCH($T$4,Lists!$DA$9))),1,0)</f>
        <v/>
      </c>
      <c r="BX62">
        <f>IF(ROW()-56&gt;MAX($BW$57:$BW$95),"",INDEX(Lists!$DA$4:$DA$42,MATCH(ROW()-56,$BW$57:$BW$95,0)))</f>
        <v/>
      </c>
      <c r="BY62">
        <f>BY61+IF(AND(Lists!$DF$9&lt;&gt;"",ISNUMBER(SEARCH($U$4,Lists!$DF$9))),1,0)</f>
        <v/>
      </c>
      <c r="BZ62">
        <f>IF(ROW()-56&gt;MAX($BY$57:$BY$95),"",INDEX(Lists!$DF$4:$DF$42,MATCH(ROW()-56,$BY$57:$BY$95,0)))</f>
        <v/>
      </c>
      <c r="CA62">
        <f>CA61+IF(AND(Lists!$DK$9&lt;&gt;"",ISNUMBER(SEARCH($V$4,Lists!$DK$9))),1,0)</f>
        <v/>
      </c>
      <c r="CB62">
        <f>IF(ROW()-56&gt;MAX($CA$57:$CA$95),"",INDEX(Lists!$DK$4:$DK$42,MATCH(ROW()-56,$CA$57:$CA$95,0)))</f>
        <v/>
      </c>
      <c r="CC62">
        <f>CC61+IF(AND(Lists!$DP$9&lt;&gt;"",ISNUMBER(SEARCH($W$4,Lists!$DP$9))),1,0)</f>
        <v/>
      </c>
      <c r="CD62">
        <f>IF(ROW()-56&gt;MAX($CC$57:$CC$95),"",INDEX(Lists!$DP$4:$DP$42,MATCH(ROW()-56,$CC$57:$CC$95,0)))</f>
        <v/>
      </c>
      <c r="CE62">
        <f>CE61+IF(AND(Lists!$DU$9&lt;&gt;"",ISNUMBER(SEARCH($X$4,Lists!$DU$9))),1,0)</f>
        <v/>
      </c>
      <c r="CF62">
        <f>IF(ROW()-56&gt;MAX($CE$57:$CE$95),"",INDEX(Lists!$DU$4:$DU$42,MATCH(ROW()-56,$CE$57:$CE$95,0)))</f>
        <v/>
      </c>
      <c r="CG62">
        <f>CG61+IF(AND(Lists!$DZ$9&lt;&gt;"",ISNUMBER(SEARCH($Y$4,Lists!$DZ$9))),1,0)</f>
        <v/>
      </c>
      <c r="CH62">
        <f>IF(ROW()-56&gt;MAX($CG$57:$CG$95),"",INDEX(Lists!$DZ$4:$DZ$42,MATCH(ROW()-56,$CG$57:$CG$95,0)))</f>
        <v/>
      </c>
      <c r="CI62">
        <f>CI61+IF(AND(Lists!$EE$9&lt;&gt;"",ISNUMBER(SEARCH($Z$4,Lists!$EE$9))),1,0)</f>
        <v/>
      </c>
      <c r="CJ62">
        <f>IF(ROW()-56&gt;MAX($CI$57:$CI$95),"",INDEX(Lists!$EE$4:$EE$42,MATCH(ROW()-56,$CI$57:$CI$95,0)))</f>
        <v/>
      </c>
      <c r="CK62">
        <f>CK61+IF(AND(Lists!$EJ$9&lt;&gt;"",ISNUMBER(SEARCH($AA$4,Lists!$EJ$9))),1,0)</f>
        <v/>
      </c>
      <c r="CL62">
        <f>IF(ROW()-56&gt;MAX($CK$57:$CK$95),"",INDEX(Lists!$EJ$4:$EJ$42,MATCH(ROW()-56,$CK$57:$CK$95,0)))</f>
        <v/>
      </c>
      <c r="CM62">
        <f>CM61+IF(AND(Lists!$EO$9&lt;&gt;"",ISNUMBER(SEARCH($AB$4,Lists!$EO$9))),1,0)</f>
        <v/>
      </c>
      <c r="CN62">
        <f>IF(ROW()-56&gt;MAX($CM$57:$CM$95),"",INDEX(Lists!$EO$4:$EO$42,MATCH(ROW()-56,$CM$57:$CM$95,0)))</f>
        <v/>
      </c>
      <c r="CO62">
        <f>CO61+IF(AND(Lists!$ET$9&lt;&gt;"",ISNUMBER(SEARCH($AC$4,Lists!$ET$9))),1,0)</f>
        <v/>
      </c>
      <c r="CP62">
        <f>IF(ROW()-56&gt;MAX($CO$57:$CO$95),"",INDEX(Lists!$ET$4:$ET$42,MATCH(ROW()-56,$CO$57:$CO$95,0)))</f>
        <v/>
      </c>
      <c r="CQ62">
        <f>CQ61+IF(AND(Lists!$EY$9&lt;&gt;"",ISNUMBER(SEARCH($AD$4,Lists!$EY$9))),1,0)</f>
        <v/>
      </c>
      <c r="CR62">
        <f>IF(ROW()-56&gt;MAX($CQ$57:$CQ$95),"",INDEX(Lists!$EY$4:$EY$42,MATCH(ROW()-56,$CQ$57:$CQ$95,0)))</f>
        <v/>
      </c>
      <c r="CS62">
        <f>CS61+IF(AND(Lists!$FD$9&lt;&gt;"",ISNUMBER(SEARCH($AE$4,Lists!$FD$9))),1,0)</f>
        <v/>
      </c>
      <c r="CT62">
        <f>IF(ROW()-56&gt;MAX($CS$57:$CS$95),"",INDEX(Lists!$FD$4:$FD$42,MATCH(ROW()-56,$CS$57:$CS$95,0)))</f>
        <v/>
      </c>
      <c r="CU62">
        <f>CU61+IF(AND(Lists!$FI$9&lt;&gt;"",ISNUMBER(SEARCH($AG$4,Lists!$FI$9))),1,0)</f>
        <v/>
      </c>
      <c r="CV62">
        <f>IF(ROW()-56&gt;MAX($CU$57:$CU$95),"",INDEX(Lists!$FI$4:$FI$42,MATCH(ROW()-56,$CU$57:$CU$95,0)))</f>
        <v/>
      </c>
      <c r="CW62">
        <f>CW61+IF(AND(Lists!$FN$9&lt;&gt;"",ISNUMBER(SEARCH($AH$4,Lists!$FN$9))),1,0)</f>
        <v/>
      </c>
      <c r="CX62">
        <f>IF(ROW()-56&gt;MAX($CW$57:$CW$95),"",INDEX(Lists!$FN$4:$FN$42,MATCH(ROW()-56,$CW$57:$CW$95,0)))</f>
        <v/>
      </c>
      <c r="CY62">
        <f>CY61+IF(AND(Lists!$FS$9&lt;&gt;"",ISNUMBER(SEARCH($AI$4,Lists!$FS$9))),1,0)</f>
        <v/>
      </c>
      <c r="CZ62">
        <f>IF(ROW()-56&gt;MAX($CY$57:$CY$95),"",INDEX(Lists!$FS$4:$FS$42,MATCH(ROW()-56,$CY$57:$CY$95,0)))</f>
        <v/>
      </c>
      <c r="DA62">
        <f>DA61+IF(AND(Lists!$FX$9&lt;&gt;"",ISNUMBER(SEARCH($AF$4,Lists!$FX$9))),1,0)</f>
        <v/>
      </c>
      <c r="DB62">
        <f>IF(ROW()-56&gt;MAX($DA$57:$DA$95),"",INDEX(Lists!$FX$4:$FX$42,MATCH(ROW()-56,$DA$57:$DA$95,0)))</f>
        <v/>
      </c>
      <c r="DG62">
        <f>IF($B$4="",1,IF($B$4="(blank)",--('Final Calculation Sheet'!$F$7=""),IF($B$4="(nonblank)",--('Final Calculation Sheet'!$F$7&lt;&gt;""),--ISNUMBER(SEARCH($B$4,'Final Calculation Sheet'!$F$7)))))</f>
        <v/>
      </c>
      <c r="DH62">
        <f>IF($C$4="",1,IF($C$4="(blank)",--('Final Calculation Sheet'!$G$7=""),IF($C$4="(nonblank)",--('Final Calculation Sheet'!$G$7&lt;&gt;""),--ISNUMBER(SEARCH($C$4,'Final Calculation Sheet'!$G$7)))))</f>
        <v/>
      </c>
      <c r="DI62">
        <f>IF($D$4="",1,IF($D$4="(blank)",--('Final Calculation Sheet'!$B$7=""),IF($D$4="(nonblank)",--('Final Calculation Sheet'!$B$7&lt;&gt;""),--ISNUMBER(SEARCH($D$4,'Final Calculation Sheet'!$B$7)))))</f>
        <v/>
      </c>
      <c r="DJ62">
        <f>IF($E$4="",1,IF($E$4="(blank)",--('Final Calculation Sheet'!$D$7=""),IF($E$4="(nonblank)",--('Final Calculation Sheet'!$D$7&lt;&gt;""),--ISNUMBER(SEARCH($E$4,'Final Calculation Sheet'!$D$7)))))</f>
        <v/>
      </c>
      <c r="DK62">
        <f>IF($F$4="",1,IF($F$4="(blank)",--('Final Calculation Sheet'!$A$7=""),IF($F$4="(nonblank)",--('Final Calculation Sheet'!$A$7&lt;&gt;""),--ISNUMBER(SEARCH($F$4,'Final Calculation Sheet'!$A$7)))))</f>
        <v/>
      </c>
      <c r="DL62">
        <f>IF($G$4="",1,IF($G$4="(blank)",--('Final Calculation Sheet'!$E$7=""),IF($G$4="(nonblank)",--('Final Calculation Sheet'!$E$7&lt;&gt;""),--ISNUMBER(SEARCH($G$4,'Final Calculation Sheet'!$E$7)))))</f>
        <v/>
      </c>
      <c r="DM62">
        <f>IF($H$4="",1,IF($H$4="(blank)",--('Final Calculation Sheet'!$C$7=""),IF($H$4="(nonblank)",--('Final Calculation Sheet'!$C$7&lt;&gt;""),--ISNUMBER(SEARCH($H$4,'Final Calculation Sheet'!$C$7)))))</f>
        <v/>
      </c>
      <c r="DN62">
        <f>IF($I$4="",1,IF($I$4="(blank)",--('Final Calculation Sheet'!$H$7=""),IF($I$4="(nonblank)",--('Final Calculation Sheet'!$H$7&lt;&gt;""),--ISNUMBER(SEARCH($I$4,'Final Calculation Sheet'!$H$7)))))</f>
        <v/>
      </c>
      <c r="DO62">
        <f>IF($J$4="",1,IF($J$4="(blank)",--('Final Calculation Sheet'!$I$7=""),IF($J$4="(nonblank)",--('Final Calculation Sheet'!$I$7&lt;&gt;""),--ISNUMBER(SEARCH($J$4,'Final Calculation Sheet'!$I$7)))))</f>
        <v/>
      </c>
      <c r="DP62">
        <f>IF($K$4="",1,IF($K$4="(blank)",--('Final Calculation Sheet'!$J$7=""),IF($K$4="(nonblank)",--('Final Calculation Sheet'!$J$7&lt;&gt;""),--ISNUMBER(SEARCH($K$4,'Final Calculation Sheet'!$J$7)))))</f>
        <v/>
      </c>
      <c r="DQ62">
        <f>IF($L$4="",1,IF($L$4="(blank)",--('Final Calculation Sheet'!$K$7=""),IF($L$4="(nonblank)",--('Final Calculation Sheet'!$K$7&lt;&gt;""),--ISNUMBER(SEARCH($L$4,'Final Calculation Sheet'!$K$7)))))</f>
        <v/>
      </c>
      <c r="DR62">
        <f>IF($M$4="",1,IF($M$4="(blank)",--('Final Calculation Sheet'!$L$7=""),IF($M$4="(nonblank)",--('Final Calculation Sheet'!$L$7&lt;&gt;""),--ISNUMBER(SEARCH($M$4,'Final Calculation Sheet'!$L$7)))))</f>
        <v/>
      </c>
      <c r="DS62">
        <f>IF($N$4="",1,IF($N$4="(blank)",--('Final Calculation Sheet'!$M$7=""),IF($N$4="(nonblank)",--('Final Calculation Sheet'!$M$7&lt;&gt;""),--ISNUMBER(SEARCH($N$4,'Final Calculation Sheet'!$M$7)))))</f>
        <v/>
      </c>
      <c r="DT62">
        <f>IF($O$4="",1,IF($O$4="(blank)",--('Final Calculation Sheet'!$N$7=""),IF($O$4="(nonblank)",--('Final Calculation Sheet'!$N$7&lt;&gt;""),--ISNUMBER(SEARCH($O$4,'Final Calculation Sheet'!$N$7)))))</f>
        <v/>
      </c>
      <c r="DU62">
        <f>IF($P$4="",1,IF($P$4="(blank)",--('Final Calculation Sheet'!$O$7=""),IF($P$4="(nonblank)",--('Final Calculation Sheet'!$O$7&lt;&gt;""),--ISNUMBER(SEARCH($P$4,'Final Calculation Sheet'!$O$7)))))</f>
        <v/>
      </c>
      <c r="DV62">
        <f>IF($Q$4="",1,IF($Q$4="(blank)",--('Final Calculation Sheet'!$P$7=""),IF($Q$4="(nonblank)",--('Final Calculation Sheet'!$P$7&lt;&gt;""),--ISNUMBER(SEARCH($Q$4,'Final Calculation Sheet'!$P$7)))))</f>
        <v/>
      </c>
      <c r="DW62">
        <f>IF($R$4="",1,IF($R$4="(blank)",--('Final Calculation Sheet'!$Q$7=""),IF($R$4="(nonblank)",--('Final Calculation Sheet'!$Q$7&lt;&gt;""),--ISNUMBER(SEARCH($R$4,'Final Calculation Sheet'!$Q$7)))))</f>
        <v/>
      </c>
      <c r="DX62">
        <f>IF($S$4="",1,IF($S$4="(blank)",--('Final Calculation Sheet'!$R$7=""),IF($S$4="(nonblank)",--('Final Calculation Sheet'!$R$7&lt;&gt;""),--ISNUMBER(SEARCH($S$4,'Final Calculation Sheet'!$R$7)))))</f>
        <v/>
      </c>
      <c r="DY62">
        <f>IF($T$4="",1,IF($T$4="(blank)",--('Final Calculation Sheet'!$S$7=""),IF($T$4="(nonblank)",--('Final Calculation Sheet'!$S$7&lt;&gt;""),--ISNUMBER(SEARCH($T$4,'Final Calculation Sheet'!$S$7)))))</f>
        <v/>
      </c>
      <c r="DZ62">
        <f>IF($U$4="",1,IF($U$4="(blank)",--('Final Calculation Sheet'!$T$7=""),IF($U$4="(nonblank)",--('Final Calculation Sheet'!$T$7&lt;&gt;""),--ISNUMBER(SEARCH($U$4,'Final Calculation Sheet'!$T$7)))))</f>
        <v/>
      </c>
      <c r="EA62">
        <f>IF($V$4="",1,IF($V$4="(blank)",--('Final Calculation Sheet'!$U$7=""),IF($V$4="(nonblank)",--('Final Calculation Sheet'!$U$7&lt;&gt;""),--ISNUMBER(SEARCH($V$4,'Final Calculation Sheet'!$U$7)))))</f>
        <v/>
      </c>
      <c r="EB62">
        <f>IF($W$4="",1,IF($W$4="(blank)",--('Final Calculation Sheet'!$V$7=""),IF($W$4="(nonblank)",--('Final Calculation Sheet'!$V$7&lt;&gt;""),--ISNUMBER(SEARCH($W$4,'Final Calculation Sheet'!$V$7)))))</f>
        <v/>
      </c>
      <c r="EC62">
        <f>IF($X$4="",1,IF($X$4="(blank)",--('Final Calculation Sheet'!$W$7=""),IF($X$4="(nonblank)",--('Final Calculation Sheet'!$W$7&lt;&gt;""),--ISNUMBER(SEARCH($X$4,'Final Calculation Sheet'!$W$7)))))</f>
        <v/>
      </c>
      <c r="ED62">
        <f>IF($Y$4="",1,IF($Y$4="(blank)",--('Final Calculation Sheet'!$X$7=""),IF($Y$4="(nonblank)",--('Final Calculation Sheet'!$X$7&lt;&gt;""),--ISNUMBER(SEARCH($Y$4,'Final Calculation Sheet'!$X$7)))))</f>
        <v/>
      </c>
      <c r="EE62">
        <f>IF($Z$4="",1,IF($Z$4="(blank)",--('Final Calculation Sheet'!$Y$7=""),IF($Z$4="(nonblank)",--('Final Calculation Sheet'!$Y$7&lt;&gt;""),--ISNUMBER(SEARCH($Z$4,'Final Calculation Sheet'!$Y$7)))))</f>
        <v/>
      </c>
      <c r="EF62">
        <f>IF($AA$4="",1,IF($AA$4="(blank)",--('Final Calculation Sheet'!$Z$7=""),IF($AA$4="(nonblank)",--('Final Calculation Sheet'!$Z$7&lt;&gt;""),--ISNUMBER(SEARCH($AA$4,'Final Calculation Sheet'!$Z$7)))))</f>
        <v/>
      </c>
      <c r="EG62">
        <f>IF($AB$4="",1,IF($AB$4="(blank)",--('Final Calculation Sheet'!$AA$7=""),IF($AB$4="(nonblank)",--('Final Calculation Sheet'!$AA$7&lt;&gt;""),--ISNUMBER(SEARCH($AB$4,'Final Calculation Sheet'!$AA$7)))))</f>
        <v/>
      </c>
      <c r="EH62">
        <f>IF($AC$4="",1,IF($AC$4="(blank)",--('Final Calculation Sheet'!$AB$7=""),IF($AC$4="(nonblank)",--('Final Calculation Sheet'!$AB$7&lt;&gt;""),--ISNUMBER(SEARCH($AC$4,'Final Calculation Sheet'!$AB$7)))))</f>
        <v/>
      </c>
      <c r="EI62">
        <f>IF($AD$4="",1,IF($AD$4="(blank)",--('Final Calculation Sheet'!$AC$7=""),IF($AD$4="(nonblank)",--('Final Calculation Sheet'!$AC$7&lt;&gt;""),--ISNUMBER(SEARCH($AD$4,'Final Calculation Sheet'!$AC$7)))))</f>
        <v/>
      </c>
      <c r="EJ62">
        <f>IF($AE$4="",1,IF($AE$4="(blank)",--('Final Calculation Sheet'!$AD$7=""),IF($AE$4="(nonblank)",--('Final Calculation Sheet'!$AD$7&lt;&gt;""),--ISNUMBER(SEARCH($AE$4,'Final Calculation Sheet'!$AD$7)))))</f>
        <v/>
      </c>
      <c r="EK62">
        <f>IF($AF$4="",1,IF($AF$4="(blank)",--(IF('Final Calculation Sheet'!$AD$7&lt;=5,"SETTLED","OUTSTANDING")=""),IF($AF$4="(nonblank)",--(IF('Final Calculation Sheet'!$AD$7&lt;=5,"SETTLED","OUTSTANDING")&lt;&gt;""),--ISNUMBER(SEARCH($AF$4,IF('Final Calculation Sheet'!$AD$7&lt;=5,"SETTLED","OUTSTANDING"))))))</f>
        <v/>
      </c>
      <c r="EL62">
        <f>IF($AG$4="",1,IF($AG$4="(blank)",--('Final Calculation Sheet'!$AF$7=""),IF($AG$4="(nonblank)",--('Final Calculation Sheet'!$AF$7&lt;&gt;""),--ISNUMBER(SEARCH($AG$4,'Final Calculation Sheet'!$AF$7)))))</f>
        <v/>
      </c>
      <c r="EM62">
        <f>IF($AH$4="",1,IF($AH$4="(blank)",--('Final Calculation Sheet'!$AG$7=""),IF($AH$4="(nonblank)",--('Final Calculation Sheet'!$AG$7&lt;&gt;""),--ISNUMBER(SEARCH($AH$4,'Final Calculation Sheet'!$AG$7)))))</f>
        <v/>
      </c>
      <c r="EN62">
        <f>IF($AI$4="",1,IF($AI$4="(blank)",--('Final Calculation Sheet'!$AH$7=""),IF($AI$4="(nonblank)",--('Final Calculation Sheet'!$AH$7&lt;&gt;""),--ISNUMBER(SEARCH($AI$4,'Final Calculation Sheet'!$AH$7)))))</f>
        <v/>
      </c>
    </row>
    <row r="63">
      <c r="AM63">
        <f>AM62+IF(AND(Lists!$O$10&lt;&gt;"",ISNUMBER(SEARCH($B$4,Lists!$O$10))),1,0)</f>
        <v/>
      </c>
      <c r="AN63">
        <f>IF(ROW()-56&gt;MAX($AM$57:$AM$95),"",INDEX(Lists!$O$4:$O$42,MATCH(ROW()-56,$AM$57:$AM$95,0)))</f>
        <v/>
      </c>
      <c r="AO63">
        <f>AO62+IF(AND(Lists!$T$10&lt;&gt;"",ISNUMBER(SEARCH($C$4,Lists!$T$10))),1,0)</f>
        <v/>
      </c>
      <c r="AP63">
        <f>IF(ROW()-56&gt;MAX($AO$57:$AO$95),"",INDEX(Lists!$T$4:$T$42,MATCH(ROW()-56,$AO$57:$AO$95,0)))</f>
        <v/>
      </c>
      <c r="AQ63">
        <f>AQ62+IF(AND(Lists!$Y$10&lt;&gt;"",ISNUMBER(SEARCH($D$4,Lists!$Y$10))),1,0)</f>
        <v/>
      </c>
      <c r="AR63">
        <f>IF(ROW()-56&gt;MAX($AQ$57:$AQ$95),"",INDEX(Lists!$Y$4:$Y$42,MATCH(ROW()-56,$AQ$57:$AQ$95,0)))</f>
        <v/>
      </c>
      <c r="AS63">
        <f>AS62+IF(AND(Lists!$AD$10&lt;&gt;"",ISNUMBER(SEARCH($E$4,Lists!$AD$10))),1,0)</f>
        <v/>
      </c>
      <c r="AT63">
        <f>IF(ROW()-56&gt;MAX($AS$57:$AS$95),"",INDEX(Lists!$AD$4:$AD$42,MATCH(ROW()-56,$AS$57:$AS$95,0)))</f>
        <v/>
      </c>
      <c r="AU63">
        <f>AU62+IF(AND(Lists!$AI$10&lt;&gt;"",ISNUMBER(SEARCH($F$4,Lists!$AI$10))),1,0)</f>
        <v/>
      </c>
      <c r="AV63">
        <f>IF(ROW()-56&gt;MAX($AU$57:$AU$95),"",INDEX(Lists!$AI$4:$AI$42,MATCH(ROW()-56,$AU$57:$AU$95,0)))</f>
        <v/>
      </c>
      <c r="AW63">
        <f>AW62+IF(AND(Lists!$AN$10&lt;&gt;"",ISNUMBER(SEARCH($G$4,Lists!$AN$10))),1,0)</f>
        <v/>
      </c>
      <c r="AX63">
        <f>IF(ROW()-56&gt;MAX($AW$57:$AW$95),"",INDEX(Lists!$AN$4:$AN$42,MATCH(ROW()-56,$AW$57:$AW$95,0)))</f>
        <v/>
      </c>
      <c r="AY63">
        <f>AY62+IF(AND(Lists!$AS$10&lt;&gt;"",ISNUMBER(SEARCH($H$4,Lists!$AS$10))),1,0)</f>
        <v/>
      </c>
      <c r="AZ63">
        <f>IF(ROW()-56&gt;MAX($AY$57:$AY$95),"",INDEX(Lists!$AS$4:$AS$42,MATCH(ROW()-56,$AY$57:$AY$95,0)))</f>
        <v/>
      </c>
      <c r="BA63">
        <f>BA62+IF(AND(Lists!$AX$10&lt;&gt;"",ISNUMBER(SEARCH($I$4,Lists!$AX$10))),1,0)</f>
        <v/>
      </c>
      <c r="BB63">
        <f>IF(ROW()-56&gt;MAX($BA$57:$BA$95),"",INDEX(Lists!$AX$4:$AX$42,MATCH(ROW()-56,$BA$57:$BA$95,0)))</f>
        <v/>
      </c>
      <c r="BC63">
        <f>BC62+IF(AND(Lists!$BC$10&lt;&gt;"",ISNUMBER(SEARCH($J$4,Lists!$BC$10))),1,0)</f>
        <v/>
      </c>
      <c r="BD63">
        <f>IF(ROW()-56&gt;MAX($BC$57:$BC$95),"",INDEX(Lists!$BC$4:$BC$42,MATCH(ROW()-56,$BC$57:$BC$95,0)))</f>
        <v/>
      </c>
      <c r="BE63">
        <f>BE62+IF(AND(Lists!$BH$10&lt;&gt;"",ISNUMBER(SEARCH($K$4,Lists!$BH$10))),1,0)</f>
        <v/>
      </c>
      <c r="BF63">
        <f>IF(ROW()-56&gt;MAX($BE$57:$BE$95),"",INDEX(Lists!$BH$4:$BH$42,MATCH(ROW()-56,$BE$57:$BE$95,0)))</f>
        <v/>
      </c>
      <c r="BG63">
        <f>BG62+IF(AND(Lists!$BM$10&lt;&gt;"",ISNUMBER(SEARCH($L$4,Lists!$BM$10))),1,0)</f>
        <v/>
      </c>
      <c r="BH63">
        <f>IF(ROW()-56&gt;MAX($BG$57:$BG$95),"",INDEX(Lists!$BM$4:$BM$42,MATCH(ROW()-56,$BG$57:$BG$95,0)))</f>
        <v/>
      </c>
      <c r="BI63">
        <f>BI62+IF(AND(Lists!$BR$10&lt;&gt;"",ISNUMBER(SEARCH($M$4,Lists!$BR$10))),1,0)</f>
        <v/>
      </c>
      <c r="BJ63">
        <f>IF(ROW()-56&gt;MAX($BI$57:$BI$95),"",INDEX(Lists!$BR$4:$BR$42,MATCH(ROW()-56,$BI$57:$BI$95,0)))</f>
        <v/>
      </c>
      <c r="BK63">
        <f>BK62+IF(AND(Lists!$BW$10&lt;&gt;"",ISNUMBER(SEARCH($N$4,Lists!$BW$10))),1,0)</f>
        <v/>
      </c>
      <c r="BL63">
        <f>IF(ROW()-56&gt;MAX($BK$57:$BK$95),"",INDEX(Lists!$BW$4:$BW$42,MATCH(ROW()-56,$BK$57:$BK$95,0)))</f>
        <v/>
      </c>
      <c r="BM63">
        <f>BM62+IF(AND(Lists!$CB$10&lt;&gt;"",ISNUMBER(SEARCH($O$4,Lists!$CB$10))),1,0)</f>
        <v/>
      </c>
      <c r="BN63">
        <f>IF(ROW()-56&gt;MAX($BM$57:$BM$95),"",INDEX(Lists!$CB$4:$CB$42,MATCH(ROW()-56,$BM$57:$BM$95,0)))</f>
        <v/>
      </c>
      <c r="BO63">
        <f>BO62+IF(AND(Lists!$CG$10&lt;&gt;"",ISNUMBER(SEARCH($P$4,Lists!$CG$10))),1,0)</f>
        <v/>
      </c>
      <c r="BP63">
        <f>IF(ROW()-56&gt;MAX($BO$57:$BO$95),"",INDEX(Lists!$CG$4:$CG$42,MATCH(ROW()-56,$BO$57:$BO$95,0)))</f>
        <v/>
      </c>
      <c r="BQ63">
        <f>BQ62+IF(AND(Lists!$CL$10&lt;&gt;"",ISNUMBER(SEARCH($Q$4,Lists!$CL$10))),1,0)</f>
        <v/>
      </c>
      <c r="BR63">
        <f>IF(ROW()-56&gt;MAX($BQ$57:$BQ$95),"",INDEX(Lists!$CL$4:$CL$42,MATCH(ROW()-56,$BQ$57:$BQ$95,0)))</f>
        <v/>
      </c>
      <c r="BS63">
        <f>BS62+IF(AND(Lists!$CQ$10&lt;&gt;"",ISNUMBER(SEARCH($R$4,Lists!$CQ$10))),1,0)</f>
        <v/>
      </c>
      <c r="BT63">
        <f>IF(ROW()-56&gt;MAX($BS$57:$BS$95),"",INDEX(Lists!$CQ$4:$CQ$42,MATCH(ROW()-56,$BS$57:$BS$95,0)))</f>
        <v/>
      </c>
      <c r="BU63">
        <f>BU62+IF(AND(Lists!$CV$10&lt;&gt;"",ISNUMBER(SEARCH($S$4,Lists!$CV$10))),1,0)</f>
        <v/>
      </c>
      <c r="BV63">
        <f>IF(ROW()-56&gt;MAX($BU$57:$BU$95),"",INDEX(Lists!$CV$4:$CV$42,MATCH(ROW()-56,$BU$57:$BU$95,0)))</f>
        <v/>
      </c>
      <c r="BW63">
        <f>BW62+IF(AND(Lists!$DA$10&lt;&gt;"",ISNUMBER(SEARCH($T$4,Lists!$DA$10))),1,0)</f>
        <v/>
      </c>
      <c r="BX63">
        <f>IF(ROW()-56&gt;MAX($BW$57:$BW$95),"",INDEX(Lists!$DA$4:$DA$42,MATCH(ROW()-56,$BW$57:$BW$95,0)))</f>
        <v/>
      </c>
      <c r="BY63">
        <f>BY62+IF(AND(Lists!$DF$10&lt;&gt;"",ISNUMBER(SEARCH($U$4,Lists!$DF$10))),1,0)</f>
        <v/>
      </c>
      <c r="BZ63">
        <f>IF(ROW()-56&gt;MAX($BY$57:$BY$95),"",INDEX(Lists!$DF$4:$DF$42,MATCH(ROW()-56,$BY$57:$BY$95,0)))</f>
        <v/>
      </c>
      <c r="CA63">
        <f>CA62+IF(AND(Lists!$DK$10&lt;&gt;"",ISNUMBER(SEARCH($V$4,Lists!$DK$10))),1,0)</f>
        <v/>
      </c>
      <c r="CB63">
        <f>IF(ROW()-56&gt;MAX($CA$57:$CA$95),"",INDEX(Lists!$DK$4:$DK$42,MATCH(ROW()-56,$CA$57:$CA$95,0)))</f>
        <v/>
      </c>
      <c r="CC63">
        <f>CC62+IF(AND(Lists!$DP$10&lt;&gt;"",ISNUMBER(SEARCH($W$4,Lists!$DP$10))),1,0)</f>
        <v/>
      </c>
      <c r="CD63">
        <f>IF(ROW()-56&gt;MAX($CC$57:$CC$95),"",INDEX(Lists!$DP$4:$DP$42,MATCH(ROW()-56,$CC$57:$CC$95,0)))</f>
        <v/>
      </c>
      <c r="CE63">
        <f>CE62+IF(AND(Lists!$DU$10&lt;&gt;"",ISNUMBER(SEARCH($X$4,Lists!$DU$10))),1,0)</f>
        <v/>
      </c>
      <c r="CF63">
        <f>IF(ROW()-56&gt;MAX($CE$57:$CE$95),"",INDEX(Lists!$DU$4:$DU$42,MATCH(ROW()-56,$CE$57:$CE$95,0)))</f>
        <v/>
      </c>
      <c r="CG63">
        <f>CG62+IF(AND(Lists!$DZ$10&lt;&gt;"",ISNUMBER(SEARCH($Y$4,Lists!$DZ$10))),1,0)</f>
        <v/>
      </c>
      <c r="CH63">
        <f>IF(ROW()-56&gt;MAX($CG$57:$CG$95),"",INDEX(Lists!$DZ$4:$DZ$42,MATCH(ROW()-56,$CG$57:$CG$95,0)))</f>
        <v/>
      </c>
      <c r="CI63">
        <f>CI62+IF(AND(Lists!$EE$10&lt;&gt;"",ISNUMBER(SEARCH($Z$4,Lists!$EE$10))),1,0)</f>
        <v/>
      </c>
      <c r="CJ63">
        <f>IF(ROW()-56&gt;MAX($CI$57:$CI$95),"",INDEX(Lists!$EE$4:$EE$42,MATCH(ROW()-56,$CI$57:$CI$95,0)))</f>
        <v/>
      </c>
      <c r="CK63">
        <f>CK62+IF(AND(Lists!$EJ$10&lt;&gt;"",ISNUMBER(SEARCH($AA$4,Lists!$EJ$10))),1,0)</f>
        <v/>
      </c>
      <c r="CL63">
        <f>IF(ROW()-56&gt;MAX($CK$57:$CK$95),"",INDEX(Lists!$EJ$4:$EJ$42,MATCH(ROW()-56,$CK$57:$CK$95,0)))</f>
        <v/>
      </c>
      <c r="CM63">
        <f>CM62+IF(AND(Lists!$EO$10&lt;&gt;"",ISNUMBER(SEARCH($AB$4,Lists!$EO$10))),1,0)</f>
        <v/>
      </c>
      <c r="CN63">
        <f>IF(ROW()-56&gt;MAX($CM$57:$CM$95),"",INDEX(Lists!$EO$4:$EO$42,MATCH(ROW()-56,$CM$57:$CM$95,0)))</f>
        <v/>
      </c>
      <c r="CO63">
        <f>CO62+IF(AND(Lists!$ET$10&lt;&gt;"",ISNUMBER(SEARCH($AC$4,Lists!$ET$10))),1,0)</f>
        <v/>
      </c>
      <c r="CP63">
        <f>IF(ROW()-56&gt;MAX($CO$57:$CO$95),"",INDEX(Lists!$ET$4:$ET$42,MATCH(ROW()-56,$CO$57:$CO$95,0)))</f>
        <v/>
      </c>
      <c r="CQ63">
        <f>CQ62+IF(AND(Lists!$EY$10&lt;&gt;"",ISNUMBER(SEARCH($AD$4,Lists!$EY$10))),1,0)</f>
        <v/>
      </c>
      <c r="CR63">
        <f>IF(ROW()-56&gt;MAX($CQ$57:$CQ$95),"",INDEX(Lists!$EY$4:$EY$42,MATCH(ROW()-56,$CQ$57:$CQ$95,0)))</f>
        <v/>
      </c>
      <c r="CS63">
        <f>CS62+IF(AND(Lists!$FD$10&lt;&gt;"",ISNUMBER(SEARCH($AE$4,Lists!$FD$10))),1,0)</f>
        <v/>
      </c>
      <c r="CT63">
        <f>IF(ROW()-56&gt;MAX($CS$57:$CS$95),"",INDEX(Lists!$FD$4:$FD$42,MATCH(ROW()-56,$CS$57:$CS$95,0)))</f>
        <v/>
      </c>
      <c r="CU63">
        <f>CU62+IF(AND(Lists!$FI$10&lt;&gt;"",ISNUMBER(SEARCH($AG$4,Lists!$FI$10))),1,0)</f>
        <v/>
      </c>
      <c r="CV63">
        <f>IF(ROW()-56&gt;MAX($CU$57:$CU$95),"",INDEX(Lists!$FI$4:$FI$42,MATCH(ROW()-56,$CU$57:$CU$95,0)))</f>
        <v/>
      </c>
      <c r="CW63">
        <f>CW62+IF(AND(Lists!$FN$10&lt;&gt;"",ISNUMBER(SEARCH($AH$4,Lists!$FN$10))),1,0)</f>
        <v/>
      </c>
      <c r="CX63">
        <f>IF(ROW()-56&gt;MAX($CW$57:$CW$95),"",INDEX(Lists!$FN$4:$FN$42,MATCH(ROW()-56,$CW$57:$CW$95,0)))</f>
        <v/>
      </c>
      <c r="CY63">
        <f>CY62+IF(AND(Lists!$FS$10&lt;&gt;"",ISNUMBER(SEARCH($AI$4,Lists!$FS$10))),1,0)</f>
        <v/>
      </c>
      <c r="CZ63">
        <f>IF(ROW()-56&gt;MAX($CY$57:$CY$95),"",INDEX(Lists!$FS$4:$FS$42,MATCH(ROW()-56,$CY$57:$CY$95,0)))</f>
        <v/>
      </c>
      <c r="DA63">
        <f>DA62+IF(AND(Lists!$FX$10&lt;&gt;"",ISNUMBER(SEARCH($AF$4,Lists!$FX$10))),1,0)</f>
        <v/>
      </c>
      <c r="DB63">
        <f>IF(ROW()-56&gt;MAX($DA$57:$DA$95),"",INDEX(Lists!$FX$4:$FX$42,MATCH(ROW()-56,$DA$57:$DA$95,0)))</f>
        <v/>
      </c>
      <c r="DG63">
        <f>IF($B$4="",1,IF($B$4="(blank)",--('Final Calculation Sheet'!$F$8=""),IF($B$4="(nonblank)",--('Final Calculation Sheet'!$F$8&lt;&gt;""),--ISNUMBER(SEARCH($B$4,'Final Calculation Sheet'!$F$8)))))</f>
        <v/>
      </c>
      <c r="DH63">
        <f>IF($C$4="",1,IF($C$4="(blank)",--('Final Calculation Sheet'!$G$8=""),IF($C$4="(nonblank)",--('Final Calculation Sheet'!$G$8&lt;&gt;""),--ISNUMBER(SEARCH($C$4,'Final Calculation Sheet'!$G$8)))))</f>
        <v/>
      </c>
      <c r="DI63">
        <f>IF($D$4="",1,IF($D$4="(blank)",--('Final Calculation Sheet'!$B$8=""),IF($D$4="(nonblank)",--('Final Calculation Sheet'!$B$8&lt;&gt;""),--ISNUMBER(SEARCH($D$4,'Final Calculation Sheet'!$B$8)))))</f>
        <v/>
      </c>
      <c r="DJ63">
        <f>IF($E$4="",1,IF($E$4="(blank)",--('Final Calculation Sheet'!$D$8=""),IF($E$4="(nonblank)",--('Final Calculation Sheet'!$D$8&lt;&gt;""),--ISNUMBER(SEARCH($E$4,'Final Calculation Sheet'!$D$8)))))</f>
        <v/>
      </c>
      <c r="DK63">
        <f>IF($F$4="",1,IF($F$4="(blank)",--('Final Calculation Sheet'!$A$8=""),IF($F$4="(nonblank)",--('Final Calculation Sheet'!$A$8&lt;&gt;""),--ISNUMBER(SEARCH($F$4,'Final Calculation Sheet'!$A$8)))))</f>
        <v/>
      </c>
      <c r="DL63">
        <f>IF($G$4="",1,IF($G$4="(blank)",--('Final Calculation Sheet'!$E$8=""),IF($G$4="(nonblank)",--('Final Calculation Sheet'!$E$8&lt;&gt;""),--ISNUMBER(SEARCH($G$4,'Final Calculation Sheet'!$E$8)))))</f>
        <v/>
      </c>
      <c r="DM63">
        <f>IF($H$4="",1,IF($H$4="(blank)",--('Final Calculation Sheet'!$C$8=""),IF($H$4="(nonblank)",--('Final Calculation Sheet'!$C$8&lt;&gt;""),--ISNUMBER(SEARCH($H$4,'Final Calculation Sheet'!$C$8)))))</f>
        <v/>
      </c>
      <c r="DN63">
        <f>IF($I$4="",1,IF($I$4="(blank)",--('Final Calculation Sheet'!$H$8=""),IF($I$4="(nonblank)",--('Final Calculation Sheet'!$H$8&lt;&gt;""),--ISNUMBER(SEARCH($I$4,'Final Calculation Sheet'!$H$8)))))</f>
        <v/>
      </c>
      <c r="DO63">
        <f>IF($J$4="",1,IF($J$4="(blank)",--('Final Calculation Sheet'!$I$8=""),IF($J$4="(nonblank)",--('Final Calculation Sheet'!$I$8&lt;&gt;""),--ISNUMBER(SEARCH($J$4,'Final Calculation Sheet'!$I$8)))))</f>
        <v/>
      </c>
      <c r="DP63">
        <f>IF($K$4="",1,IF($K$4="(blank)",--('Final Calculation Sheet'!$J$8=""),IF($K$4="(nonblank)",--('Final Calculation Sheet'!$J$8&lt;&gt;""),--ISNUMBER(SEARCH($K$4,'Final Calculation Sheet'!$J$8)))))</f>
        <v/>
      </c>
      <c r="DQ63">
        <f>IF($L$4="",1,IF($L$4="(blank)",--('Final Calculation Sheet'!$K$8=""),IF($L$4="(nonblank)",--('Final Calculation Sheet'!$K$8&lt;&gt;""),--ISNUMBER(SEARCH($L$4,'Final Calculation Sheet'!$K$8)))))</f>
        <v/>
      </c>
      <c r="DR63">
        <f>IF($M$4="",1,IF($M$4="(blank)",--('Final Calculation Sheet'!$L$8=""),IF($M$4="(nonblank)",--('Final Calculation Sheet'!$L$8&lt;&gt;""),--ISNUMBER(SEARCH($M$4,'Final Calculation Sheet'!$L$8)))))</f>
        <v/>
      </c>
      <c r="DS63">
        <f>IF($N$4="",1,IF($N$4="(blank)",--('Final Calculation Sheet'!$M$8=""),IF($N$4="(nonblank)",--('Final Calculation Sheet'!$M$8&lt;&gt;""),--ISNUMBER(SEARCH($N$4,'Final Calculation Sheet'!$M$8)))))</f>
        <v/>
      </c>
      <c r="DT63">
        <f>IF($O$4="",1,IF($O$4="(blank)",--('Final Calculation Sheet'!$N$8=""),IF($O$4="(nonblank)",--('Final Calculation Sheet'!$N$8&lt;&gt;""),--ISNUMBER(SEARCH($O$4,'Final Calculation Sheet'!$N$8)))))</f>
        <v/>
      </c>
      <c r="DU63">
        <f>IF($P$4="",1,IF($P$4="(blank)",--('Final Calculation Sheet'!$O$8=""),IF($P$4="(nonblank)",--('Final Calculation Sheet'!$O$8&lt;&gt;""),--ISNUMBER(SEARCH($P$4,'Final Calculation Sheet'!$O$8)))))</f>
        <v/>
      </c>
      <c r="DV63">
        <f>IF($Q$4="",1,IF($Q$4="(blank)",--('Final Calculation Sheet'!$P$8=""),IF($Q$4="(nonblank)",--('Final Calculation Sheet'!$P$8&lt;&gt;""),--ISNUMBER(SEARCH($Q$4,'Final Calculation Sheet'!$P$8)))))</f>
        <v/>
      </c>
      <c r="DW63">
        <f>IF($R$4="",1,IF($R$4="(blank)",--('Final Calculation Sheet'!$Q$8=""),IF($R$4="(nonblank)",--('Final Calculation Sheet'!$Q$8&lt;&gt;""),--ISNUMBER(SEARCH($R$4,'Final Calculation Sheet'!$Q$8)))))</f>
        <v/>
      </c>
      <c r="DX63">
        <f>IF($S$4="",1,IF($S$4="(blank)",--('Final Calculation Sheet'!$R$8=""),IF($S$4="(nonblank)",--('Final Calculation Sheet'!$R$8&lt;&gt;""),--ISNUMBER(SEARCH($S$4,'Final Calculation Sheet'!$R$8)))))</f>
        <v/>
      </c>
      <c r="DY63">
        <f>IF($T$4="",1,IF($T$4="(blank)",--('Final Calculation Sheet'!$S$8=""),IF($T$4="(nonblank)",--('Final Calculation Sheet'!$S$8&lt;&gt;""),--ISNUMBER(SEARCH($T$4,'Final Calculation Sheet'!$S$8)))))</f>
        <v/>
      </c>
      <c r="DZ63">
        <f>IF($U$4="",1,IF($U$4="(blank)",--('Final Calculation Sheet'!$T$8=""),IF($U$4="(nonblank)",--('Final Calculation Sheet'!$T$8&lt;&gt;""),--ISNUMBER(SEARCH($U$4,'Final Calculation Sheet'!$T$8)))))</f>
        <v/>
      </c>
      <c r="EA63">
        <f>IF($V$4="",1,IF($V$4="(blank)",--('Final Calculation Sheet'!$U$8=""),IF($V$4="(nonblank)",--('Final Calculation Sheet'!$U$8&lt;&gt;""),--ISNUMBER(SEARCH($V$4,'Final Calculation Sheet'!$U$8)))))</f>
        <v/>
      </c>
      <c r="EB63">
        <f>IF($W$4="",1,IF($W$4="(blank)",--('Final Calculation Sheet'!$V$8=""),IF($W$4="(nonblank)",--('Final Calculation Sheet'!$V$8&lt;&gt;""),--ISNUMBER(SEARCH($W$4,'Final Calculation Sheet'!$V$8)))))</f>
        <v/>
      </c>
      <c r="EC63">
        <f>IF($X$4="",1,IF($X$4="(blank)",--('Final Calculation Sheet'!$W$8=""),IF($X$4="(nonblank)",--('Final Calculation Sheet'!$W$8&lt;&gt;""),--ISNUMBER(SEARCH($X$4,'Final Calculation Sheet'!$W$8)))))</f>
        <v/>
      </c>
      <c r="ED63">
        <f>IF($Y$4="",1,IF($Y$4="(blank)",--('Final Calculation Sheet'!$X$8=""),IF($Y$4="(nonblank)",--('Final Calculation Sheet'!$X$8&lt;&gt;""),--ISNUMBER(SEARCH($Y$4,'Final Calculation Sheet'!$X$8)))))</f>
        <v/>
      </c>
      <c r="EE63">
        <f>IF($Z$4="",1,IF($Z$4="(blank)",--('Final Calculation Sheet'!$Y$8=""),IF($Z$4="(nonblank)",--('Final Calculation Sheet'!$Y$8&lt;&gt;""),--ISNUMBER(SEARCH($Z$4,'Final Calculation Sheet'!$Y$8)))))</f>
        <v/>
      </c>
      <c r="EF63">
        <f>IF($AA$4="",1,IF($AA$4="(blank)",--('Final Calculation Sheet'!$Z$8=""),IF($AA$4="(nonblank)",--('Final Calculation Sheet'!$Z$8&lt;&gt;""),--ISNUMBER(SEARCH($AA$4,'Final Calculation Sheet'!$Z$8)))))</f>
        <v/>
      </c>
      <c r="EG63">
        <f>IF($AB$4="",1,IF($AB$4="(blank)",--('Final Calculation Sheet'!$AA$8=""),IF($AB$4="(nonblank)",--('Final Calculation Sheet'!$AA$8&lt;&gt;""),--ISNUMBER(SEARCH($AB$4,'Final Calculation Sheet'!$AA$8)))))</f>
        <v/>
      </c>
      <c r="EH63">
        <f>IF($AC$4="",1,IF($AC$4="(blank)",--('Final Calculation Sheet'!$AB$8=""),IF($AC$4="(nonblank)",--('Final Calculation Sheet'!$AB$8&lt;&gt;""),--ISNUMBER(SEARCH($AC$4,'Final Calculation Sheet'!$AB$8)))))</f>
        <v/>
      </c>
      <c r="EI63">
        <f>IF($AD$4="",1,IF($AD$4="(blank)",--('Final Calculation Sheet'!$AC$8=""),IF($AD$4="(nonblank)",--('Final Calculation Sheet'!$AC$8&lt;&gt;""),--ISNUMBER(SEARCH($AD$4,'Final Calculation Sheet'!$AC$8)))))</f>
        <v/>
      </c>
      <c r="EJ63">
        <f>IF($AE$4="",1,IF($AE$4="(blank)",--('Final Calculation Sheet'!$AD$8=""),IF($AE$4="(nonblank)",--('Final Calculation Sheet'!$AD$8&lt;&gt;""),--ISNUMBER(SEARCH($AE$4,'Final Calculation Sheet'!$AD$8)))))</f>
        <v/>
      </c>
      <c r="EK63">
        <f>IF($AF$4="",1,IF($AF$4="(blank)",--(IF('Final Calculation Sheet'!$AD$8&lt;=5,"SETTLED","OUTSTANDING")=""),IF($AF$4="(nonblank)",--(IF('Final Calculation Sheet'!$AD$8&lt;=5,"SETTLED","OUTSTANDING")&lt;&gt;""),--ISNUMBER(SEARCH($AF$4,IF('Final Calculation Sheet'!$AD$8&lt;=5,"SETTLED","OUTSTANDING"))))))</f>
        <v/>
      </c>
      <c r="EL63">
        <f>IF($AG$4="",1,IF($AG$4="(blank)",--('Final Calculation Sheet'!$AF$8=""),IF($AG$4="(nonblank)",--('Final Calculation Sheet'!$AF$8&lt;&gt;""),--ISNUMBER(SEARCH($AG$4,'Final Calculation Sheet'!$AF$8)))))</f>
        <v/>
      </c>
      <c r="EM63">
        <f>IF($AH$4="",1,IF($AH$4="(blank)",--('Final Calculation Sheet'!$AG$8=""),IF($AH$4="(nonblank)",--('Final Calculation Sheet'!$AG$8&lt;&gt;""),--ISNUMBER(SEARCH($AH$4,'Final Calculation Sheet'!$AG$8)))))</f>
        <v/>
      </c>
      <c r="EN63">
        <f>IF($AI$4="",1,IF($AI$4="(blank)",--('Final Calculation Sheet'!$AH$8=""),IF($AI$4="(nonblank)",--('Final Calculation Sheet'!$AH$8&lt;&gt;""),--ISNUMBER(SEARCH($AI$4,'Final Calculation Sheet'!$AH$8)))))</f>
        <v/>
      </c>
    </row>
    <row r="64">
      <c r="AM64">
        <f>AM63+IF(AND(Lists!$O$11&lt;&gt;"",ISNUMBER(SEARCH($B$4,Lists!$O$11))),1,0)</f>
        <v/>
      </c>
      <c r="AN64">
        <f>IF(ROW()-56&gt;MAX($AM$57:$AM$95),"",INDEX(Lists!$O$4:$O$42,MATCH(ROW()-56,$AM$57:$AM$95,0)))</f>
        <v/>
      </c>
      <c r="AO64">
        <f>AO63+IF(AND(Lists!$T$11&lt;&gt;"",ISNUMBER(SEARCH($C$4,Lists!$T$11))),1,0)</f>
        <v/>
      </c>
      <c r="AP64">
        <f>IF(ROW()-56&gt;MAX($AO$57:$AO$95),"",INDEX(Lists!$T$4:$T$42,MATCH(ROW()-56,$AO$57:$AO$95,0)))</f>
        <v/>
      </c>
      <c r="AQ64">
        <f>AQ63+IF(AND(Lists!$Y$11&lt;&gt;"",ISNUMBER(SEARCH($D$4,Lists!$Y$11))),1,0)</f>
        <v/>
      </c>
      <c r="AR64">
        <f>IF(ROW()-56&gt;MAX($AQ$57:$AQ$95),"",INDEX(Lists!$Y$4:$Y$42,MATCH(ROW()-56,$AQ$57:$AQ$95,0)))</f>
        <v/>
      </c>
      <c r="AS64">
        <f>AS63+IF(AND(Lists!$AD$11&lt;&gt;"",ISNUMBER(SEARCH($E$4,Lists!$AD$11))),1,0)</f>
        <v/>
      </c>
      <c r="AT64">
        <f>IF(ROW()-56&gt;MAX($AS$57:$AS$95),"",INDEX(Lists!$AD$4:$AD$42,MATCH(ROW()-56,$AS$57:$AS$95,0)))</f>
        <v/>
      </c>
      <c r="AU64">
        <f>AU63+IF(AND(Lists!$AI$11&lt;&gt;"",ISNUMBER(SEARCH($F$4,Lists!$AI$11))),1,0)</f>
        <v/>
      </c>
      <c r="AV64">
        <f>IF(ROW()-56&gt;MAX($AU$57:$AU$95),"",INDEX(Lists!$AI$4:$AI$42,MATCH(ROW()-56,$AU$57:$AU$95,0)))</f>
        <v/>
      </c>
      <c r="AW64">
        <f>AW63+IF(AND(Lists!$AN$11&lt;&gt;"",ISNUMBER(SEARCH($G$4,Lists!$AN$11))),1,0)</f>
        <v/>
      </c>
      <c r="AX64">
        <f>IF(ROW()-56&gt;MAX($AW$57:$AW$95),"",INDEX(Lists!$AN$4:$AN$42,MATCH(ROW()-56,$AW$57:$AW$95,0)))</f>
        <v/>
      </c>
      <c r="AY64">
        <f>AY63+IF(AND(Lists!$AS$11&lt;&gt;"",ISNUMBER(SEARCH($H$4,Lists!$AS$11))),1,0)</f>
        <v/>
      </c>
      <c r="AZ64">
        <f>IF(ROW()-56&gt;MAX($AY$57:$AY$95),"",INDEX(Lists!$AS$4:$AS$42,MATCH(ROW()-56,$AY$57:$AY$95,0)))</f>
        <v/>
      </c>
      <c r="BA64">
        <f>BA63+IF(AND(Lists!$AX$11&lt;&gt;"",ISNUMBER(SEARCH($I$4,Lists!$AX$11))),1,0)</f>
        <v/>
      </c>
      <c r="BB64">
        <f>IF(ROW()-56&gt;MAX($BA$57:$BA$95),"",INDEX(Lists!$AX$4:$AX$42,MATCH(ROW()-56,$BA$57:$BA$95,0)))</f>
        <v/>
      </c>
      <c r="BC64">
        <f>BC63+IF(AND(Lists!$BC$11&lt;&gt;"",ISNUMBER(SEARCH($J$4,Lists!$BC$11))),1,0)</f>
        <v/>
      </c>
      <c r="BD64">
        <f>IF(ROW()-56&gt;MAX($BC$57:$BC$95),"",INDEX(Lists!$BC$4:$BC$42,MATCH(ROW()-56,$BC$57:$BC$95,0)))</f>
        <v/>
      </c>
      <c r="BE64">
        <f>BE63+IF(AND(Lists!$BH$11&lt;&gt;"",ISNUMBER(SEARCH($K$4,Lists!$BH$11))),1,0)</f>
        <v/>
      </c>
      <c r="BF64">
        <f>IF(ROW()-56&gt;MAX($BE$57:$BE$95),"",INDEX(Lists!$BH$4:$BH$42,MATCH(ROW()-56,$BE$57:$BE$95,0)))</f>
        <v/>
      </c>
      <c r="BG64">
        <f>BG63+IF(AND(Lists!$BM$11&lt;&gt;"",ISNUMBER(SEARCH($L$4,Lists!$BM$11))),1,0)</f>
        <v/>
      </c>
      <c r="BH64">
        <f>IF(ROW()-56&gt;MAX($BG$57:$BG$95),"",INDEX(Lists!$BM$4:$BM$42,MATCH(ROW()-56,$BG$57:$BG$95,0)))</f>
        <v/>
      </c>
      <c r="BI64">
        <f>BI63+IF(AND(Lists!$BR$11&lt;&gt;"",ISNUMBER(SEARCH($M$4,Lists!$BR$11))),1,0)</f>
        <v/>
      </c>
      <c r="BJ64">
        <f>IF(ROW()-56&gt;MAX($BI$57:$BI$95),"",INDEX(Lists!$BR$4:$BR$42,MATCH(ROW()-56,$BI$57:$BI$95,0)))</f>
        <v/>
      </c>
      <c r="BK64">
        <f>BK63+IF(AND(Lists!$BW$11&lt;&gt;"",ISNUMBER(SEARCH($N$4,Lists!$BW$11))),1,0)</f>
        <v/>
      </c>
      <c r="BL64">
        <f>IF(ROW()-56&gt;MAX($BK$57:$BK$95),"",INDEX(Lists!$BW$4:$BW$42,MATCH(ROW()-56,$BK$57:$BK$95,0)))</f>
        <v/>
      </c>
      <c r="BM64">
        <f>BM63+IF(AND(Lists!$CB$11&lt;&gt;"",ISNUMBER(SEARCH($O$4,Lists!$CB$11))),1,0)</f>
        <v/>
      </c>
      <c r="BN64">
        <f>IF(ROW()-56&gt;MAX($BM$57:$BM$95),"",INDEX(Lists!$CB$4:$CB$42,MATCH(ROW()-56,$BM$57:$BM$95,0)))</f>
        <v/>
      </c>
      <c r="BO64">
        <f>BO63+IF(AND(Lists!$CG$11&lt;&gt;"",ISNUMBER(SEARCH($P$4,Lists!$CG$11))),1,0)</f>
        <v/>
      </c>
      <c r="BP64">
        <f>IF(ROW()-56&gt;MAX($BO$57:$BO$95),"",INDEX(Lists!$CG$4:$CG$42,MATCH(ROW()-56,$BO$57:$BO$95,0)))</f>
        <v/>
      </c>
      <c r="BQ64">
        <f>BQ63+IF(AND(Lists!$CL$11&lt;&gt;"",ISNUMBER(SEARCH($Q$4,Lists!$CL$11))),1,0)</f>
        <v/>
      </c>
      <c r="BR64">
        <f>IF(ROW()-56&gt;MAX($BQ$57:$BQ$95),"",INDEX(Lists!$CL$4:$CL$42,MATCH(ROW()-56,$BQ$57:$BQ$95,0)))</f>
        <v/>
      </c>
      <c r="BS64">
        <f>BS63+IF(AND(Lists!$CQ$11&lt;&gt;"",ISNUMBER(SEARCH($R$4,Lists!$CQ$11))),1,0)</f>
        <v/>
      </c>
      <c r="BT64">
        <f>IF(ROW()-56&gt;MAX($BS$57:$BS$95),"",INDEX(Lists!$CQ$4:$CQ$42,MATCH(ROW()-56,$BS$57:$BS$95,0)))</f>
        <v/>
      </c>
      <c r="BU64">
        <f>BU63+IF(AND(Lists!$CV$11&lt;&gt;"",ISNUMBER(SEARCH($S$4,Lists!$CV$11))),1,0)</f>
        <v/>
      </c>
      <c r="BV64">
        <f>IF(ROW()-56&gt;MAX($BU$57:$BU$95),"",INDEX(Lists!$CV$4:$CV$42,MATCH(ROW()-56,$BU$57:$BU$95,0)))</f>
        <v/>
      </c>
      <c r="BW64">
        <f>BW63+IF(AND(Lists!$DA$11&lt;&gt;"",ISNUMBER(SEARCH($T$4,Lists!$DA$11))),1,0)</f>
        <v/>
      </c>
      <c r="BX64">
        <f>IF(ROW()-56&gt;MAX($BW$57:$BW$95),"",INDEX(Lists!$DA$4:$DA$42,MATCH(ROW()-56,$BW$57:$BW$95,0)))</f>
        <v/>
      </c>
      <c r="BY64">
        <f>BY63+IF(AND(Lists!$DF$11&lt;&gt;"",ISNUMBER(SEARCH($U$4,Lists!$DF$11))),1,0)</f>
        <v/>
      </c>
      <c r="BZ64">
        <f>IF(ROW()-56&gt;MAX($BY$57:$BY$95),"",INDEX(Lists!$DF$4:$DF$42,MATCH(ROW()-56,$BY$57:$BY$95,0)))</f>
        <v/>
      </c>
      <c r="CA64">
        <f>CA63+IF(AND(Lists!$DK$11&lt;&gt;"",ISNUMBER(SEARCH($V$4,Lists!$DK$11))),1,0)</f>
        <v/>
      </c>
      <c r="CB64">
        <f>IF(ROW()-56&gt;MAX($CA$57:$CA$95),"",INDEX(Lists!$DK$4:$DK$42,MATCH(ROW()-56,$CA$57:$CA$95,0)))</f>
        <v/>
      </c>
      <c r="CC64">
        <f>CC63+IF(AND(Lists!$DP$11&lt;&gt;"",ISNUMBER(SEARCH($W$4,Lists!$DP$11))),1,0)</f>
        <v/>
      </c>
      <c r="CD64">
        <f>IF(ROW()-56&gt;MAX($CC$57:$CC$95),"",INDEX(Lists!$DP$4:$DP$42,MATCH(ROW()-56,$CC$57:$CC$95,0)))</f>
        <v/>
      </c>
      <c r="CE64">
        <f>CE63+IF(AND(Lists!$DU$11&lt;&gt;"",ISNUMBER(SEARCH($X$4,Lists!$DU$11))),1,0)</f>
        <v/>
      </c>
      <c r="CF64">
        <f>IF(ROW()-56&gt;MAX($CE$57:$CE$95),"",INDEX(Lists!$DU$4:$DU$42,MATCH(ROW()-56,$CE$57:$CE$95,0)))</f>
        <v/>
      </c>
      <c r="CG64">
        <f>CG63+IF(AND(Lists!$DZ$11&lt;&gt;"",ISNUMBER(SEARCH($Y$4,Lists!$DZ$11))),1,0)</f>
        <v/>
      </c>
      <c r="CH64">
        <f>IF(ROW()-56&gt;MAX($CG$57:$CG$95),"",INDEX(Lists!$DZ$4:$DZ$42,MATCH(ROW()-56,$CG$57:$CG$95,0)))</f>
        <v/>
      </c>
      <c r="CI64">
        <f>CI63+IF(AND(Lists!$EE$11&lt;&gt;"",ISNUMBER(SEARCH($Z$4,Lists!$EE$11))),1,0)</f>
        <v/>
      </c>
      <c r="CJ64">
        <f>IF(ROW()-56&gt;MAX($CI$57:$CI$95),"",INDEX(Lists!$EE$4:$EE$42,MATCH(ROW()-56,$CI$57:$CI$95,0)))</f>
        <v/>
      </c>
      <c r="CK64">
        <f>CK63+IF(AND(Lists!$EJ$11&lt;&gt;"",ISNUMBER(SEARCH($AA$4,Lists!$EJ$11))),1,0)</f>
        <v/>
      </c>
      <c r="CL64">
        <f>IF(ROW()-56&gt;MAX($CK$57:$CK$95),"",INDEX(Lists!$EJ$4:$EJ$42,MATCH(ROW()-56,$CK$57:$CK$95,0)))</f>
        <v/>
      </c>
      <c r="CM64">
        <f>CM63+IF(AND(Lists!$EO$11&lt;&gt;"",ISNUMBER(SEARCH($AB$4,Lists!$EO$11))),1,0)</f>
        <v/>
      </c>
      <c r="CN64">
        <f>IF(ROW()-56&gt;MAX($CM$57:$CM$95),"",INDEX(Lists!$EO$4:$EO$42,MATCH(ROW()-56,$CM$57:$CM$95,0)))</f>
        <v/>
      </c>
      <c r="CO64">
        <f>CO63+IF(AND(Lists!$ET$11&lt;&gt;"",ISNUMBER(SEARCH($AC$4,Lists!$ET$11))),1,0)</f>
        <v/>
      </c>
      <c r="CP64">
        <f>IF(ROW()-56&gt;MAX($CO$57:$CO$95),"",INDEX(Lists!$ET$4:$ET$42,MATCH(ROW()-56,$CO$57:$CO$95,0)))</f>
        <v/>
      </c>
      <c r="CQ64">
        <f>CQ63+IF(AND(Lists!$EY$11&lt;&gt;"",ISNUMBER(SEARCH($AD$4,Lists!$EY$11))),1,0)</f>
        <v/>
      </c>
      <c r="CR64">
        <f>IF(ROW()-56&gt;MAX($CQ$57:$CQ$95),"",INDEX(Lists!$EY$4:$EY$42,MATCH(ROW()-56,$CQ$57:$CQ$95,0)))</f>
        <v/>
      </c>
      <c r="CS64">
        <f>CS63+IF(AND(Lists!$FD$11&lt;&gt;"",ISNUMBER(SEARCH($AE$4,Lists!$FD$11))),1,0)</f>
        <v/>
      </c>
      <c r="CT64">
        <f>IF(ROW()-56&gt;MAX($CS$57:$CS$95),"",INDEX(Lists!$FD$4:$FD$42,MATCH(ROW()-56,$CS$57:$CS$95,0)))</f>
        <v/>
      </c>
      <c r="CU64">
        <f>CU63+IF(AND(Lists!$FI$11&lt;&gt;"",ISNUMBER(SEARCH($AG$4,Lists!$FI$11))),1,0)</f>
        <v/>
      </c>
      <c r="CV64">
        <f>IF(ROW()-56&gt;MAX($CU$57:$CU$95),"",INDEX(Lists!$FI$4:$FI$42,MATCH(ROW()-56,$CU$57:$CU$95,0)))</f>
        <v/>
      </c>
      <c r="CW64">
        <f>CW63+IF(AND(Lists!$FN$11&lt;&gt;"",ISNUMBER(SEARCH($AH$4,Lists!$FN$11))),1,0)</f>
        <v/>
      </c>
      <c r="CX64">
        <f>IF(ROW()-56&gt;MAX($CW$57:$CW$95),"",INDEX(Lists!$FN$4:$FN$42,MATCH(ROW()-56,$CW$57:$CW$95,0)))</f>
        <v/>
      </c>
      <c r="CY64">
        <f>CY63+IF(AND(Lists!$FS$11&lt;&gt;"",ISNUMBER(SEARCH($AI$4,Lists!$FS$11))),1,0)</f>
        <v/>
      </c>
      <c r="CZ64">
        <f>IF(ROW()-56&gt;MAX($CY$57:$CY$95),"",INDEX(Lists!$FS$4:$FS$42,MATCH(ROW()-56,$CY$57:$CY$95,0)))</f>
        <v/>
      </c>
      <c r="DA64">
        <f>DA63+IF(AND(Lists!$FX$11&lt;&gt;"",ISNUMBER(SEARCH($AF$4,Lists!$FX$11))),1,0)</f>
        <v/>
      </c>
      <c r="DB64">
        <f>IF(ROW()-56&gt;MAX($DA$57:$DA$95),"",INDEX(Lists!$FX$4:$FX$42,MATCH(ROW()-56,$DA$57:$DA$95,0)))</f>
        <v/>
      </c>
      <c r="DG64">
        <f>IF($B$4="",1,IF($B$4="(blank)",--('Final Calculation Sheet'!$F$9=""),IF($B$4="(nonblank)",--('Final Calculation Sheet'!$F$9&lt;&gt;""),--ISNUMBER(SEARCH($B$4,'Final Calculation Sheet'!$F$9)))))</f>
        <v/>
      </c>
      <c r="DH64">
        <f>IF($C$4="",1,IF($C$4="(blank)",--('Final Calculation Sheet'!$G$9=""),IF($C$4="(nonblank)",--('Final Calculation Sheet'!$G$9&lt;&gt;""),--ISNUMBER(SEARCH($C$4,'Final Calculation Sheet'!$G$9)))))</f>
        <v/>
      </c>
      <c r="DI64">
        <f>IF($D$4="",1,IF($D$4="(blank)",--('Final Calculation Sheet'!$B$9=""),IF($D$4="(nonblank)",--('Final Calculation Sheet'!$B$9&lt;&gt;""),--ISNUMBER(SEARCH($D$4,'Final Calculation Sheet'!$B$9)))))</f>
        <v/>
      </c>
      <c r="DJ64">
        <f>IF($E$4="",1,IF($E$4="(blank)",--('Final Calculation Sheet'!$D$9=""),IF($E$4="(nonblank)",--('Final Calculation Sheet'!$D$9&lt;&gt;""),--ISNUMBER(SEARCH($E$4,'Final Calculation Sheet'!$D$9)))))</f>
        <v/>
      </c>
      <c r="DK64">
        <f>IF($F$4="",1,IF($F$4="(blank)",--('Final Calculation Sheet'!$A$9=""),IF($F$4="(nonblank)",--('Final Calculation Sheet'!$A$9&lt;&gt;""),--ISNUMBER(SEARCH($F$4,'Final Calculation Sheet'!$A$9)))))</f>
        <v/>
      </c>
      <c r="DL64">
        <f>IF($G$4="",1,IF($G$4="(blank)",--('Final Calculation Sheet'!$E$9=""),IF($G$4="(nonblank)",--('Final Calculation Sheet'!$E$9&lt;&gt;""),--ISNUMBER(SEARCH($G$4,'Final Calculation Sheet'!$E$9)))))</f>
        <v/>
      </c>
      <c r="DM64">
        <f>IF($H$4="",1,IF($H$4="(blank)",--('Final Calculation Sheet'!$C$9=""),IF($H$4="(nonblank)",--('Final Calculation Sheet'!$C$9&lt;&gt;""),--ISNUMBER(SEARCH($H$4,'Final Calculation Sheet'!$C$9)))))</f>
        <v/>
      </c>
      <c r="DN64">
        <f>IF($I$4="",1,IF($I$4="(blank)",--('Final Calculation Sheet'!$H$9=""),IF($I$4="(nonblank)",--('Final Calculation Sheet'!$H$9&lt;&gt;""),--ISNUMBER(SEARCH($I$4,'Final Calculation Sheet'!$H$9)))))</f>
        <v/>
      </c>
      <c r="DO64">
        <f>IF($J$4="",1,IF($J$4="(blank)",--('Final Calculation Sheet'!$I$9=""),IF($J$4="(nonblank)",--('Final Calculation Sheet'!$I$9&lt;&gt;""),--ISNUMBER(SEARCH($J$4,'Final Calculation Sheet'!$I$9)))))</f>
        <v/>
      </c>
      <c r="DP64">
        <f>IF($K$4="",1,IF($K$4="(blank)",--('Final Calculation Sheet'!$J$9=""),IF($K$4="(nonblank)",--('Final Calculation Sheet'!$J$9&lt;&gt;""),--ISNUMBER(SEARCH($K$4,'Final Calculation Sheet'!$J$9)))))</f>
        <v/>
      </c>
      <c r="DQ64">
        <f>IF($L$4="",1,IF($L$4="(blank)",--('Final Calculation Sheet'!$K$9=""),IF($L$4="(nonblank)",--('Final Calculation Sheet'!$K$9&lt;&gt;""),--ISNUMBER(SEARCH($L$4,'Final Calculation Sheet'!$K$9)))))</f>
        <v/>
      </c>
      <c r="DR64">
        <f>IF($M$4="",1,IF($M$4="(blank)",--('Final Calculation Sheet'!$L$9=""),IF($M$4="(nonblank)",--('Final Calculation Sheet'!$L$9&lt;&gt;""),--ISNUMBER(SEARCH($M$4,'Final Calculation Sheet'!$L$9)))))</f>
        <v/>
      </c>
      <c r="DS64">
        <f>IF($N$4="",1,IF($N$4="(blank)",--('Final Calculation Sheet'!$M$9=""),IF($N$4="(nonblank)",--('Final Calculation Sheet'!$M$9&lt;&gt;""),--ISNUMBER(SEARCH($N$4,'Final Calculation Sheet'!$M$9)))))</f>
        <v/>
      </c>
      <c r="DT64">
        <f>IF($O$4="",1,IF($O$4="(blank)",--('Final Calculation Sheet'!$N$9=""),IF($O$4="(nonblank)",--('Final Calculation Sheet'!$N$9&lt;&gt;""),--ISNUMBER(SEARCH($O$4,'Final Calculation Sheet'!$N$9)))))</f>
        <v/>
      </c>
      <c r="DU64">
        <f>IF($P$4="",1,IF($P$4="(blank)",--('Final Calculation Sheet'!$O$9=""),IF($P$4="(nonblank)",--('Final Calculation Sheet'!$O$9&lt;&gt;""),--ISNUMBER(SEARCH($P$4,'Final Calculation Sheet'!$O$9)))))</f>
        <v/>
      </c>
      <c r="DV64">
        <f>IF($Q$4="",1,IF($Q$4="(blank)",--('Final Calculation Sheet'!$P$9=""),IF($Q$4="(nonblank)",--('Final Calculation Sheet'!$P$9&lt;&gt;""),--ISNUMBER(SEARCH($Q$4,'Final Calculation Sheet'!$P$9)))))</f>
        <v/>
      </c>
      <c r="DW64">
        <f>IF($R$4="",1,IF($R$4="(blank)",--('Final Calculation Sheet'!$Q$9=""),IF($R$4="(nonblank)",--('Final Calculation Sheet'!$Q$9&lt;&gt;""),--ISNUMBER(SEARCH($R$4,'Final Calculation Sheet'!$Q$9)))))</f>
        <v/>
      </c>
      <c r="DX64">
        <f>IF($S$4="",1,IF($S$4="(blank)",--('Final Calculation Sheet'!$R$9=""),IF($S$4="(nonblank)",--('Final Calculation Sheet'!$R$9&lt;&gt;""),--ISNUMBER(SEARCH($S$4,'Final Calculation Sheet'!$R$9)))))</f>
        <v/>
      </c>
      <c r="DY64">
        <f>IF($T$4="",1,IF($T$4="(blank)",--('Final Calculation Sheet'!$S$9=""),IF($T$4="(nonblank)",--('Final Calculation Sheet'!$S$9&lt;&gt;""),--ISNUMBER(SEARCH($T$4,'Final Calculation Sheet'!$S$9)))))</f>
        <v/>
      </c>
      <c r="DZ64">
        <f>IF($U$4="",1,IF($U$4="(blank)",--('Final Calculation Sheet'!$T$9=""),IF($U$4="(nonblank)",--('Final Calculation Sheet'!$T$9&lt;&gt;""),--ISNUMBER(SEARCH($U$4,'Final Calculation Sheet'!$T$9)))))</f>
        <v/>
      </c>
      <c r="EA64">
        <f>IF($V$4="",1,IF($V$4="(blank)",--('Final Calculation Sheet'!$U$9=""),IF($V$4="(nonblank)",--('Final Calculation Sheet'!$U$9&lt;&gt;""),--ISNUMBER(SEARCH($V$4,'Final Calculation Sheet'!$U$9)))))</f>
        <v/>
      </c>
      <c r="EB64">
        <f>IF($W$4="",1,IF($W$4="(blank)",--('Final Calculation Sheet'!$V$9=""),IF($W$4="(nonblank)",--('Final Calculation Sheet'!$V$9&lt;&gt;""),--ISNUMBER(SEARCH($W$4,'Final Calculation Sheet'!$V$9)))))</f>
        <v/>
      </c>
      <c r="EC64">
        <f>IF($X$4="",1,IF($X$4="(blank)",--('Final Calculation Sheet'!$W$9=""),IF($X$4="(nonblank)",--('Final Calculation Sheet'!$W$9&lt;&gt;""),--ISNUMBER(SEARCH($X$4,'Final Calculation Sheet'!$W$9)))))</f>
        <v/>
      </c>
      <c r="ED64">
        <f>IF($Y$4="",1,IF($Y$4="(blank)",--('Final Calculation Sheet'!$X$9=""),IF($Y$4="(nonblank)",--('Final Calculation Sheet'!$X$9&lt;&gt;""),--ISNUMBER(SEARCH($Y$4,'Final Calculation Sheet'!$X$9)))))</f>
        <v/>
      </c>
      <c r="EE64">
        <f>IF($Z$4="",1,IF($Z$4="(blank)",--('Final Calculation Sheet'!$Y$9=""),IF($Z$4="(nonblank)",--('Final Calculation Sheet'!$Y$9&lt;&gt;""),--ISNUMBER(SEARCH($Z$4,'Final Calculation Sheet'!$Y$9)))))</f>
        <v/>
      </c>
      <c r="EF64">
        <f>IF($AA$4="",1,IF($AA$4="(blank)",--('Final Calculation Sheet'!$Z$9=""),IF($AA$4="(nonblank)",--('Final Calculation Sheet'!$Z$9&lt;&gt;""),--ISNUMBER(SEARCH($AA$4,'Final Calculation Sheet'!$Z$9)))))</f>
        <v/>
      </c>
      <c r="EG64">
        <f>IF($AB$4="",1,IF($AB$4="(blank)",--('Final Calculation Sheet'!$AA$9=""),IF($AB$4="(nonblank)",--('Final Calculation Sheet'!$AA$9&lt;&gt;""),--ISNUMBER(SEARCH($AB$4,'Final Calculation Sheet'!$AA$9)))))</f>
        <v/>
      </c>
      <c r="EH64">
        <f>IF($AC$4="",1,IF($AC$4="(blank)",--('Final Calculation Sheet'!$AB$9=""),IF($AC$4="(nonblank)",--('Final Calculation Sheet'!$AB$9&lt;&gt;""),--ISNUMBER(SEARCH($AC$4,'Final Calculation Sheet'!$AB$9)))))</f>
        <v/>
      </c>
      <c r="EI64">
        <f>IF($AD$4="",1,IF($AD$4="(blank)",--('Final Calculation Sheet'!$AC$9=""),IF($AD$4="(nonblank)",--('Final Calculation Sheet'!$AC$9&lt;&gt;""),--ISNUMBER(SEARCH($AD$4,'Final Calculation Sheet'!$AC$9)))))</f>
        <v/>
      </c>
      <c r="EJ64">
        <f>IF($AE$4="",1,IF($AE$4="(blank)",--('Final Calculation Sheet'!$AD$9=""),IF($AE$4="(nonblank)",--('Final Calculation Sheet'!$AD$9&lt;&gt;""),--ISNUMBER(SEARCH($AE$4,'Final Calculation Sheet'!$AD$9)))))</f>
        <v/>
      </c>
      <c r="EK64">
        <f>IF($AF$4="",1,IF($AF$4="(blank)",--(IF('Final Calculation Sheet'!$AD$9&lt;=5,"SETTLED","OUTSTANDING")=""),IF($AF$4="(nonblank)",--(IF('Final Calculation Sheet'!$AD$9&lt;=5,"SETTLED","OUTSTANDING")&lt;&gt;""),--ISNUMBER(SEARCH($AF$4,IF('Final Calculation Sheet'!$AD$9&lt;=5,"SETTLED","OUTSTANDING"))))))</f>
        <v/>
      </c>
      <c r="EL64">
        <f>IF($AG$4="",1,IF($AG$4="(blank)",--('Final Calculation Sheet'!$AF$9=""),IF($AG$4="(nonblank)",--('Final Calculation Sheet'!$AF$9&lt;&gt;""),--ISNUMBER(SEARCH($AG$4,'Final Calculation Sheet'!$AF$9)))))</f>
        <v/>
      </c>
      <c r="EM64">
        <f>IF($AH$4="",1,IF($AH$4="(blank)",--('Final Calculation Sheet'!$AG$9=""),IF($AH$4="(nonblank)",--('Final Calculation Sheet'!$AG$9&lt;&gt;""),--ISNUMBER(SEARCH($AH$4,'Final Calculation Sheet'!$AG$9)))))</f>
        <v/>
      </c>
      <c r="EN64">
        <f>IF($AI$4="",1,IF($AI$4="(blank)",--('Final Calculation Sheet'!$AH$9=""),IF($AI$4="(nonblank)",--('Final Calculation Sheet'!$AH$9&lt;&gt;""),--ISNUMBER(SEARCH($AI$4,'Final Calculation Sheet'!$AH$9)))))</f>
        <v/>
      </c>
    </row>
    <row r="65">
      <c r="AM65">
        <f>AM64+IF(AND(Lists!$O$12&lt;&gt;"",ISNUMBER(SEARCH($B$4,Lists!$O$12))),1,0)</f>
        <v/>
      </c>
      <c r="AN65">
        <f>IF(ROW()-56&gt;MAX($AM$57:$AM$95),"",INDEX(Lists!$O$4:$O$42,MATCH(ROW()-56,$AM$57:$AM$95,0)))</f>
        <v/>
      </c>
      <c r="AO65">
        <f>AO64+IF(AND(Lists!$T$12&lt;&gt;"",ISNUMBER(SEARCH($C$4,Lists!$T$12))),1,0)</f>
        <v/>
      </c>
      <c r="AP65">
        <f>IF(ROW()-56&gt;MAX($AO$57:$AO$95),"",INDEX(Lists!$T$4:$T$42,MATCH(ROW()-56,$AO$57:$AO$95,0)))</f>
        <v/>
      </c>
      <c r="AQ65">
        <f>AQ64+IF(AND(Lists!$Y$12&lt;&gt;"",ISNUMBER(SEARCH($D$4,Lists!$Y$12))),1,0)</f>
        <v/>
      </c>
      <c r="AR65">
        <f>IF(ROW()-56&gt;MAX($AQ$57:$AQ$95),"",INDEX(Lists!$Y$4:$Y$42,MATCH(ROW()-56,$AQ$57:$AQ$95,0)))</f>
        <v/>
      </c>
      <c r="AS65">
        <f>AS64+IF(AND(Lists!$AD$12&lt;&gt;"",ISNUMBER(SEARCH($E$4,Lists!$AD$12))),1,0)</f>
        <v/>
      </c>
      <c r="AT65">
        <f>IF(ROW()-56&gt;MAX($AS$57:$AS$95),"",INDEX(Lists!$AD$4:$AD$42,MATCH(ROW()-56,$AS$57:$AS$95,0)))</f>
        <v/>
      </c>
      <c r="AU65">
        <f>AU64+IF(AND(Lists!$AI$12&lt;&gt;"",ISNUMBER(SEARCH($F$4,Lists!$AI$12))),1,0)</f>
        <v/>
      </c>
      <c r="AV65">
        <f>IF(ROW()-56&gt;MAX($AU$57:$AU$95),"",INDEX(Lists!$AI$4:$AI$42,MATCH(ROW()-56,$AU$57:$AU$95,0)))</f>
        <v/>
      </c>
      <c r="AW65">
        <f>AW64+IF(AND(Lists!$AN$12&lt;&gt;"",ISNUMBER(SEARCH($G$4,Lists!$AN$12))),1,0)</f>
        <v/>
      </c>
      <c r="AX65">
        <f>IF(ROW()-56&gt;MAX($AW$57:$AW$95),"",INDEX(Lists!$AN$4:$AN$42,MATCH(ROW()-56,$AW$57:$AW$95,0)))</f>
        <v/>
      </c>
      <c r="AY65">
        <f>AY64+IF(AND(Lists!$AS$12&lt;&gt;"",ISNUMBER(SEARCH($H$4,Lists!$AS$12))),1,0)</f>
        <v/>
      </c>
      <c r="AZ65">
        <f>IF(ROW()-56&gt;MAX($AY$57:$AY$95),"",INDEX(Lists!$AS$4:$AS$42,MATCH(ROW()-56,$AY$57:$AY$95,0)))</f>
        <v/>
      </c>
      <c r="BA65">
        <f>BA64+IF(AND(Lists!$AX$12&lt;&gt;"",ISNUMBER(SEARCH($I$4,Lists!$AX$12))),1,0)</f>
        <v/>
      </c>
      <c r="BB65">
        <f>IF(ROW()-56&gt;MAX($BA$57:$BA$95),"",INDEX(Lists!$AX$4:$AX$42,MATCH(ROW()-56,$BA$57:$BA$95,0)))</f>
        <v/>
      </c>
      <c r="BC65">
        <f>BC64+IF(AND(Lists!$BC$12&lt;&gt;"",ISNUMBER(SEARCH($J$4,Lists!$BC$12))),1,0)</f>
        <v/>
      </c>
      <c r="BD65">
        <f>IF(ROW()-56&gt;MAX($BC$57:$BC$95),"",INDEX(Lists!$BC$4:$BC$42,MATCH(ROW()-56,$BC$57:$BC$95,0)))</f>
        <v/>
      </c>
      <c r="BE65">
        <f>BE64+IF(AND(Lists!$BH$12&lt;&gt;"",ISNUMBER(SEARCH($K$4,Lists!$BH$12))),1,0)</f>
        <v/>
      </c>
      <c r="BF65">
        <f>IF(ROW()-56&gt;MAX($BE$57:$BE$95),"",INDEX(Lists!$BH$4:$BH$42,MATCH(ROW()-56,$BE$57:$BE$95,0)))</f>
        <v/>
      </c>
      <c r="BG65">
        <f>BG64+IF(AND(Lists!$BM$12&lt;&gt;"",ISNUMBER(SEARCH($L$4,Lists!$BM$12))),1,0)</f>
        <v/>
      </c>
      <c r="BH65">
        <f>IF(ROW()-56&gt;MAX($BG$57:$BG$95),"",INDEX(Lists!$BM$4:$BM$42,MATCH(ROW()-56,$BG$57:$BG$95,0)))</f>
        <v/>
      </c>
      <c r="BI65">
        <f>BI64+IF(AND(Lists!$BR$12&lt;&gt;"",ISNUMBER(SEARCH($M$4,Lists!$BR$12))),1,0)</f>
        <v/>
      </c>
      <c r="BJ65">
        <f>IF(ROW()-56&gt;MAX($BI$57:$BI$95),"",INDEX(Lists!$BR$4:$BR$42,MATCH(ROW()-56,$BI$57:$BI$95,0)))</f>
        <v/>
      </c>
      <c r="BK65">
        <f>BK64+IF(AND(Lists!$BW$12&lt;&gt;"",ISNUMBER(SEARCH($N$4,Lists!$BW$12))),1,0)</f>
        <v/>
      </c>
      <c r="BL65">
        <f>IF(ROW()-56&gt;MAX($BK$57:$BK$95),"",INDEX(Lists!$BW$4:$BW$42,MATCH(ROW()-56,$BK$57:$BK$95,0)))</f>
        <v/>
      </c>
      <c r="BM65">
        <f>BM64+IF(AND(Lists!$CB$12&lt;&gt;"",ISNUMBER(SEARCH($O$4,Lists!$CB$12))),1,0)</f>
        <v/>
      </c>
      <c r="BN65">
        <f>IF(ROW()-56&gt;MAX($BM$57:$BM$95),"",INDEX(Lists!$CB$4:$CB$42,MATCH(ROW()-56,$BM$57:$BM$95,0)))</f>
        <v/>
      </c>
      <c r="BO65">
        <f>BO64+IF(AND(Lists!$CG$12&lt;&gt;"",ISNUMBER(SEARCH($P$4,Lists!$CG$12))),1,0)</f>
        <v/>
      </c>
      <c r="BP65">
        <f>IF(ROW()-56&gt;MAX($BO$57:$BO$95),"",INDEX(Lists!$CG$4:$CG$42,MATCH(ROW()-56,$BO$57:$BO$95,0)))</f>
        <v/>
      </c>
      <c r="BQ65">
        <f>BQ64+IF(AND(Lists!$CL$12&lt;&gt;"",ISNUMBER(SEARCH($Q$4,Lists!$CL$12))),1,0)</f>
        <v/>
      </c>
      <c r="BR65">
        <f>IF(ROW()-56&gt;MAX($BQ$57:$BQ$95),"",INDEX(Lists!$CL$4:$CL$42,MATCH(ROW()-56,$BQ$57:$BQ$95,0)))</f>
        <v/>
      </c>
      <c r="BS65">
        <f>BS64+IF(AND(Lists!$CQ$12&lt;&gt;"",ISNUMBER(SEARCH($R$4,Lists!$CQ$12))),1,0)</f>
        <v/>
      </c>
      <c r="BT65">
        <f>IF(ROW()-56&gt;MAX($BS$57:$BS$95),"",INDEX(Lists!$CQ$4:$CQ$42,MATCH(ROW()-56,$BS$57:$BS$95,0)))</f>
        <v/>
      </c>
      <c r="BU65">
        <f>BU64+IF(AND(Lists!$CV$12&lt;&gt;"",ISNUMBER(SEARCH($S$4,Lists!$CV$12))),1,0)</f>
        <v/>
      </c>
      <c r="BV65">
        <f>IF(ROW()-56&gt;MAX($BU$57:$BU$95),"",INDEX(Lists!$CV$4:$CV$42,MATCH(ROW()-56,$BU$57:$BU$95,0)))</f>
        <v/>
      </c>
      <c r="BW65">
        <f>BW64+IF(AND(Lists!$DA$12&lt;&gt;"",ISNUMBER(SEARCH($T$4,Lists!$DA$12))),1,0)</f>
        <v/>
      </c>
      <c r="BX65">
        <f>IF(ROW()-56&gt;MAX($BW$57:$BW$95),"",INDEX(Lists!$DA$4:$DA$42,MATCH(ROW()-56,$BW$57:$BW$95,0)))</f>
        <v/>
      </c>
      <c r="BY65">
        <f>BY64+IF(AND(Lists!$DF$12&lt;&gt;"",ISNUMBER(SEARCH($U$4,Lists!$DF$12))),1,0)</f>
        <v/>
      </c>
      <c r="BZ65">
        <f>IF(ROW()-56&gt;MAX($BY$57:$BY$95),"",INDEX(Lists!$DF$4:$DF$42,MATCH(ROW()-56,$BY$57:$BY$95,0)))</f>
        <v/>
      </c>
      <c r="CA65">
        <f>CA64+IF(AND(Lists!$DK$12&lt;&gt;"",ISNUMBER(SEARCH($V$4,Lists!$DK$12))),1,0)</f>
        <v/>
      </c>
      <c r="CB65">
        <f>IF(ROW()-56&gt;MAX($CA$57:$CA$95),"",INDEX(Lists!$DK$4:$DK$42,MATCH(ROW()-56,$CA$57:$CA$95,0)))</f>
        <v/>
      </c>
      <c r="CC65">
        <f>CC64+IF(AND(Lists!$DP$12&lt;&gt;"",ISNUMBER(SEARCH($W$4,Lists!$DP$12))),1,0)</f>
        <v/>
      </c>
      <c r="CD65">
        <f>IF(ROW()-56&gt;MAX($CC$57:$CC$95),"",INDEX(Lists!$DP$4:$DP$42,MATCH(ROW()-56,$CC$57:$CC$95,0)))</f>
        <v/>
      </c>
      <c r="CE65">
        <f>CE64+IF(AND(Lists!$DU$12&lt;&gt;"",ISNUMBER(SEARCH($X$4,Lists!$DU$12))),1,0)</f>
        <v/>
      </c>
      <c r="CF65">
        <f>IF(ROW()-56&gt;MAX($CE$57:$CE$95),"",INDEX(Lists!$DU$4:$DU$42,MATCH(ROW()-56,$CE$57:$CE$95,0)))</f>
        <v/>
      </c>
      <c r="CG65">
        <f>CG64+IF(AND(Lists!$DZ$12&lt;&gt;"",ISNUMBER(SEARCH($Y$4,Lists!$DZ$12))),1,0)</f>
        <v/>
      </c>
      <c r="CH65">
        <f>IF(ROW()-56&gt;MAX($CG$57:$CG$95),"",INDEX(Lists!$DZ$4:$DZ$42,MATCH(ROW()-56,$CG$57:$CG$95,0)))</f>
        <v/>
      </c>
      <c r="CI65">
        <f>CI64+IF(AND(Lists!$EE$12&lt;&gt;"",ISNUMBER(SEARCH($Z$4,Lists!$EE$12))),1,0)</f>
        <v/>
      </c>
      <c r="CJ65">
        <f>IF(ROW()-56&gt;MAX($CI$57:$CI$95),"",INDEX(Lists!$EE$4:$EE$42,MATCH(ROW()-56,$CI$57:$CI$95,0)))</f>
        <v/>
      </c>
      <c r="CK65">
        <f>CK64+IF(AND(Lists!$EJ$12&lt;&gt;"",ISNUMBER(SEARCH($AA$4,Lists!$EJ$12))),1,0)</f>
        <v/>
      </c>
      <c r="CL65">
        <f>IF(ROW()-56&gt;MAX($CK$57:$CK$95),"",INDEX(Lists!$EJ$4:$EJ$42,MATCH(ROW()-56,$CK$57:$CK$95,0)))</f>
        <v/>
      </c>
      <c r="CM65">
        <f>CM64+IF(AND(Lists!$EO$12&lt;&gt;"",ISNUMBER(SEARCH($AB$4,Lists!$EO$12))),1,0)</f>
        <v/>
      </c>
      <c r="CN65">
        <f>IF(ROW()-56&gt;MAX($CM$57:$CM$95),"",INDEX(Lists!$EO$4:$EO$42,MATCH(ROW()-56,$CM$57:$CM$95,0)))</f>
        <v/>
      </c>
      <c r="CO65">
        <f>CO64+IF(AND(Lists!$ET$12&lt;&gt;"",ISNUMBER(SEARCH($AC$4,Lists!$ET$12))),1,0)</f>
        <v/>
      </c>
      <c r="CP65">
        <f>IF(ROW()-56&gt;MAX($CO$57:$CO$95),"",INDEX(Lists!$ET$4:$ET$42,MATCH(ROW()-56,$CO$57:$CO$95,0)))</f>
        <v/>
      </c>
      <c r="CQ65">
        <f>CQ64+IF(AND(Lists!$EY$12&lt;&gt;"",ISNUMBER(SEARCH($AD$4,Lists!$EY$12))),1,0)</f>
        <v/>
      </c>
      <c r="CR65">
        <f>IF(ROW()-56&gt;MAX($CQ$57:$CQ$95),"",INDEX(Lists!$EY$4:$EY$42,MATCH(ROW()-56,$CQ$57:$CQ$95,0)))</f>
        <v/>
      </c>
      <c r="CS65">
        <f>CS64+IF(AND(Lists!$FD$12&lt;&gt;"",ISNUMBER(SEARCH($AE$4,Lists!$FD$12))),1,0)</f>
        <v/>
      </c>
      <c r="CT65">
        <f>IF(ROW()-56&gt;MAX($CS$57:$CS$95),"",INDEX(Lists!$FD$4:$FD$42,MATCH(ROW()-56,$CS$57:$CS$95,0)))</f>
        <v/>
      </c>
      <c r="CU65">
        <f>CU64+IF(AND(Lists!$FI$12&lt;&gt;"",ISNUMBER(SEARCH($AG$4,Lists!$FI$12))),1,0)</f>
        <v/>
      </c>
      <c r="CV65">
        <f>IF(ROW()-56&gt;MAX($CU$57:$CU$95),"",INDEX(Lists!$FI$4:$FI$42,MATCH(ROW()-56,$CU$57:$CU$95,0)))</f>
        <v/>
      </c>
      <c r="CW65">
        <f>CW64+IF(AND(Lists!$FN$12&lt;&gt;"",ISNUMBER(SEARCH($AH$4,Lists!$FN$12))),1,0)</f>
        <v/>
      </c>
      <c r="CX65">
        <f>IF(ROW()-56&gt;MAX($CW$57:$CW$95),"",INDEX(Lists!$FN$4:$FN$42,MATCH(ROW()-56,$CW$57:$CW$95,0)))</f>
        <v/>
      </c>
      <c r="CY65">
        <f>CY64+IF(AND(Lists!$FS$12&lt;&gt;"",ISNUMBER(SEARCH($AI$4,Lists!$FS$12))),1,0)</f>
        <v/>
      </c>
      <c r="CZ65">
        <f>IF(ROW()-56&gt;MAX($CY$57:$CY$95),"",INDEX(Lists!$FS$4:$FS$42,MATCH(ROW()-56,$CY$57:$CY$95,0)))</f>
        <v/>
      </c>
      <c r="DA65">
        <f>DA64+IF(AND(Lists!$FX$12&lt;&gt;"",ISNUMBER(SEARCH($AF$4,Lists!$FX$12))),1,0)</f>
        <v/>
      </c>
      <c r="DB65">
        <f>IF(ROW()-56&gt;MAX($DA$57:$DA$95),"",INDEX(Lists!$FX$4:$FX$42,MATCH(ROW()-56,$DA$57:$DA$95,0)))</f>
        <v/>
      </c>
      <c r="DG65">
        <f>IF($B$4="",1,IF($B$4="(blank)",--('Final Calculation Sheet'!$F$10=""),IF($B$4="(nonblank)",--('Final Calculation Sheet'!$F$10&lt;&gt;""),--ISNUMBER(SEARCH($B$4,'Final Calculation Sheet'!$F$10)))))</f>
        <v/>
      </c>
      <c r="DH65">
        <f>IF($C$4="",1,IF($C$4="(blank)",--('Final Calculation Sheet'!$G$10=""),IF($C$4="(nonblank)",--('Final Calculation Sheet'!$G$10&lt;&gt;""),--ISNUMBER(SEARCH($C$4,'Final Calculation Sheet'!$G$10)))))</f>
        <v/>
      </c>
      <c r="DI65">
        <f>IF($D$4="",1,IF($D$4="(blank)",--('Final Calculation Sheet'!$B$10=""),IF($D$4="(nonblank)",--('Final Calculation Sheet'!$B$10&lt;&gt;""),--ISNUMBER(SEARCH($D$4,'Final Calculation Sheet'!$B$10)))))</f>
        <v/>
      </c>
      <c r="DJ65">
        <f>IF($E$4="",1,IF($E$4="(blank)",--('Final Calculation Sheet'!$D$10=""),IF($E$4="(nonblank)",--('Final Calculation Sheet'!$D$10&lt;&gt;""),--ISNUMBER(SEARCH($E$4,'Final Calculation Sheet'!$D$10)))))</f>
        <v/>
      </c>
      <c r="DK65">
        <f>IF($F$4="",1,IF($F$4="(blank)",--('Final Calculation Sheet'!$A$10=""),IF($F$4="(nonblank)",--('Final Calculation Sheet'!$A$10&lt;&gt;""),--ISNUMBER(SEARCH($F$4,'Final Calculation Sheet'!$A$10)))))</f>
        <v/>
      </c>
      <c r="DL65">
        <f>IF($G$4="",1,IF($G$4="(blank)",--('Final Calculation Sheet'!$E$10=""),IF($G$4="(nonblank)",--('Final Calculation Sheet'!$E$10&lt;&gt;""),--ISNUMBER(SEARCH($G$4,'Final Calculation Sheet'!$E$10)))))</f>
        <v/>
      </c>
      <c r="DM65">
        <f>IF($H$4="",1,IF($H$4="(blank)",--('Final Calculation Sheet'!$C$10=""),IF($H$4="(nonblank)",--('Final Calculation Sheet'!$C$10&lt;&gt;""),--ISNUMBER(SEARCH($H$4,'Final Calculation Sheet'!$C$10)))))</f>
        <v/>
      </c>
      <c r="DN65">
        <f>IF($I$4="",1,IF($I$4="(blank)",--('Final Calculation Sheet'!$H$10=""),IF($I$4="(nonblank)",--('Final Calculation Sheet'!$H$10&lt;&gt;""),--ISNUMBER(SEARCH($I$4,'Final Calculation Sheet'!$H$10)))))</f>
        <v/>
      </c>
      <c r="DO65">
        <f>IF($J$4="",1,IF($J$4="(blank)",--('Final Calculation Sheet'!$I$10=""),IF($J$4="(nonblank)",--('Final Calculation Sheet'!$I$10&lt;&gt;""),--ISNUMBER(SEARCH($J$4,'Final Calculation Sheet'!$I$10)))))</f>
        <v/>
      </c>
      <c r="DP65">
        <f>IF($K$4="",1,IF($K$4="(blank)",--('Final Calculation Sheet'!$J$10=""),IF($K$4="(nonblank)",--('Final Calculation Sheet'!$J$10&lt;&gt;""),--ISNUMBER(SEARCH($K$4,'Final Calculation Sheet'!$J$10)))))</f>
        <v/>
      </c>
      <c r="DQ65">
        <f>IF($L$4="",1,IF($L$4="(blank)",--('Final Calculation Sheet'!$K$10=""),IF($L$4="(nonblank)",--('Final Calculation Sheet'!$K$10&lt;&gt;""),--ISNUMBER(SEARCH($L$4,'Final Calculation Sheet'!$K$10)))))</f>
        <v/>
      </c>
      <c r="DR65">
        <f>IF($M$4="",1,IF($M$4="(blank)",--('Final Calculation Sheet'!$L$10=""),IF($M$4="(nonblank)",--('Final Calculation Sheet'!$L$10&lt;&gt;""),--ISNUMBER(SEARCH($M$4,'Final Calculation Sheet'!$L$10)))))</f>
        <v/>
      </c>
      <c r="DS65">
        <f>IF($N$4="",1,IF($N$4="(blank)",--('Final Calculation Sheet'!$M$10=""),IF($N$4="(nonblank)",--('Final Calculation Sheet'!$M$10&lt;&gt;""),--ISNUMBER(SEARCH($N$4,'Final Calculation Sheet'!$M$10)))))</f>
        <v/>
      </c>
      <c r="DT65">
        <f>IF($O$4="",1,IF($O$4="(blank)",--('Final Calculation Sheet'!$N$10=""),IF($O$4="(nonblank)",--('Final Calculation Sheet'!$N$10&lt;&gt;""),--ISNUMBER(SEARCH($O$4,'Final Calculation Sheet'!$N$10)))))</f>
        <v/>
      </c>
      <c r="DU65">
        <f>IF($P$4="",1,IF($P$4="(blank)",--('Final Calculation Sheet'!$O$10=""),IF($P$4="(nonblank)",--('Final Calculation Sheet'!$O$10&lt;&gt;""),--ISNUMBER(SEARCH($P$4,'Final Calculation Sheet'!$O$10)))))</f>
        <v/>
      </c>
      <c r="DV65">
        <f>IF($Q$4="",1,IF($Q$4="(blank)",--('Final Calculation Sheet'!$P$10=""),IF($Q$4="(nonblank)",--('Final Calculation Sheet'!$P$10&lt;&gt;""),--ISNUMBER(SEARCH($Q$4,'Final Calculation Sheet'!$P$10)))))</f>
        <v/>
      </c>
      <c r="DW65">
        <f>IF($R$4="",1,IF($R$4="(blank)",--('Final Calculation Sheet'!$Q$10=""),IF($R$4="(nonblank)",--('Final Calculation Sheet'!$Q$10&lt;&gt;""),--ISNUMBER(SEARCH($R$4,'Final Calculation Sheet'!$Q$10)))))</f>
        <v/>
      </c>
      <c r="DX65">
        <f>IF($S$4="",1,IF($S$4="(blank)",--('Final Calculation Sheet'!$R$10=""),IF($S$4="(nonblank)",--('Final Calculation Sheet'!$R$10&lt;&gt;""),--ISNUMBER(SEARCH($S$4,'Final Calculation Sheet'!$R$10)))))</f>
        <v/>
      </c>
      <c r="DY65">
        <f>IF($T$4="",1,IF($T$4="(blank)",--('Final Calculation Sheet'!$S$10=""),IF($T$4="(nonblank)",--('Final Calculation Sheet'!$S$10&lt;&gt;""),--ISNUMBER(SEARCH($T$4,'Final Calculation Sheet'!$S$10)))))</f>
        <v/>
      </c>
      <c r="DZ65">
        <f>IF($U$4="",1,IF($U$4="(blank)",--('Final Calculation Sheet'!$T$10=""),IF($U$4="(nonblank)",--('Final Calculation Sheet'!$T$10&lt;&gt;""),--ISNUMBER(SEARCH($U$4,'Final Calculation Sheet'!$T$10)))))</f>
        <v/>
      </c>
      <c r="EA65">
        <f>IF($V$4="",1,IF($V$4="(blank)",--('Final Calculation Sheet'!$U$10=""),IF($V$4="(nonblank)",--('Final Calculation Sheet'!$U$10&lt;&gt;""),--ISNUMBER(SEARCH($V$4,'Final Calculation Sheet'!$U$10)))))</f>
        <v/>
      </c>
      <c r="EB65">
        <f>IF($W$4="",1,IF($W$4="(blank)",--('Final Calculation Sheet'!$V$10=""),IF($W$4="(nonblank)",--('Final Calculation Sheet'!$V$10&lt;&gt;""),--ISNUMBER(SEARCH($W$4,'Final Calculation Sheet'!$V$10)))))</f>
        <v/>
      </c>
      <c r="EC65">
        <f>IF($X$4="",1,IF($X$4="(blank)",--('Final Calculation Sheet'!$W$10=""),IF($X$4="(nonblank)",--('Final Calculation Sheet'!$W$10&lt;&gt;""),--ISNUMBER(SEARCH($X$4,'Final Calculation Sheet'!$W$10)))))</f>
        <v/>
      </c>
      <c r="ED65">
        <f>IF($Y$4="",1,IF($Y$4="(blank)",--('Final Calculation Sheet'!$X$10=""),IF($Y$4="(nonblank)",--('Final Calculation Sheet'!$X$10&lt;&gt;""),--ISNUMBER(SEARCH($Y$4,'Final Calculation Sheet'!$X$10)))))</f>
        <v/>
      </c>
      <c r="EE65">
        <f>IF($Z$4="",1,IF($Z$4="(blank)",--('Final Calculation Sheet'!$Y$10=""),IF($Z$4="(nonblank)",--('Final Calculation Sheet'!$Y$10&lt;&gt;""),--ISNUMBER(SEARCH($Z$4,'Final Calculation Sheet'!$Y$10)))))</f>
        <v/>
      </c>
      <c r="EF65">
        <f>IF($AA$4="",1,IF($AA$4="(blank)",--('Final Calculation Sheet'!$Z$10=""),IF($AA$4="(nonblank)",--('Final Calculation Sheet'!$Z$10&lt;&gt;""),--ISNUMBER(SEARCH($AA$4,'Final Calculation Sheet'!$Z$10)))))</f>
        <v/>
      </c>
      <c r="EG65">
        <f>IF($AB$4="",1,IF($AB$4="(blank)",--('Final Calculation Sheet'!$AA$10=""),IF($AB$4="(nonblank)",--('Final Calculation Sheet'!$AA$10&lt;&gt;""),--ISNUMBER(SEARCH($AB$4,'Final Calculation Sheet'!$AA$10)))))</f>
        <v/>
      </c>
      <c r="EH65">
        <f>IF($AC$4="",1,IF($AC$4="(blank)",--('Final Calculation Sheet'!$AB$10=""),IF($AC$4="(nonblank)",--('Final Calculation Sheet'!$AB$10&lt;&gt;""),--ISNUMBER(SEARCH($AC$4,'Final Calculation Sheet'!$AB$10)))))</f>
        <v/>
      </c>
      <c r="EI65">
        <f>IF($AD$4="",1,IF($AD$4="(blank)",--('Final Calculation Sheet'!$AC$10=""),IF($AD$4="(nonblank)",--('Final Calculation Sheet'!$AC$10&lt;&gt;""),--ISNUMBER(SEARCH($AD$4,'Final Calculation Sheet'!$AC$10)))))</f>
        <v/>
      </c>
      <c r="EJ65">
        <f>IF($AE$4="",1,IF($AE$4="(blank)",--('Final Calculation Sheet'!$AD$10=""),IF($AE$4="(nonblank)",--('Final Calculation Sheet'!$AD$10&lt;&gt;""),--ISNUMBER(SEARCH($AE$4,'Final Calculation Sheet'!$AD$10)))))</f>
        <v/>
      </c>
      <c r="EK65">
        <f>IF($AF$4="",1,IF($AF$4="(blank)",--(IF('Final Calculation Sheet'!$AD$10&lt;=5,"SETTLED","OUTSTANDING")=""),IF($AF$4="(nonblank)",--(IF('Final Calculation Sheet'!$AD$10&lt;=5,"SETTLED","OUTSTANDING")&lt;&gt;""),--ISNUMBER(SEARCH($AF$4,IF('Final Calculation Sheet'!$AD$10&lt;=5,"SETTLED","OUTSTANDING"))))))</f>
        <v/>
      </c>
      <c r="EL65">
        <f>IF($AG$4="",1,IF($AG$4="(blank)",--('Final Calculation Sheet'!$AF$10=""),IF($AG$4="(nonblank)",--('Final Calculation Sheet'!$AF$10&lt;&gt;""),--ISNUMBER(SEARCH($AG$4,'Final Calculation Sheet'!$AF$10)))))</f>
        <v/>
      </c>
      <c r="EM65">
        <f>IF($AH$4="",1,IF($AH$4="(blank)",--('Final Calculation Sheet'!$AG$10=""),IF($AH$4="(nonblank)",--('Final Calculation Sheet'!$AG$10&lt;&gt;""),--ISNUMBER(SEARCH($AH$4,'Final Calculation Sheet'!$AG$10)))))</f>
        <v/>
      </c>
      <c r="EN65">
        <f>IF($AI$4="",1,IF($AI$4="(blank)",--('Final Calculation Sheet'!$AH$10=""),IF($AI$4="(nonblank)",--('Final Calculation Sheet'!$AH$10&lt;&gt;""),--ISNUMBER(SEARCH($AI$4,'Final Calculation Sheet'!$AH$10)))))</f>
        <v/>
      </c>
    </row>
    <row r="66">
      <c r="AM66">
        <f>AM65+IF(AND(Lists!$O$13&lt;&gt;"",ISNUMBER(SEARCH($B$4,Lists!$O$13))),1,0)</f>
        <v/>
      </c>
      <c r="AN66">
        <f>IF(ROW()-56&gt;MAX($AM$57:$AM$95),"",INDEX(Lists!$O$4:$O$42,MATCH(ROW()-56,$AM$57:$AM$95,0)))</f>
        <v/>
      </c>
      <c r="AO66">
        <f>AO65+IF(AND(Lists!$T$13&lt;&gt;"",ISNUMBER(SEARCH($C$4,Lists!$T$13))),1,0)</f>
        <v/>
      </c>
      <c r="AP66">
        <f>IF(ROW()-56&gt;MAX($AO$57:$AO$95),"",INDEX(Lists!$T$4:$T$42,MATCH(ROW()-56,$AO$57:$AO$95,0)))</f>
        <v/>
      </c>
      <c r="AQ66">
        <f>AQ65+IF(AND(Lists!$Y$13&lt;&gt;"",ISNUMBER(SEARCH($D$4,Lists!$Y$13))),1,0)</f>
        <v/>
      </c>
      <c r="AR66">
        <f>IF(ROW()-56&gt;MAX($AQ$57:$AQ$95),"",INDEX(Lists!$Y$4:$Y$42,MATCH(ROW()-56,$AQ$57:$AQ$95,0)))</f>
        <v/>
      </c>
      <c r="AS66">
        <f>AS65+IF(AND(Lists!$AD$13&lt;&gt;"",ISNUMBER(SEARCH($E$4,Lists!$AD$13))),1,0)</f>
        <v/>
      </c>
      <c r="AT66">
        <f>IF(ROW()-56&gt;MAX($AS$57:$AS$95),"",INDEX(Lists!$AD$4:$AD$42,MATCH(ROW()-56,$AS$57:$AS$95,0)))</f>
        <v/>
      </c>
      <c r="AU66">
        <f>AU65+IF(AND(Lists!$AI$13&lt;&gt;"",ISNUMBER(SEARCH($F$4,Lists!$AI$13))),1,0)</f>
        <v/>
      </c>
      <c r="AV66">
        <f>IF(ROW()-56&gt;MAX($AU$57:$AU$95),"",INDEX(Lists!$AI$4:$AI$42,MATCH(ROW()-56,$AU$57:$AU$95,0)))</f>
        <v/>
      </c>
      <c r="AW66">
        <f>AW65+IF(AND(Lists!$AN$13&lt;&gt;"",ISNUMBER(SEARCH($G$4,Lists!$AN$13))),1,0)</f>
        <v/>
      </c>
      <c r="AX66">
        <f>IF(ROW()-56&gt;MAX($AW$57:$AW$95),"",INDEX(Lists!$AN$4:$AN$42,MATCH(ROW()-56,$AW$57:$AW$95,0)))</f>
        <v/>
      </c>
      <c r="AY66">
        <f>AY65+IF(AND(Lists!$AS$13&lt;&gt;"",ISNUMBER(SEARCH($H$4,Lists!$AS$13))),1,0)</f>
        <v/>
      </c>
      <c r="AZ66">
        <f>IF(ROW()-56&gt;MAX($AY$57:$AY$95),"",INDEX(Lists!$AS$4:$AS$42,MATCH(ROW()-56,$AY$57:$AY$95,0)))</f>
        <v/>
      </c>
      <c r="BA66">
        <f>BA65+IF(AND(Lists!$AX$13&lt;&gt;"",ISNUMBER(SEARCH($I$4,Lists!$AX$13))),1,0)</f>
        <v/>
      </c>
      <c r="BB66">
        <f>IF(ROW()-56&gt;MAX($BA$57:$BA$95),"",INDEX(Lists!$AX$4:$AX$42,MATCH(ROW()-56,$BA$57:$BA$95,0)))</f>
        <v/>
      </c>
      <c r="BC66">
        <f>BC65+IF(AND(Lists!$BC$13&lt;&gt;"",ISNUMBER(SEARCH($J$4,Lists!$BC$13))),1,0)</f>
        <v/>
      </c>
      <c r="BD66">
        <f>IF(ROW()-56&gt;MAX($BC$57:$BC$95),"",INDEX(Lists!$BC$4:$BC$42,MATCH(ROW()-56,$BC$57:$BC$95,0)))</f>
        <v/>
      </c>
      <c r="BE66">
        <f>BE65+IF(AND(Lists!$BH$13&lt;&gt;"",ISNUMBER(SEARCH($K$4,Lists!$BH$13))),1,0)</f>
        <v/>
      </c>
      <c r="BF66">
        <f>IF(ROW()-56&gt;MAX($BE$57:$BE$95),"",INDEX(Lists!$BH$4:$BH$42,MATCH(ROW()-56,$BE$57:$BE$95,0)))</f>
        <v/>
      </c>
      <c r="BG66">
        <f>BG65+IF(AND(Lists!$BM$13&lt;&gt;"",ISNUMBER(SEARCH($L$4,Lists!$BM$13))),1,0)</f>
        <v/>
      </c>
      <c r="BH66">
        <f>IF(ROW()-56&gt;MAX($BG$57:$BG$95),"",INDEX(Lists!$BM$4:$BM$42,MATCH(ROW()-56,$BG$57:$BG$95,0)))</f>
        <v/>
      </c>
      <c r="BI66">
        <f>BI65+IF(AND(Lists!$BR$13&lt;&gt;"",ISNUMBER(SEARCH($M$4,Lists!$BR$13))),1,0)</f>
        <v/>
      </c>
      <c r="BJ66">
        <f>IF(ROW()-56&gt;MAX($BI$57:$BI$95),"",INDEX(Lists!$BR$4:$BR$42,MATCH(ROW()-56,$BI$57:$BI$95,0)))</f>
        <v/>
      </c>
      <c r="BK66">
        <f>BK65+IF(AND(Lists!$BW$13&lt;&gt;"",ISNUMBER(SEARCH($N$4,Lists!$BW$13))),1,0)</f>
        <v/>
      </c>
      <c r="BL66">
        <f>IF(ROW()-56&gt;MAX($BK$57:$BK$95),"",INDEX(Lists!$BW$4:$BW$42,MATCH(ROW()-56,$BK$57:$BK$95,0)))</f>
        <v/>
      </c>
      <c r="BM66">
        <f>BM65+IF(AND(Lists!$CB$13&lt;&gt;"",ISNUMBER(SEARCH($O$4,Lists!$CB$13))),1,0)</f>
        <v/>
      </c>
      <c r="BN66">
        <f>IF(ROW()-56&gt;MAX($BM$57:$BM$95),"",INDEX(Lists!$CB$4:$CB$42,MATCH(ROW()-56,$BM$57:$BM$95,0)))</f>
        <v/>
      </c>
      <c r="BO66">
        <f>BO65+IF(AND(Lists!$CG$13&lt;&gt;"",ISNUMBER(SEARCH($P$4,Lists!$CG$13))),1,0)</f>
        <v/>
      </c>
      <c r="BP66">
        <f>IF(ROW()-56&gt;MAX($BO$57:$BO$95),"",INDEX(Lists!$CG$4:$CG$42,MATCH(ROW()-56,$BO$57:$BO$95,0)))</f>
        <v/>
      </c>
      <c r="BQ66">
        <f>BQ65+IF(AND(Lists!$CL$13&lt;&gt;"",ISNUMBER(SEARCH($Q$4,Lists!$CL$13))),1,0)</f>
        <v/>
      </c>
      <c r="BR66">
        <f>IF(ROW()-56&gt;MAX($BQ$57:$BQ$95),"",INDEX(Lists!$CL$4:$CL$42,MATCH(ROW()-56,$BQ$57:$BQ$95,0)))</f>
        <v/>
      </c>
      <c r="BS66">
        <f>BS65+IF(AND(Lists!$CQ$13&lt;&gt;"",ISNUMBER(SEARCH($R$4,Lists!$CQ$13))),1,0)</f>
        <v/>
      </c>
      <c r="BT66">
        <f>IF(ROW()-56&gt;MAX($BS$57:$BS$95),"",INDEX(Lists!$CQ$4:$CQ$42,MATCH(ROW()-56,$BS$57:$BS$95,0)))</f>
        <v/>
      </c>
      <c r="BU66">
        <f>BU65+IF(AND(Lists!$CV$13&lt;&gt;"",ISNUMBER(SEARCH($S$4,Lists!$CV$13))),1,0)</f>
        <v/>
      </c>
      <c r="BV66">
        <f>IF(ROW()-56&gt;MAX($BU$57:$BU$95),"",INDEX(Lists!$CV$4:$CV$42,MATCH(ROW()-56,$BU$57:$BU$95,0)))</f>
        <v/>
      </c>
      <c r="BW66">
        <f>BW65+IF(AND(Lists!$DA$13&lt;&gt;"",ISNUMBER(SEARCH($T$4,Lists!$DA$13))),1,0)</f>
        <v/>
      </c>
      <c r="BX66">
        <f>IF(ROW()-56&gt;MAX($BW$57:$BW$95),"",INDEX(Lists!$DA$4:$DA$42,MATCH(ROW()-56,$BW$57:$BW$95,0)))</f>
        <v/>
      </c>
      <c r="BY66">
        <f>BY65+IF(AND(Lists!$DF$13&lt;&gt;"",ISNUMBER(SEARCH($U$4,Lists!$DF$13))),1,0)</f>
        <v/>
      </c>
      <c r="BZ66">
        <f>IF(ROW()-56&gt;MAX($BY$57:$BY$95),"",INDEX(Lists!$DF$4:$DF$42,MATCH(ROW()-56,$BY$57:$BY$95,0)))</f>
        <v/>
      </c>
      <c r="CA66">
        <f>CA65+IF(AND(Lists!$DK$13&lt;&gt;"",ISNUMBER(SEARCH($V$4,Lists!$DK$13))),1,0)</f>
        <v/>
      </c>
      <c r="CB66">
        <f>IF(ROW()-56&gt;MAX($CA$57:$CA$95),"",INDEX(Lists!$DK$4:$DK$42,MATCH(ROW()-56,$CA$57:$CA$95,0)))</f>
        <v/>
      </c>
      <c r="CC66">
        <f>CC65+IF(AND(Lists!$DP$13&lt;&gt;"",ISNUMBER(SEARCH($W$4,Lists!$DP$13))),1,0)</f>
        <v/>
      </c>
      <c r="CD66">
        <f>IF(ROW()-56&gt;MAX($CC$57:$CC$95),"",INDEX(Lists!$DP$4:$DP$42,MATCH(ROW()-56,$CC$57:$CC$95,0)))</f>
        <v/>
      </c>
      <c r="CE66">
        <f>CE65+IF(AND(Lists!$DU$13&lt;&gt;"",ISNUMBER(SEARCH($X$4,Lists!$DU$13))),1,0)</f>
        <v/>
      </c>
      <c r="CF66">
        <f>IF(ROW()-56&gt;MAX($CE$57:$CE$95),"",INDEX(Lists!$DU$4:$DU$42,MATCH(ROW()-56,$CE$57:$CE$95,0)))</f>
        <v/>
      </c>
      <c r="CG66">
        <f>CG65+IF(AND(Lists!$DZ$13&lt;&gt;"",ISNUMBER(SEARCH($Y$4,Lists!$DZ$13))),1,0)</f>
        <v/>
      </c>
      <c r="CH66">
        <f>IF(ROW()-56&gt;MAX($CG$57:$CG$95),"",INDEX(Lists!$DZ$4:$DZ$42,MATCH(ROW()-56,$CG$57:$CG$95,0)))</f>
        <v/>
      </c>
      <c r="CI66">
        <f>CI65+IF(AND(Lists!$EE$13&lt;&gt;"",ISNUMBER(SEARCH($Z$4,Lists!$EE$13))),1,0)</f>
        <v/>
      </c>
      <c r="CJ66">
        <f>IF(ROW()-56&gt;MAX($CI$57:$CI$95),"",INDEX(Lists!$EE$4:$EE$42,MATCH(ROW()-56,$CI$57:$CI$95,0)))</f>
        <v/>
      </c>
      <c r="CK66">
        <f>CK65+IF(AND(Lists!$EJ$13&lt;&gt;"",ISNUMBER(SEARCH($AA$4,Lists!$EJ$13))),1,0)</f>
        <v/>
      </c>
      <c r="CL66">
        <f>IF(ROW()-56&gt;MAX($CK$57:$CK$95),"",INDEX(Lists!$EJ$4:$EJ$42,MATCH(ROW()-56,$CK$57:$CK$95,0)))</f>
        <v/>
      </c>
      <c r="CM66">
        <f>CM65+IF(AND(Lists!$EO$13&lt;&gt;"",ISNUMBER(SEARCH($AB$4,Lists!$EO$13))),1,0)</f>
        <v/>
      </c>
      <c r="CN66">
        <f>IF(ROW()-56&gt;MAX($CM$57:$CM$95),"",INDEX(Lists!$EO$4:$EO$42,MATCH(ROW()-56,$CM$57:$CM$95,0)))</f>
        <v/>
      </c>
      <c r="CO66">
        <f>CO65+IF(AND(Lists!$ET$13&lt;&gt;"",ISNUMBER(SEARCH($AC$4,Lists!$ET$13))),1,0)</f>
        <v/>
      </c>
      <c r="CP66">
        <f>IF(ROW()-56&gt;MAX($CO$57:$CO$95),"",INDEX(Lists!$ET$4:$ET$42,MATCH(ROW()-56,$CO$57:$CO$95,0)))</f>
        <v/>
      </c>
      <c r="CQ66">
        <f>CQ65+IF(AND(Lists!$EY$13&lt;&gt;"",ISNUMBER(SEARCH($AD$4,Lists!$EY$13))),1,0)</f>
        <v/>
      </c>
      <c r="CR66">
        <f>IF(ROW()-56&gt;MAX($CQ$57:$CQ$95),"",INDEX(Lists!$EY$4:$EY$42,MATCH(ROW()-56,$CQ$57:$CQ$95,0)))</f>
        <v/>
      </c>
      <c r="CS66">
        <f>CS65+IF(AND(Lists!$FD$13&lt;&gt;"",ISNUMBER(SEARCH($AE$4,Lists!$FD$13))),1,0)</f>
        <v/>
      </c>
      <c r="CT66">
        <f>IF(ROW()-56&gt;MAX($CS$57:$CS$95),"",INDEX(Lists!$FD$4:$FD$42,MATCH(ROW()-56,$CS$57:$CS$95,0)))</f>
        <v/>
      </c>
      <c r="CU66">
        <f>CU65+IF(AND(Lists!$FI$13&lt;&gt;"",ISNUMBER(SEARCH($AG$4,Lists!$FI$13))),1,0)</f>
        <v/>
      </c>
      <c r="CV66">
        <f>IF(ROW()-56&gt;MAX($CU$57:$CU$95),"",INDEX(Lists!$FI$4:$FI$42,MATCH(ROW()-56,$CU$57:$CU$95,0)))</f>
        <v/>
      </c>
      <c r="CW66">
        <f>CW65+IF(AND(Lists!$FN$13&lt;&gt;"",ISNUMBER(SEARCH($AH$4,Lists!$FN$13))),1,0)</f>
        <v/>
      </c>
      <c r="CX66">
        <f>IF(ROW()-56&gt;MAX($CW$57:$CW$95),"",INDEX(Lists!$FN$4:$FN$42,MATCH(ROW()-56,$CW$57:$CW$95,0)))</f>
        <v/>
      </c>
      <c r="CY66">
        <f>CY65+IF(AND(Lists!$FS$13&lt;&gt;"",ISNUMBER(SEARCH($AI$4,Lists!$FS$13))),1,0)</f>
        <v/>
      </c>
      <c r="CZ66">
        <f>IF(ROW()-56&gt;MAX($CY$57:$CY$95),"",INDEX(Lists!$FS$4:$FS$42,MATCH(ROW()-56,$CY$57:$CY$95,0)))</f>
        <v/>
      </c>
      <c r="DA66">
        <f>DA65+IF(AND(Lists!$FX$13&lt;&gt;"",ISNUMBER(SEARCH($AF$4,Lists!$FX$13))),1,0)</f>
        <v/>
      </c>
      <c r="DB66">
        <f>IF(ROW()-56&gt;MAX($DA$57:$DA$95),"",INDEX(Lists!$FX$4:$FX$42,MATCH(ROW()-56,$DA$57:$DA$95,0)))</f>
        <v/>
      </c>
      <c r="DG66">
        <f>IF($B$4="",1,IF($B$4="(blank)",--('Final Calculation Sheet'!$F$11=""),IF($B$4="(nonblank)",--('Final Calculation Sheet'!$F$11&lt;&gt;""),--ISNUMBER(SEARCH($B$4,'Final Calculation Sheet'!$F$11)))))</f>
        <v/>
      </c>
      <c r="DH66">
        <f>IF($C$4="",1,IF($C$4="(blank)",--('Final Calculation Sheet'!$G$11=""),IF($C$4="(nonblank)",--('Final Calculation Sheet'!$G$11&lt;&gt;""),--ISNUMBER(SEARCH($C$4,'Final Calculation Sheet'!$G$11)))))</f>
        <v/>
      </c>
      <c r="DI66">
        <f>IF($D$4="",1,IF($D$4="(blank)",--('Final Calculation Sheet'!$B$11=""),IF($D$4="(nonblank)",--('Final Calculation Sheet'!$B$11&lt;&gt;""),--ISNUMBER(SEARCH($D$4,'Final Calculation Sheet'!$B$11)))))</f>
        <v/>
      </c>
      <c r="DJ66">
        <f>IF($E$4="",1,IF($E$4="(blank)",--('Final Calculation Sheet'!$D$11=""),IF($E$4="(nonblank)",--('Final Calculation Sheet'!$D$11&lt;&gt;""),--ISNUMBER(SEARCH($E$4,'Final Calculation Sheet'!$D$11)))))</f>
        <v/>
      </c>
      <c r="DK66">
        <f>IF($F$4="",1,IF($F$4="(blank)",--('Final Calculation Sheet'!$A$11=""),IF($F$4="(nonblank)",--('Final Calculation Sheet'!$A$11&lt;&gt;""),--ISNUMBER(SEARCH($F$4,'Final Calculation Sheet'!$A$11)))))</f>
        <v/>
      </c>
      <c r="DL66">
        <f>IF($G$4="",1,IF($G$4="(blank)",--('Final Calculation Sheet'!$E$11=""),IF($G$4="(nonblank)",--('Final Calculation Sheet'!$E$11&lt;&gt;""),--ISNUMBER(SEARCH($G$4,'Final Calculation Sheet'!$E$11)))))</f>
        <v/>
      </c>
      <c r="DM66">
        <f>IF($H$4="",1,IF($H$4="(blank)",--('Final Calculation Sheet'!$C$11=""),IF($H$4="(nonblank)",--('Final Calculation Sheet'!$C$11&lt;&gt;""),--ISNUMBER(SEARCH($H$4,'Final Calculation Sheet'!$C$11)))))</f>
        <v/>
      </c>
      <c r="DN66">
        <f>IF($I$4="",1,IF($I$4="(blank)",--('Final Calculation Sheet'!$H$11=""),IF($I$4="(nonblank)",--('Final Calculation Sheet'!$H$11&lt;&gt;""),--ISNUMBER(SEARCH($I$4,'Final Calculation Sheet'!$H$11)))))</f>
        <v/>
      </c>
      <c r="DO66">
        <f>IF($J$4="",1,IF($J$4="(blank)",--('Final Calculation Sheet'!$I$11=""),IF($J$4="(nonblank)",--('Final Calculation Sheet'!$I$11&lt;&gt;""),--ISNUMBER(SEARCH($J$4,'Final Calculation Sheet'!$I$11)))))</f>
        <v/>
      </c>
      <c r="DP66">
        <f>IF($K$4="",1,IF($K$4="(blank)",--('Final Calculation Sheet'!$J$11=""),IF($K$4="(nonblank)",--('Final Calculation Sheet'!$J$11&lt;&gt;""),--ISNUMBER(SEARCH($K$4,'Final Calculation Sheet'!$J$11)))))</f>
        <v/>
      </c>
      <c r="DQ66">
        <f>IF($L$4="",1,IF($L$4="(blank)",--('Final Calculation Sheet'!$K$11=""),IF($L$4="(nonblank)",--('Final Calculation Sheet'!$K$11&lt;&gt;""),--ISNUMBER(SEARCH($L$4,'Final Calculation Sheet'!$K$11)))))</f>
        <v/>
      </c>
      <c r="DR66">
        <f>IF($M$4="",1,IF($M$4="(blank)",--('Final Calculation Sheet'!$L$11=""),IF($M$4="(nonblank)",--('Final Calculation Sheet'!$L$11&lt;&gt;""),--ISNUMBER(SEARCH($M$4,'Final Calculation Sheet'!$L$11)))))</f>
        <v/>
      </c>
      <c r="DS66">
        <f>IF($N$4="",1,IF($N$4="(blank)",--('Final Calculation Sheet'!$M$11=""),IF($N$4="(nonblank)",--('Final Calculation Sheet'!$M$11&lt;&gt;""),--ISNUMBER(SEARCH($N$4,'Final Calculation Sheet'!$M$11)))))</f>
        <v/>
      </c>
      <c r="DT66">
        <f>IF($O$4="",1,IF($O$4="(blank)",--('Final Calculation Sheet'!$N$11=""),IF($O$4="(nonblank)",--('Final Calculation Sheet'!$N$11&lt;&gt;""),--ISNUMBER(SEARCH($O$4,'Final Calculation Sheet'!$N$11)))))</f>
        <v/>
      </c>
      <c r="DU66">
        <f>IF($P$4="",1,IF($P$4="(blank)",--('Final Calculation Sheet'!$O$11=""),IF($P$4="(nonblank)",--('Final Calculation Sheet'!$O$11&lt;&gt;""),--ISNUMBER(SEARCH($P$4,'Final Calculation Sheet'!$O$11)))))</f>
        <v/>
      </c>
      <c r="DV66">
        <f>IF($Q$4="",1,IF($Q$4="(blank)",--('Final Calculation Sheet'!$P$11=""),IF($Q$4="(nonblank)",--('Final Calculation Sheet'!$P$11&lt;&gt;""),--ISNUMBER(SEARCH($Q$4,'Final Calculation Sheet'!$P$11)))))</f>
        <v/>
      </c>
      <c r="DW66">
        <f>IF($R$4="",1,IF($R$4="(blank)",--('Final Calculation Sheet'!$Q$11=""),IF($R$4="(nonblank)",--('Final Calculation Sheet'!$Q$11&lt;&gt;""),--ISNUMBER(SEARCH($R$4,'Final Calculation Sheet'!$Q$11)))))</f>
        <v/>
      </c>
      <c r="DX66">
        <f>IF($S$4="",1,IF($S$4="(blank)",--('Final Calculation Sheet'!$R$11=""),IF($S$4="(nonblank)",--('Final Calculation Sheet'!$R$11&lt;&gt;""),--ISNUMBER(SEARCH($S$4,'Final Calculation Sheet'!$R$11)))))</f>
        <v/>
      </c>
      <c r="DY66">
        <f>IF($T$4="",1,IF($T$4="(blank)",--('Final Calculation Sheet'!$S$11=""),IF($T$4="(nonblank)",--('Final Calculation Sheet'!$S$11&lt;&gt;""),--ISNUMBER(SEARCH($T$4,'Final Calculation Sheet'!$S$11)))))</f>
        <v/>
      </c>
      <c r="DZ66">
        <f>IF($U$4="",1,IF($U$4="(blank)",--('Final Calculation Sheet'!$T$11=""),IF($U$4="(nonblank)",--('Final Calculation Sheet'!$T$11&lt;&gt;""),--ISNUMBER(SEARCH($U$4,'Final Calculation Sheet'!$T$11)))))</f>
        <v/>
      </c>
      <c r="EA66">
        <f>IF($V$4="",1,IF($V$4="(blank)",--('Final Calculation Sheet'!$U$11=""),IF($V$4="(nonblank)",--('Final Calculation Sheet'!$U$11&lt;&gt;""),--ISNUMBER(SEARCH($V$4,'Final Calculation Sheet'!$U$11)))))</f>
        <v/>
      </c>
      <c r="EB66">
        <f>IF($W$4="",1,IF($W$4="(blank)",--('Final Calculation Sheet'!$V$11=""),IF($W$4="(nonblank)",--('Final Calculation Sheet'!$V$11&lt;&gt;""),--ISNUMBER(SEARCH($W$4,'Final Calculation Sheet'!$V$11)))))</f>
        <v/>
      </c>
      <c r="EC66">
        <f>IF($X$4="",1,IF($X$4="(blank)",--('Final Calculation Sheet'!$W$11=""),IF($X$4="(nonblank)",--('Final Calculation Sheet'!$W$11&lt;&gt;""),--ISNUMBER(SEARCH($X$4,'Final Calculation Sheet'!$W$11)))))</f>
        <v/>
      </c>
      <c r="ED66">
        <f>IF($Y$4="",1,IF($Y$4="(blank)",--('Final Calculation Sheet'!$X$11=""),IF($Y$4="(nonblank)",--('Final Calculation Sheet'!$X$11&lt;&gt;""),--ISNUMBER(SEARCH($Y$4,'Final Calculation Sheet'!$X$11)))))</f>
        <v/>
      </c>
      <c r="EE66">
        <f>IF($Z$4="",1,IF($Z$4="(blank)",--('Final Calculation Sheet'!$Y$11=""),IF($Z$4="(nonblank)",--('Final Calculation Sheet'!$Y$11&lt;&gt;""),--ISNUMBER(SEARCH($Z$4,'Final Calculation Sheet'!$Y$11)))))</f>
        <v/>
      </c>
      <c r="EF66">
        <f>IF($AA$4="",1,IF($AA$4="(blank)",--('Final Calculation Sheet'!$Z$11=""),IF($AA$4="(nonblank)",--('Final Calculation Sheet'!$Z$11&lt;&gt;""),--ISNUMBER(SEARCH($AA$4,'Final Calculation Sheet'!$Z$11)))))</f>
        <v/>
      </c>
      <c r="EG66">
        <f>IF($AB$4="",1,IF($AB$4="(blank)",--('Final Calculation Sheet'!$AA$11=""),IF($AB$4="(nonblank)",--('Final Calculation Sheet'!$AA$11&lt;&gt;""),--ISNUMBER(SEARCH($AB$4,'Final Calculation Sheet'!$AA$11)))))</f>
        <v/>
      </c>
      <c r="EH66">
        <f>IF($AC$4="",1,IF($AC$4="(blank)",--('Final Calculation Sheet'!$AB$11=""),IF($AC$4="(nonblank)",--('Final Calculation Sheet'!$AB$11&lt;&gt;""),--ISNUMBER(SEARCH($AC$4,'Final Calculation Sheet'!$AB$11)))))</f>
        <v/>
      </c>
      <c r="EI66">
        <f>IF($AD$4="",1,IF($AD$4="(blank)",--('Final Calculation Sheet'!$AC$11=""),IF($AD$4="(nonblank)",--('Final Calculation Sheet'!$AC$11&lt;&gt;""),--ISNUMBER(SEARCH($AD$4,'Final Calculation Sheet'!$AC$11)))))</f>
        <v/>
      </c>
      <c r="EJ66">
        <f>IF($AE$4="",1,IF($AE$4="(blank)",--('Final Calculation Sheet'!$AD$11=""),IF($AE$4="(nonblank)",--('Final Calculation Sheet'!$AD$11&lt;&gt;""),--ISNUMBER(SEARCH($AE$4,'Final Calculation Sheet'!$AD$11)))))</f>
        <v/>
      </c>
      <c r="EK66">
        <f>IF($AF$4="",1,IF($AF$4="(blank)",--(IF('Final Calculation Sheet'!$AD$11&lt;=5,"SETTLED","OUTSTANDING")=""),IF($AF$4="(nonblank)",--(IF('Final Calculation Sheet'!$AD$11&lt;=5,"SETTLED","OUTSTANDING")&lt;&gt;""),--ISNUMBER(SEARCH($AF$4,IF('Final Calculation Sheet'!$AD$11&lt;=5,"SETTLED","OUTSTANDING"))))))</f>
        <v/>
      </c>
      <c r="EL66">
        <f>IF($AG$4="",1,IF($AG$4="(blank)",--('Final Calculation Sheet'!$AF$11=""),IF($AG$4="(nonblank)",--('Final Calculation Sheet'!$AF$11&lt;&gt;""),--ISNUMBER(SEARCH($AG$4,'Final Calculation Sheet'!$AF$11)))))</f>
        <v/>
      </c>
      <c r="EM66">
        <f>IF($AH$4="",1,IF($AH$4="(blank)",--('Final Calculation Sheet'!$AG$11=""),IF($AH$4="(nonblank)",--('Final Calculation Sheet'!$AG$11&lt;&gt;""),--ISNUMBER(SEARCH($AH$4,'Final Calculation Sheet'!$AG$11)))))</f>
        <v/>
      </c>
      <c r="EN66">
        <f>IF($AI$4="",1,IF($AI$4="(blank)",--('Final Calculation Sheet'!$AH$11=""),IF($AI$4="(nonblank)",--('Final Calculation Sheet'!$AH$11&lt;&gt;""),--ISNUMBER(SEARCH($AI$4,'Final Calculation Sheet'!$AH$11)))))</f>
        <v/>
      </c>
    </row>
    <row r="67">
      <c r="AM67">
        <f>AM66+IF(AND(Lists!$O$14&lt;&gt;"",ISNUMBER(SEARCH($B$4,Lists!$O$14))),1,0)</f>
        <v/>
      </c>
      <c r="AN67">
        <f>IF(ROW()-56&gt;MAX($AM$57:$AM$95),"",INDEX(Lists!$O$4:$O$42,MATCH(ROW()-56,$AM$57:$AM$95,0)))</f>
        <v/>
      </c>
      <c r="AO67">
        <f>AO66+IF(AND(Lists!$T$14&lt;&gt;"",ISNUMBER(SEARCH($C$4,Lists!$T$14))),1,0)</f>
        <v/>
      </c>
      <c r="AP67">
        <f>IF(ROW()-56&gt;MAX($AO$57:$AO$95),"",INDEX(Lists!$T$4:$T$42,MATCH(ROW()-56,$AO$57:$AO$95,0)))</f>
        <v/>
      </c>
      <c r="AQ67">
        <f>AQ66+IF(AND(Lists!$Y$14&lt;&gt;"",ISNUMBER(SEARCH($D$4,Lists!$Y$14))),1,0)</f>
        <v/>
      </c>
      <c r="AR67">
        <f>IF(ROW()-56&gt;MAX($AQ$57:$AQ$95),"",INDEX(Lists!$Y$4:$Y$42,MATCH(ROW()-56,$AQ$57:$AQ$95,0)))</f>
        <v/>
      </c>
      <c r="AS67">
        <f>AS66+IF(AND(Lists!$AD$14&lt;&gt;"",ISNUMBER(SEARCH($E$4,Lists!$AD$14))),1,0)</f>
        <v/>
      </c>
      <c r="AT67">
        <f>IF(ROW()-56&gt;MAX($AS$57:$AS$95),"",INDEX(Lists!$AD$4:$AD$42,MATCH(ROW()-56,$AS$57:$AS$95,0)))</f>
        <v/>
      </c>
      <c r="AU67">
        <f>AU66+IF(AND(Lists!$AI$14&lt;&gt;"",ISNUMBER(SEARCH($F$4,Lists!$AI$14))),1,0)</f>
        <v/>
      </c>
      <c r="AV67">
        <f>IF(ROW()-56&gt;MAX($AU$57:$AU$95),"",INDEX(Lists!$AI$4:$AI$42,MATCH(ROW()-56,$AU$57:$AU$95,0)))</f>
        <v/>
      </c>
      <c r="AW67">
        <f>AW66+IF(AND(Lists!$AN$14&lt;&gt;"",ISNUMBER(SEARCH($G$4,Lists!$AN$14))),1,0)</f>
        <v/>
      </c>
      <c r="AX67">
        <f>IF(ROW()-56&gt;MAX($AW$57:$AW$95),"",INDEX(Lists!$AN$4:$AN$42,MATCH(ROW()-56,$AW$57:$AW$95,0)))</f>
        <v/>
      </c>
      <c r="AY67">
        <f>AY66+IF(AND(Lists!$AS$14&lt;&gt;"",ISNUMBER(SEARCH($H$4,Lists!$AS$14))),1,0)</f>
        <v/>
      </c>
      <c r="AZ67">
        <f>IF(ROW()-56&gt;MAX($AY$57:$AY$95),"",INDEX(Lists!$AS$4:$AS$42,MATCH(ROW()-56,$AY$57:$AY$95,0)))</f>
        <v/>
      </c>
      <c r="BA67">
        <f>BA66+IF(AND(Lists!$AX$14&lt;&gt;"",ISNUMBER(SEARCH($I$4,Lists!$AX$14))),1,0)</f>
        <v/>
      </c>
      <c r="BB67">
        <f>IF(ROW()-56&gt;MAX($BA$57:$BA$95),"",INDEX(Lists!$AX$4:$AX$42,MATCH(ROW()-56,$BA$57:$BA$95,0)))</f>
        <v/>
      </c>
      <c r="BC67">
        <f>BC66+IF(AND(Lists!$BC$14&lt;&gt;"",ISNUMBER(SEARCH($J$4,Lists!$BC$14))),1,0)</f>
        <v/>
      </c>
      <c r="BD67">
        <f>IF(ROW()-56&gt;MAX($BC$57:$BC$95),"",INDEX(Lists!$BC$4:$BC$42,MATCH(ROW()-56,$BC$57:$BC$95,0)))</f>
        <v/>
      </c>
      <c r="BE67">
        <f>BE66+IF(AND(Lists!$BH$14&lt;&gt;"",ISNUMBER(SEARCH($K$4,Lists!$BH$14))),1,0)</f>
        <v/>
      </c>
      <c r="BF67">
        <f>IF(ROW()-56&gt;MAX($BE$57:$BE$95),"",INDEX(Lists!$BH$4:$BH$42,MATCH(ROW()-56,$BE$57:$BE$95,0)))</f>
        <v/>
      </c>
      <c r="BG67">
        <f>BG66+IF(AND(Lists!$BM$14&lt;&gt;"",ISNUMBER(SEARCH($L$4,Lists!$BM$14))),1,0)</f>
        <v/>
      </c>
      <c r="BH67">
        <f>IF(ROW()-56&gt;MAX($BG$57:$BG$95),"",INDEX(Lists!$BM$4:$BM$42,MATCH(ROW()-56,$BG$57:$BG$95,0)))</f>
        <v/>
      </c>
      <c r="BI67">
        <f>BI66+IF(AND(Lists!$BR$14&lt;&gt;"",ISNUMBER(SEARCH($M$4,Lists!$BR$14))),1,0)</f>
        <v/>
      </c>
      <c r="BJ67">
        <f>IF(ROW()-56&gt;MAX($BI$57:$BI$95),"",INDEX(Lists!$BR$4:$BR$42,MATCH(ROW()-56,$BI$57:$BI$95,0)))</f>
        <v/>
      </c>
      <c r="BK67">
        <f>BK66+IF(AND(Lists!$BW$14&lt;&gt;"",ISNUMBER(SEARCH($N$4,Lists!$BW$14))),1,0)</f>
        <v/>
      </c>
      <c r="BL67">
        <f>IF(ROW()-56&gt;MAX($BK$57:$BK$95),"",INDEX(Lists!$BW$4:$BW$42,MATCH(ROW()-56,$BK$57:$BK$95,0)))</f>
        <v/>
      </c>
      <c r="BM67">
        <f>BM66+IF(AND(Lists!$CB$14&lt;&gt;"",ISNUMBER(SEARCH($O$4,Lists!$CB$14))),1,0)</f>
        <v/>
      </c>
      <c r="BN67">
        <f>IF(ROW()-56&gt;MAX($BM$57:$BM$95),"",INDEX(Lists!$CB$4:$CB$42,MATCH(ROW()-56,$BM$57:$BM$95,0)))</f>
        <v/>
      </c>
      <c r="BO67">
        <f>BO66+IF(AND(Lists!$CG$14&lt;&gt;"",ISNUMBER(SEARCH($P$4,Lists!$CG$14))),1,0)</f>
        <v/>
      </c>
      <c r="BP67">
        <f>IF(ROW()-56&gt;MAX($BO$57:$BO$95),"",INDEX(Lists!$CG$4:$CG$42,MATCH(ROW()-56,$BO$57:$BO$95,0)))</f>
        <v/>
      </c>
      <c r="BQ67">
        <f>BQ66+IF(AND(Lists!$CL$14&lt;&gt;"",ISNUMBER(SEARCH($Q$4,Lists!$CL$14))),1,0)</f>
        <v/>
      </c>
      <c r="BR67">
        <f>IF(ROW()-56&gt;MAX($BQ$57:$BQ$95),"",INDEX(Lists!$CL$4:$CL$42,MATCH(ROW()-56,$BQ$57:$BQ$95,0)))</f>
        <v/>
      </c>
      <c r="BS67">
        <f>BS66+IF(AND(Lists!$CQ$14&lt;&gt;"",ISNUMBER(SEARCH($R$4,Lists!$CQ$14))),1,0)</f>
        <v/>
      </c>
      <c r="BT67">
        <f>IF(ROW()-56&gt;MAX($BS$57:$BS$95),"",INDEX(Lists!$CQ$4:$CQ$42,MATCH(ROW()-56,$BS$57:$BS$95,0)))</f>
        <v/>
      </c>
      <c r="BU67">
        <f>BU66+IF(AND(Lists!$CV$14&lt;&gt;"",ISNUMBER(SEARCH($S$4,Lists!$CV$14))),1,0)</f>
        <v/>
      </c>
      <c r="BV67">
        <f>IF(ROW()-56&gt;MAX($BU$57:$BU$95),"",INDEX(Lists!$CV$4:$CV$42,MATCH(ROW()-56,$BU$57:$BU$95,0)))</f>
        <v/>
      </c>
      <c r="BW67">
        <f>BW66+IF(AND(Lists!$DA$14&lt;&gt;"",ISNUMBER(SEARCH($T$4,Lists!$DA$14))),1,0)</f>
        <v/>
      </c>
      <c r="BX67">
        <f>IF(ROW()-56&gt;MAX($BW$57:$BW$95),"",INDEX(Lists!$DA$4:$DA$42,MATCH(ROW()-56,$BW$57:$BW$95,0)))</f>
        <v/>
      </c>
      <c r="BY67">
        <f>BY66+IF(AND(Lists!$DF$14&lt;&gt;"",ISNUMBER(SEARCH($U$4,Lists!$DF$14))),1,0)</f>
        <v/>
      </c>
      <c r="BZ67">
        <f>IF(ROW()-56&gt;MAX($BY$57:$BY$95),"",INDEX(Lists!$DF$4:$DF$42,MATCH(ROW()-56,$BY$57:$BY$95,0)))</f>
        <v/>
      </c>
      <c r="CA67">
        <f>CA66+IF(AND(Lists!$DK$14&lt;&gt;"",ISNUMBER(SEARCH($V$4,Lists!$DK$14))),1,0)</f>
        <v/>
      </c>
      <c r="CB67">
        <f>IF(ROW()-56&gt;MAX($CA$57:$CA$95),"",INDEX(Lists!$DK$4:$DK$42,MATCH(ROW()-56,$CA$57:$CA$95,0)))</f>
        <v/>
      </c>
      <c r="CC67">
        <f>CC66+IF(AND(Lists!$DP$14&lt;&gt;"",ISNUMBER(SEARCH($W$4,Lists!$DP$14))),1,0)</f>
        <v/>
      </c>
      <c r="CD67">
        <f>IF(ROW()-56&gt;MAX($CC$57:$CC$95),"",INDEX(Lists!$DP$4:$DP$42,MATCH(ROW()-56,$CC$57:$CC$95,0)))</f>
        <v/>
      </c>
      <c r="CE67">
        <f>CE66+IF(AND(Lists!$DU$14&lt;&gt;"",ISNUMBER(SEARCH($X$4,Lists!$DU$14))),1,0)</f>
        <v/>
      </c>
      <c r="CF67">
        <f>IF(ROW()-56&gt;MAX($CE$57:$CE$95),"",INDEX(Lists!$DU$4:$DU$42,MATCH(ROW()-56,$CE$57:$CE$95,0)))</f>
        <v/>
      </c>
      <c r="CG67">
        <f>CG66+IF(AND(Lists!$DZ$14&lt;&gt;"",ISNUMBER(SEARCH($Y$4,Lists!$DZ$14))),1,0)</f>
        <v/>
      </c>
      <c r="CH67">
        <f>IF(ROW()-56&gt;MAX($CG$57:$CG$95),"",INDEX(Lists!$DZ$4:$DZ$42,MATCH(ROW()-56,$CG$57:$CG$95,0)))</f>
        <v/>
      </c>
      <c r="CI67">
        <f>CI66+IF(AND(Lists!$EE$14&lt;&gt;"",ISNUMBER(SEARCH($Z$4,Lists!$EE$14))),1,0)</f>
        <v/>
      </c>
      <c r="CJ67">
        <f>IF(ROW()-56&gt;MAX($CI$57:$CI$95),"",INDEX(Lists!$EE$4:$EE$42,MATCH(ROW()-56,$CI$57:$CI$95,0)))</f>
        <v/>
      </c>
      <c r="CK67">
        <f>CK66+IF(AND(Lists!$EJ$14&lt;&gt;"",ISNUMBER(SEARCH($AA$4,Lists!$EJ$14))),1,0)</f>
        <v/>
      </c>
      <c r="CL67">
        <f>IF(ROW()-56&gt;MAX($CK$57:$CK$95),"",INDEX(Lists!$EJ$4:$EJ$42,MATCH(ROW()-56,$CK$57:$CK$95,0)))</f>
        <v/>
      </c>
      <c r="CM67">
        <f>CM66+IF(AND(Lists!$EO$14&lt;&gt;"",ISNUMBER(SEARCH($AB$4,Lists!$EO$14))),1,0)</f>
        <v/>
      </c>
      <c r="CN67">
        <f>IF(ROW()-56&gt;MAX($CM$57:$CM$95),"",INDEX(Lists!$EO$4:$EO$42,MATCH(ROW()-56,$CM$57:$CM$95,0)))</f>
        <v/>
      </c>
      <c r="CO67">
        <f>CO66+IF(AND(Lists!$ET$14&lt;&gt;"",ISNUMBER(SEARCH($AC$4,Lists!$ET$14))),1,0)</f>
        <v/>
      </c>
      <c r="CP67">
        <f>IF(ROW()-56&gt;MAX($CO$57:$CO$95),"",INDEX(Lists!$ET$4:$ET$42,MATCH(ROW()-56,$CO$57:$CO$95,0)))</f>
        <v/>
      </c>
      <c r="CQ67">
        <f>CQ66+IF(AND(Lists!$EY$14&lt;&gt;"",ISNUMBER(SEARCH($AD$4,Lists!$EY$14))),1,0)</f>
        <v/>
      </c>
      <c r="CR67">
        <f>IF(ROW()-56&gt;MAX($CQ$57:$CQ$95),"",INDEX(Lists!$EY$4:$EY$42,MATCH(ROW()-56,$CQ$57:$CQ$95,0)))</f>
        <v/>
      </c>
      <c r="CS67">
        <f>CS66+IF(AND(Lists!$FD$14&lt;&gt;"",ISNUMBER(SEARCH($AE$4,Lists!$FD$14))),1,0)</f>
        <v/>
      </c>
      <c r="CT67">
        <f>IF(ROW()-56&gt;MAX($CS$57:$CS$95),"",INDEX(Lists!$FD$4:$FD$42,MATCH(ROW()-56,$CS$57:$CS$95,0)))</f>
        <v/>
      </c>
      <c r="CU67">
        <f>CU66+IF(AND(Lists!$FI$14&lt;&gt;"",ISNUMBER(SEARCH($AG$4,Lists!$FI$14))),1,0)</f>
        <v/>
      </c>
      <c r="CV67">
        <f>IF(ROW()-56&gt;MAX($CU$57:$CU$95),"",INDEX(Lists!$FI$4:$FI$42,MATCH(ROW()-56,$CU$57:$CU$95,0)))</f>
        <v/>
      </c>
      <c r="CW67">
        <f>CW66+IF(AND(Lists!$FN$14&lt;&gt;"",ISNUMBER(SEARCH($AH$4,Lists!$FN$14))),1,0)</f>
        <v/>
      </c>
      <c r="CX67">
        <f>IF(ROW()-56&gt;MAX($CW$57:$CW$95),"",INDEX(Lists!$FN$4:$FN$42,MATCH(ROW()-56,$CW$57:$CW$95,0)))</f>
        <v/>
      </c>
      <c r="CY67">
        <f>CY66+IF(AND(Lists!$FS$14&lt;&gt;"",ISNUMBER(SEARCH($AI$4,Lists!$FS$14))),1,0)</f>
        <v/>
      </c>
      <c r="CZ67">
        <f>IF(ROW()-56&gt;MAX($CY$57:$CY$95),"",INDEX(Lists!$FS$4:$FS$42,MATCH(ROW()-56,$CY$57:$CY$95,0)))</f>
        <v/>
      </c>
      <c r="DA67">
        <f>DA66+IF(AND(Lists!$FX$14&lt;&gt;"",ISNUMBER(SEARCH($AF$4,Lists!$FX$14))),1,0)</f>
        <v/>
      </c>
      <c r="DB67">
        <f>IF(ROW()-56&gt;MAX($DA$57:$DA$95),"",INDEX(Lists!$FX$4:$FX$42,MATCH(ROW()-56,$DA$57:$DA$95,0)))</f>
        <v/>
      </c>
      <c r="DG67">
        <f>IF($B$4="",1,IF($B$4="(blank)",--('Final Calculation Sheet'!$F$12=""),IF($B$4="(nonblank)",--('Final Calculation Sheet'!$F$12&lt;&gt;""),--ISNUMBER(SEARCH($B$4,'Final Calculation Sheet'!$F$12)))))</f>
        <v/>
      </c>
      <c r="DH67">
        <f>IF($C$4="",1,IF($C$4="(blank)",--('Final Calculation Sheet'!$G$12=""),IF($C$4="(nonblank)",--('Final Calculation Sheet'!$G$12&lt;&gt;""),--ISNUMBER(SEARCH($C$4,'Final Calculation Sheet'!$G$12)))))</f>
        <v/>
      </c>
      <c r="DI67">
        <f>IF($D$4="",1,IF($D$4="(blank)",--('Final Calculation Sheet'!$B$12=""),IF($D$4="(nonblank)",--('Final Calculation Sheet'!$B$12&lt;&gt;""),--ISNUMBER(SEARCH($D$4,'Final Calculation Sheet'!$B$12)))))</f>
        <v/>
      </c>
      <c r="DJ67">
        <f>IF($E$4="",1,IF($E$4="(blank)",--('Final Calculation Sheet'!$D$12=""),IF($E$4="(nonblank)",--('Final Calculation Sheet'!$D$12&lt;&gt;""),--ISNUMBER(SEARCH($E$4,'Final Calculation Sheet'!$D$12)))))</f>
        <v/>
      </c>
      <c r="DK67">
        <f>IF($F$4="",1,IF($F$4="(blank)",--('Final Calculation Sheet'!$A$12=""),IF($F$4="(nonblank)",--('Final Calculation Sheet'!$A$12&lt;&gt;""),--ISNUMBER(SEARCH($F$4,'Final Calculation Sheet'!$A$12)))))</f>
        <v/>
      </c>
      <c r="DL67">
        <f>IF($G$4="",1,IF($G$4="(blank)",--('Final Calculation Sheet'!$E$12=""),IF($G$4="(nonblank)",--('Final Calculation Sheet'!$E$12&lt;&gt;""),--ISNUMBER(SEARCH($G$4,'Final Calculation Sheet'!$E$12)))))</f>
        <v/>
      </c>
      <c r="DM67">
        <f>IF($H$4="",1,IF($H$4="(blank)",--('Final Calculation Sheet'!$C$12=""),IF($H$4="(nonblank)",--('Final Calculation Sheet'!$C$12&lt;&gt;""),--ISNUMBER(SEARCH($H$4,'Final Calculation Sheet'!$C$12)))))</f>
        <v/>
      </c>
      <c r="DN67">
        <f>IF($I$4="",1,IF($I$4="(blank)",--('Final Calculation Sheet'!$H$12=""),IF($I$4="(nonblank)",--('Final Calculation Sheet'!$H$12&lt;&gt;""),--ISNUMBER(SEARCH($I$4,'Final Calculation Sheet'!$H$12)))))</f>
        <v/>
      </c>
      <c r="DO67">
        <f>IF($J$4="",1,IF($J$4="(blank)",--('Final Calculation Sheet'!$I$12=""),IF($J$4="(nonblank)",--('Final Calculation Sheet'!$I$12&lt;&gt;""),--ISNUMBER(SEARCH($J$4,'Final Calculation Sheet'!$I$12)))))</f>
        <v/>
      </c>
      <c r="DP67">
        <f>IF($K$4="",1,IF($K$4="(blank)",--('Final Calculation Sheet'!$J$12=""),IF($K$4="(nonblank)",--('Final Calculation Sheet'!$J$12&lt;&gt;""),--ISNUMBER(SEARCH($K$4,'Final Calculation Sheet'!$J$12)))))</f>
        <v/>
      </c>
      <c r="DQ67">
        <f>IF($L$4="",1,IF($L$4="(blank)",--('Final Calculation Sheet'!$K$12=""),IF($L$4="(nonblank)",--('Final Calculation Sheet'!$K$12&lt;&gt;""),--ISNUMBER(SEARCH($L$4,'Final Calculation Sheet'!$K$12)))))</f>
        <v/>
      </c>
      <c r="DR67">
        <f>IF($M$4="",1,IF($M$4="(blank)",--('Final Calculation Sheet'!$L$12=""),IF($M$4="(nonblank)",--('Final Calculation Sheet'!$L$12&lt;&gt;""),--ISNUMBER(SEARCH($M$4,'Final Calculation Sheet'!$L$12)))))</f>
        <v/>
      </c>
      <c r="DS67">
        <f>IF($N$4="",1,IF($N$4="(blank)",--('Final Calculation Sheet'!$M$12=""),IF($N$4="(nonblank)",--('Final Calculation Sheet'!$M$12&lt;&gt;""),--ISNUMBER(SEARCH($N$4,'Final Calculation Sheet'!$M$12)))))</f>
        <v/>
      </c>
      <c r="DT67">
        <f>IF($O$4="",1,IF($O$4="(blank)",--('Final Calculation Sheet'!$N$12=""),IF($O$4="(nonblank)",--('Final Calculation Sheet'!$N$12&lt;&gt;""),--ISNUMBER(SEARCH($O$4,'Final Calculation Sheet'!$N$12)))))</f>
        <v/>
      </c>
      <c r="DU67">
        <f>IF($P$4="",1,IF($P$4="(blank)",--('Final Calculation Sheet'!$O$12=""),IF($P$4="(nonblank)",--('Final Calculation Sheet'!$O$12&lt;&gt;""),--ISNUMBER(SEARCH($P$4,'Final Calculation Sheet'!$O$12)))))</f>
        <v/>
      </c>
      <c r="DV67">
        <f>IF($Q$4="",1,IF($Q$4="(blank)",--('Final Calculation Sheet'!$P$12=""),IF($Q$4="(nonblank)",--('Final Calculation Sheet'!$P$12&lt;&gt;""),--ISNUMBER(SEARCH($Q$4,'Final Calculation Sheet'!$P$12)))))</f>
        <v/>
      </c>
      <c r="DW67">
        <f>IF($R$4="",1,IF($R$4="(blank)",--('Final Calculation Sheet'!$Q$12=""),IF($R$4="(nonblank)",--('Final Calculation Sheet'!$Q$12&lt;&gt;""),--ISNUMBER(SEARCH($R$4,'Final Calculation Sheet'!$Q$12)))))</f>
        <v/>
      </c>
      <c r="DX67">
        <f>IF($S$4="",1,IF($S$4="(blank)",--('Final Calculation Sheet'!$R$12=""),IF($S$4="(nonblank)",--('Final Calculation Sheet'!$R$12&lt;&gt;""),--ISNUMBER(SEARCH($S$4,'Final Calculation Sheet'!$R$12)))))</f>
        <v/>
      </c>
      <c r="DY67">
        <f>IF($T$4="",1,IF($T$4="(blank)",--('Final Calculation Sheet'!$S$12=""),IF($T$4="(nonblank)",--('Final Calculation Sheet'!$S$12&lt;&gt;""),--ISNUMBER(SEARCH($T$4,'Final Calculation Sheet'!$S$12)))))</f>
        <v/>
      </c>
      <c r="DZ67">
        <f>IF($U$4="",1,IF($U$4="(blank)",--('Final Calculation Sheet'!$T$12=""),IF($U$4="(nonblank)",--('Final Calculation Sheet'!$T$12&lt;&gt;""),--ISNUMBER(SEARCH($U$4,'Final Calculation Sheet'!$T$12)))))</f>
        <v/>
      </c>
      <c r="EA67">
        <f>IF($V$4="",1,IF($V$4="(blank)",--('Final Calculation Sheet'!$U$12=""),IF($V$4="(nonblank)",--('Final Calculation Sheet'!$U$12&lt;&gt;""),--ISNUMBER(SEARCH($V$4,'Final Calculation Sheet'!$U$12)))))</f>
        <v/>
      </c>
      <c r="EB67">
        <f>IF($W$4="",1,IF($W$4="(blank)",--('Final Calculation Sheet'!$V$12=""),IF($W$4="(nonblank)",--('Final Calculation Sheet'!$V$12&lt;&gt;""),--ISNUMBER(SEARCH($W$4,'Final Calculation Sheet'!$V$12)))))</f>
        <v/>
      </c>
      <c r="EC67">
        <f>IF($X$4="",1,IF($X$4="(blank)",--('Final Calculation Sheet'!$W$12=""),IF($X$4="(nonblank)",--('Final Calculation Sheet'!$W$12&lt;&gt;""),--ISNUMBER(SEARCH($X$4,'Final Calculation Sheet'!$W$12)))))</f>
        <v/>
      </c>
      <c r="ED67">
        <f>IF($Y$4="",1,IF($Y$4="(blank)",--('Final Calculation Sheet'!$X$12=""),IF($Y$4="(nonblank)",--('Final Calculation Sheet'!$X$12&lt;&gt;""),--ISNUMBER(SEARCH($Y$4,'Final Calculation Sheet'!$X$12)))))</f>
        <v/>
      </c>
      <c r="EE67">
        <f>IF($Z$4="",1,IF($Z$4="(blank)",--('Final Calculation Sheet'!$Y$12=""),IF($Z$4="(nonblank)",--('Final Calculation Sheet'!$Y$12&lt;&gt;""),--ISNUMBER(SEARCH($Z$4,'Final Calculation Sheet'!$Y$12)))))</f>
        <v/>
      </c>
      <c r="EF67">
        <f>IF($AA$4="",1,IF($AA$4="(blank)",--('Final Calculation Sheet'!$Z$12=""),IF($AA$4="(nonblank)",--('Final Calculation Sheet'!$Z$12&lt;&gt;""),--ISNUMBER(SEARCH($AA$4,'Final Calculation Sheet'!$Z$12)))))</f>
        <v/>
      </c>
      <c r="EG67">
        <f>IF($AB$4="",1,IF($AB$4="(blank)",--('Final Calculation Sheet'!$AA$12=""),IF($AB$4="(nonblank)",--('Final Calculation Sheet'!$AA$12&lt;&gt;""),--ISNUMBER(SEARCH($AB$4,'Final Calculation Sheet'!$AA$12)))))</f>
        <v/>
      </c>
      <c r="EH67">
        <f>IF($AC$4="",1,IF($AC$4="(blank)",--('Final Calculation Sheet'!$AB$12=""),IF($AC$4="(nonblank)",--('Final Calculation Sheet'!$AB$12&lt;&gt;""),--ISNUMBER(SEARCH($AC$4,'Final Calculation Sheet'!$AB$12)))))</f>
        <v/>
      </c>
      <c r="EI67">
        <f>IF($AD$4="",1,IF($AD$4="(blank)",--('Final Calculation Sheet'!$AC$12=""),IF($AD$4="(nonblank)",--('Final Calculation Sheet'!$AC$12&lt;&gt;""),--ISNUMBER(SEARCH($AD$4,'Final Calculation Sheet'!$AC$12)))))</f>
        <v/>
      </c>
      <c r="EJ67">
        <f>IF($AE$4="",1,IF($AE$4="(blank)",--('Final Calculation Sheet'!$AD$12=""),IF($AE$4="(nonblank)",--('Final Calculation Sheet'!$AD$12&lt;&gt;""),--ISNUMBER(SEARCH($AE$4,'Final Calculation Sheet'!$AD$12)))))</f>
        <v/>
      </c>
      <c r="EK67">
        <f>IF($AF$4="",1,IF($AF$4="(blank)",--(IF('Final Calculation Sheet'!$AD$12&lt;=5,"SETTLED","OUTSTANDING")=""),IF($AF$4="(nonblank)",--(IF('Final Calculation Sheet'!$AD$12&lt;=5,"SETTLED","OUTSTANDING")&lt;&gt;""),--ISNUMBER(SEARCH($AF$4,IF('Final Calculation Sheet'!$AD$12&lt;=5,"SETTLED","OUTSTANDING"))))))</f>
        <v/>
      </c>
      <c r="EL67">
        <f>IF($AG$4="",1,IF($AG$4="(blank)",--('Final Calculation Sheet'!$AF$12=""),IF($AG$4="(nonblank)",--('Final Calculation Sheet'!$AF$12&lt;&gt;""),--ISNUMBER(SEARCH($AG$4,'Final Calculation Sheet'!$AF$12)))))</f>
        <v/>
      </c>
      <c r="EM67">
        <f>IF($AH$4="",1,IF($AH$4="(blank)",--('Final Calculation Sheet'!$AG$12=""),IF($AH$4="(nonblank)",--('Final Calculation Sheet'!$AG$12&lt;&gt;""),--ISNUMBER(SEARCH($AH$4,'Final Calculation Sheet'!$AG$12)))))</f>
        <v/>
      </c>
      <c r="EN67">
        <f>IF($AI$4="",1,IF($AI$4="(blank)",--('Final Calculation Sheet'!$AH$12=""),IF($AI$4="(nonblank)",--('Final Calculation Sheet'!$AH$12&lt;&gt;""),--ISNUMBER(SEARCH($AI$4,'Final Calculation Sheet'!$AH$12)))))</f>
        <v/>
      </c>
    </row>
    <row r="68">
      <c r="AM68">
        <f>AM67+IF(AND(Lists!$O$15&lt;&gt;"",ISNUMBER(SEARCH($B$4,Lists!$O$15))),1,0)</f>
        <v/>
      </c>
      <c r="AN68">
        <f>IF(ROW()-56&gt;MAX($AM$57:$AM$95),"",INDEX(Lists!$O$4:$O$42,MATCH(ROW()-56,$AM$57:$AM$95,0)))</f>
        <v/>
      </c>
      <c r="AO68">
        <f>AO67+IF(AND(Lists!$T$15&lt;&gt;"",ISNUMBER(SEARCH($C$4,Lists!$T$15))),1,0)</f>
        <v/>
      </c>
      <c r="AP68">
        <f>IF(ROW()-56&gt;MAX($AO$57:$AO$95),"",INDEX(Lists!$T$4:$T$42,MATCH(ROW()-56,$AO$57:$AO$95,0)))</f>
        <v/>
      </c>
      <c r="AQ68">
        <f>AQ67+IF(AND(Lists!$Y$15&lt;&gt;"",ISNUMBER(SEARCH($D$4,Lists!$Y$15))),1,0)</f>
        <v/>
      </c>
      <c r="AR68">
        <f>IF(ROW()-56&gt;MAX($AQ$57:$AQ$95),"",INDEX(Lists!$Y$4:$Y$42,MATCH(ROW()-56,$AQ$57:$AQ$95,0)))</f>
        <v/>
      </c>
      <c r="AS68">
        <f>AS67+IF(AND(Lists!$AD$15&lt;&gt;"",ISNUMBER(SEARCH($E$4,Lists!$AD$15))),1,0)</f>
        <v/>
      </c>
      <c r="AT68">
        <f>IF(ROW()-56&gt;MAX($AS$57:$AS$95),"",INDEX(Lists!$AD$4:$AD$42,MATCH(ROW()-56,$AS$57:$AS$95,0)))</f>
        <v/>
      </c>
      <c r="AU68">
        <f>AU67+IF(AND(Lists!$AI$15&lt;&gt;"",ISNUMBER(SEARCH($F$4,Lists!$AI$15))),1,0)</f>
        <v/>
      </c>
      <c r="AV68">
        <f>IF(ROW()-56&gt;MAX($AU$57:$AU$95),"",INDEX(Lists!$AI$4:$AI$42,MATCH(ROW()-56,$AU$57:$AU$95,0)))</f>
        <v/>
      </c>
      <c r="AW68">
        <f>AW67+IF(AND(Lists!$AN$15&lt;&gt;"",ISNUMBER(SEARCH($G$4,Lists!$AN$15))),1,0)</f>
        <v/>
      </c>
      <c r="AX68">
        <f>IF(ROW()-56&gt;MAX($AW$57:$AW$95),"",INDEX(Lists!$AN$4:$AN$42,MATCH(ROW()-56,$AW$57:$AW$95,0)))</f>
        <v/>
      </c>
      <c r="AY68">
        <f>AY67+IF(AND(Lists!$AS$15&lt;&gt;"",ISNUMBER(SEARCH($H$4,Lists!$AS$15))),1,0)</f>
        <v/>
      </c>
      <c r="AZ68">
        <f>IF(ROW()-56&gt;MAX($AY$57:$AY$95),"",INDEX(Lists!$AS$4:$AS$42,MATCH(ROW()-56,$AY$57:$AY$95,0)))</f>
        <v/>
      </c>
      <c r="BA68">
        <f>BA67+IF(AND(Lists!$AX$15&lt;&gt;"",ISNUMBER(SEARCH($I$4,Lists!$AX$15))),1,0)</f>
        <v/>
      </c>
      <c r="BB68">
        <f>IF(ROW()-56&gt;MAX($BA$57:$BA$95),"",INDEX(Lists!$AX$4:$AX$42,MATCH(ROW()-56,$BA$57:$BA$95,0)))</f>
        <v/>
      </c>
      <c r="BC68">
        <f>BC67+IF(AND(Lists!$BC$15&lt;&gt;"",ISNUMBER(SEARCH($J$4,Lists!$BC$15))),1,0)</f>
        <v/>
      </c>
      <c r="BD68">
        <f>IF(ROW()-56&gt;MAX($BC$57:$BC$95),"",INDEX(Lists!$BC$4:$BC$42,MATCH(ROW()-56,$BC$57:$BC$95,0)))</f>
        <v/>
      </c>
      <c r="BE68">
        <f>BE67+IF(AND(Lists!$BH$15&lt;&gt;"",ISNUMBER(SEARCH($K$4,Lists!$BH$15))),1,0)</f>
        <v/>
      </c>
      <c r="BF68">
        <f>IF(ROW()-56&gt;MAX($BE$57:$BE$95),"",INDEX(Lists!$BH$4:$BH$42,MATCH(ROW()-56,$BE$57:$BE$95,0)))</f>
        <v/>
      </c>
      <c r="BG68">
        <f>BG67+IF(AND(Lists!$BM$15&lt;&gt;"",ISNUMBER(SEARCH($L$4,Lists!$BM$15))),1,0)</f>
        <v/>
      </c>
      <c r="BH68">
        <f>IF(ROW()-56&gt;MAX($BG$57:$BG$95),"",INDEX(Lists!$BM$4:$BM$42,MATCH(ROW()-56,$BG$57:$BG$95,0)))</f>
        <v/>
      </c>
      <c r="BI68">
        <f>BI67+IF(AND(Lists!$BR$15&lt;&gt;"",ISNUMBER(SEARCH($M$4,Lists!$BR$15))),1,0)</f>
        <v/>
      </c>
      <c r="BJ68">
        <f>IF(ROW()-56&gt;MAX($BI$57:$BI$95),"",INDEX(Lists!$BR$4:$BR$42,MATCH(ROW()-56,$BI$57:$BI$95,0)))</f>
        <v/>
      </c>
      <c r="BK68">
        <f>BK67+IF(AND(Lists!$BW$15&lt;&gt;"",ISNUMBER(SEARCH($N$4,Lists!$BW$15))),1,0)</f>
        <v/>
      </c>
      <c r="BL68">
        <f>IF(ROW()-56&gt;MAX($BK$57:$BK$95),"",INDEX(Lists!$BW$4:$BW$42,MATCH(ROW()-56,$BK$57:$BK$95,0)))</f>
        <v/>
      </c>
      <c r="BM68">
        <f>BM67+IF(AND(Lists!$CB$15&lt;&gt;"",ISNUMBER(SEARCH($O$4,Lists!$CB$15))),1,0)</f>
        <v/>
      </c>
      <c r="BN68">
        <f>IF(ROW()-56&gt;MAX($BM$57:$BM$95),"",INDEX(Lists!$CB$4:$CB$42,MATCH(ROW()-56,$BM$57:$BM$95,0)))</f>
        <v/>
      </c>
      <c r="BO68">
        <f>BO67+IF(AND(Lists!$CG$15&lt;&gt;"",ISNUMBER(SEARCH($P$4,Lists!$CG$15))),1,0)</f>
        <v/>
      </c>
      <c r="BP68">
        <f>IF(ROW()-56&gt;MAX($BO$57:$BO$95),"",INDEX(Lists!$CG$4:$CG$42,MATCH(ROW()-56,$BO$57:$BO$95,0)))</f>
        <v/>
      </c>
      <c r="BQ68">
        <f>BQ67+IF(AND(Lists!$CL$15&lt;&gt;"",ISNUMBER(SEARCH($Q$4,Lists!$CL$15))),1,0)</f>
        <v/>
      </c>
      <c r="BR68">
        <f>IF(ROW()-56&gt;MAX($BQ$57:$BQ$95),"",INDEX(Lists!$CL$4:$CL$42,MATCH(ROW()-56,$BQ$57:$BQ$95,0)))</f>
        <v/>
      </c>
      <c r="BS68">
        <f>BS67+IF(AND(Lists!$CQ$15&lt;&gt;"",ISNUMBER(SEARCH($R$4,Lists!$CQ$15))),1,0)</f>
        <v/>
      </c>
      <c r="BT68">
        <f>IF(ROW()-56&gt;MAX($BS$57:$BS$95),"",INDEX(Lists!$CQ$4:$CQ$42,MATCH(ROW()-56,$BS$57:$BS$95,0)))</f>
        <v/>
      </c>
      <c r="BU68">
        <f>BU67+IF(AND(Lists!$CV$15&lt;&gt;"",ISNUMBER(SEARCH($S$4,Lists!$CV$15))),1,0)</f>
        <v/>
      </c>
      <c r="BV68">
        <f>IF(ROW()-56&gt;MAX($BU$57:$BU$95),"",INDEX(Lists!$CV$4:$CV$42,MATCH(ROW()-56,$BU$57:$BU$95,0)))</f>
        <v/>
      </c>
      <c r="BW68">
        <f>BW67+IF(AND(Lists!$DA$15&lt;&gt;"",ISNUMBER(SEARCH($T$4,Lists!$DA$15))),1,0)</f>
        <v/>
      </c>
      <c r="BX68">
        <f>IF(ROW()-56&gt;MAX($BW$57:$BW$95),"",INDEX(Lists!$DA$4:$DA$42,MATCH(ROW()-56,$BW$57:$BW$95,0)))</f>
        <v/>
      </c>
      <c r="BY68">
        <f>BY67+IF(AND(Lists!$DF$15&lt;&gt;"",ISNUMBER(SEARCH($U$4,Lists!$DF$15))),1,0)</f>
        <v/>
      </c>
      <c r="BZ68">
        <f>IF(ROW()-56&gt;MAX($BY$57:$BY$95),"",INDEX(Lists!$DF$4:$DF$42,MATCH(ROW()-56,$BY$57:$BY$95,0)))</f>
        <v/>
      </c>
      <c r="CA68">
        <f>CA67+IF(AND(Lists!$DK$15&lt;&gt;"",ISNUMBER(SEARCH($V$4,Lists!$DK$15))),1,0)</f>
        <v/>
      </c>
      <c r="CB68">
        <f>IF(ROW()-56&gt;MAX($CA$57:$CA$95),"",INDEX(Lists!$DK$4:$DK$42,MATCH(ROW()-56,$CA$57:$CA$95,0)))</f>
        <v/>
      </c>
      <c r="CC68">
        <f>CC67+IF(AND(Lists!$DP$15&lt;&gt;"",ISNUMBER(SEARCH($W$4,Lists!$DP$15))),1,0)</f>
        <v/>
      </c>
      <c r="CD68">
        <f>IF(ROW()-56&gt;MAX($CC$57:$CC$95),"",INDEX(Lists!$DP$4:$DP$42,MATCH(ROW()-56,$CC$57:$CC$95,0)))</f>
        <v/>
      </c>
      <c r="CE68">
        <f>CE67+IF(AND(Lists!$DU$15&lt;&gt;"",ISNUMBER(SEARCH($X$4,Lists!$DU$15))),1,0)</f>
        <v/>
      </c>
      <c r="CF68">
        <f>IF(ROW()-56&gt;MAX($CE$57:$CE$95),"",INDEX(Lists!$DU$4:$DU$42,MATCH(ROW()-56,$CE$57:$CE$95,0)))</f>
        <v/>
      </c>
      <c r="CG68">
        <f>CG67+IF(AND(Lists!$DZ$15&lt;&gt;"",ISNUMBER(SEARCH($Y$4,Lists!$DZ$15))),1,0)</f>
        <v/>
      </c>
      <c r="CH68">
        <f>IF(ROW()-56&gt;MAX($CG$57:$CG$95),"",INDEX(Lists!$DZ$4:$DZ$42,MATCH(ROW()-56,$CG$57:$CG$95,0)))</f>
        <v/>
      </c>
      <c r="CI68">
        <f>CI67+IF(AND(Lists!$EE$15&lt;&gt;"",ISNUMBER(SEARCH($Z$4,Lists!$EE$15))),1,0)</f>
        <v/>
      </c>
      <c r="CJ68">
        <f>IF(ROW()-56&gt;MAX($CI$57:$CI$95),"",INDEX(Lists!$EE$4:$EE$42,MATCH(ROW()-56,$CI$57:$CI$95,0)))</f>
        <v/>
      </c>
      <c r="CK68">
        <f>CK67+IF(AND(Lists!$EJ$15&lt;&gt;"",ISNUMBER(SEARCH($AA$4,Lists!$EJ$15))),1,0)</f>
        <v/>
      </c>
      <c r="CL68">
        <f>IF(ROW()-56&gt;MAX($CK$57:$CK$95),"",INDEX(Lists!$EJ$4:$EJ$42,MATCH(ROW()-56,$CK$57:$CK$95,0)))</f>
        <v/>
      </c>
      <c r="CM68">
        <f>CM67+IF(AND(Lists!$EO$15&lt;&gt;"",ISNUMBER(SEARCH($AB$4,Lists!$EO$15))),1,0)</f>
        <v/>
      </c>
      <c r="CN68">
        <f>IF(ROW()-56&gt;MAX($CM$57:$CM$95),"",INDEX(Lists!$EO$4:$EO$42,MATCH(ROW()-56,$CM$57:$CM$95,0)))</f>
        <v/>
      </c>
      <c r="CO68">
        <f>CO67+IF(AND(Lists!$ET$15&lt;&gt;"",ISNUMBER(SEARCH($AC$4,Lists!$ET$15))),1,0)</f>
        <v/>
      </c>
      <c r="CP68">
        <f>IF(ROW()-56&gt;MAX($CO$57:$CO$95),"",INDEX(Lists!$ET$4:$ET$42,MATCH(ROW()-56,$CO$57:$CO$95,0)))</f>
        <v/>
      </c>
      <c r="CQ68">
        <f>CQ67+IF(AND(Lists!$EY$15&lt;&gt;"",ISNUMBER(SEARCH($AD$4,Lists!$EY$15))),1,0)</f>
        <v/>
      </c>
      <c r="CR68">
        <f>IF(ROW()-56&gt;MAX($CQ$57:$CQ$95),"",INDEX(Lists!$EY$4:$EY$42,MATCH(ROW()-56,$CQ$57:$CQ$95,0)))</f>
        <v/>
      </c>
      <c r="CS68">
        <f>CS67+IF(AND(Lists!$FD$15&lt;&gt;"",ISNUMBER(SEARCH($AE$4,Lists!$FD$15))),1,0)</f>
        <v/>
      </c>
      <c r="CT68">
        <f>IF(ROW()-56&gt;MAX($CS$57:$CS$95),"",INDEX(Lists!$FD$4:$FD$42,MATCH(ROW()-56,$CS$57:$CS$95,0)))</f>
        <v/>
      </c>
      <c r="CU68">
        <f>CU67+IF(AND(Lists!$FI$15&lt;&gt;"",ISNUMBER(SEARCH($AG$4,Lists!$FI$15))),1,0)</f>
        <v/>
      </c>
      <c r="CV68">
        <f>IF(ROW()-56&gt;MAX($CU$57:$CU$95),"",INDEX(Lists!$FI$4:$FI$42,MATCH(ROW()-56,$CU$57:$CU$95,0)))</f>
        <v/>
      </c>
      <c r="CW68">
        <f>CW67+IF(AND(Lists!$FN$15&lt;&gt;"",ISNUMBER(SEARCH($AH$4,Lists!$FN$15))),1,0)</f>
        <v/>
      </c>
      <c r="CX68">
        <f>IF(ROW()-56&gt;MAX($CW$57:$CW$95),"",INDEX(Lists!$FN$4:$FN$42,MATCH(ROW()-56,$CW$57:$CW$95,0)))</f>
        <v/>
      </c>
      <c r="CY68">
        <f>CY67+IF(AND(Lists!$FS$15&lt;&gt;"",ISNUMBER(SEARCH($AI$4,Lists!$FS$15))),1,0)</f>
        <v/>
      </c>
      <c r="CZ68">
        <f>IF(ROW()-56&gt;MAX($CY$57:$CY$95),"",INDEX(Lists!$FS$4:$FS$42,MATCH(ROW()-56,$CY$57:$CY$95,0)))</f>
        <v/>
      </c>
      <c r="DA68">
        <f>DA67+IF(AND(Lists!$FX$15&lt;&gt;"",ISNUMBER(SEARCH($AF$4,Lists!$FX$15))),1,0)</f>
        <v/>
      </c>
      <c r="DB68">
        <f>IF(ROW()-56&gt;MAX($DA$57:$DA$95),"",INDEX(Lists!$FX$4:$FX$42,MATCH(ROW()-56,$DA$57:$DA$95,0)))</f>
        <v/>
      </c>
      <c r="DG68">
        <f>IF($B$4="",1,IF($B$4="(blank)",--('Final Calculation Sheet'!$F$13=""),IF($B$4="(nonblank)",--('Final Calculation Sheet'!$F$13&lt;&gt;""),--ISNUMBER(SEARCH($B$4,'Final Calculation Sheet'!$F$13)))))</f>
        <v/>
      </c>
      <c r="DH68">
        <f>IF($C$4="",1,IF($C$4="(blank)",--('Final Calculation Sheet'!$G$13=""),IF($C$4="(nonblank)",--('Final Calculation Sheet'!$G$13&lt;&gt;""),--ISNUMBER(SEARCH($C$4,'Final Calculation Sheet'!$G$13)))))</f>
        <v/>
      </c>
      <c r="DI68">
        <f>IF($D$4="",1,IF($D$4="(blank)",--('Final Calculation Sheet'!$B$13=""),IF($D$4="(nonblank)",--('Final Calculation Sheet'!$B$13&lt;&gt;""),--ISNUMBER(SEARCH($D$4,'Final Calculation Sheet'!$B$13)))))</f>
        <v/>
      </c>
      <c r="DJ68">
        <f>IF($E$4="",1,IF($E$4="(blank)",--('Final Calculation Sheet'!$D$13=""),IF($E$4="(nonblank)",--('Final Calculation Sheet'!$D$13&lt;&gt;""),--ISNUMBER(SEARCH($E$4,'Final Calculation Sheet'!$D$13)))))</f>
        <v/>
      </c>
      <c r="DK68">
        <f>IF($F$4="",1,IF($F$4="(blank)",--('Final Calculation Sheet'!$A$13=""),IF($F$4="(nonblank)",--('Final Calculation Sheet'!$A$13&lt;&gt;""),--ISNUMBER(SEARCH($F$4,'Final Calculation Sheet'!$A$13)))))</f>
        <v/>
      </c>
      <c r="DL68">
        <f>IF($G$4="",1,IF($G$4="(blank)",--('Final Calculation Sheet'!$E$13=""),IF($G$4="(nonblank)",--('Final Calculation Sheet'!$E$13&lt;&gt;""),--ISNUMBER(SEARCH($G$4,'Final Calculation Sheet'!$E$13)))))</f>
        <v/>
      </c>
      <c r="DM68">
        <f>IF($H$4="",1,IF($H$4="(blank)",--('Final Calculation Sheet'!$C$13=""),IF($H$4="(nonblank)",--('Final Calculation Sheet'!$C$13&lt;&gt;""),--ISNUMBER(SEARCH($H$4,'Final Calculation Sheet'!$C$13)))))</f>
        <v/>
      </c>
      <c r="DN68">
        <f>IF($I$4="",1,IF($I$4="(blank)",--('Final Calculation Sheet'!$H$13=""),IF($I$4="(nonblank)",--('Final Calculation Sheet'!$H$13&lt;&gt;""),--ISNUMBER(SEARCH($I$4,'Final Calculation Sheet'!$H$13)))))</f>
        <v/>
      </c>
      <c r="DO68">
        <f>IF($J$4="",1,IF($J$4="(blank)",--('Final Calculation Sheet'!$I$13=""),IF($J$4="(nonblank)",--('Final Calculation Sheet'!$I$13&lt;&gt;""),--ISNUMBER(SEARCH($J$4,'Final Calculation Sheet'!$I$13)))))</f>
        <v/>
      </c>
      <c r="DP68">
        <f>IF($K$4="",1,IF($K$4="(blank)",--('Final Calculation Sheet'!$J$13=""),IF($K$4="(nonblank)",--('Final Calculation Sheet'!$J$13&lt;&gt;""),--ISNUMBER(SEARCH($K$4,'Final Calculation Sheet'!$J$13)))))</f>
        <v/>
      </c>
      <c r="DQ68">
        <f>IF($L$4="",1,IF($L$4="(blank)",--('Final Calculation Sheet'!$K$13=""),IF($L$4="(nonblank)",--('Final Calculation Sheet'!$K$13&lt;&gt;""),--ISNUMBER(SEARCH($L$4,'Final Calculation Sheet'!$K$13)))))</f>
        <v/>
      </c>
      <c r="DR68">
        <f>IF($M$4="",1,IF($M$4="(blank)",--('Final Calculation Sheet'!$L$13=""),IF($M$4="(nonblank)",--('Final Calculation Sheet'!$L$13&lt;&gt;""),--ISNUMBER(SEARCH($M$4,'Final Calculation Sheet'!$L$13)))))</f>
        <v/>
      </c>
      <c r="DS68">
        <f>IF($N$4="",1,IF($N$4="(blank)",--('Final Calculation Sheet'!$M$13=""),IF($N$4="(nonblank)",--('Final Calculation Sheet'!$M$13&lt;&gt;""),--ISNUMBER(SEARCH($N$4,'Final Calculation Sheet'!$M$13)))))</f>
        <v/>
      </c>
      <c r="DT68">
        <f>IF($O$4="",1,IF($O$4="(blank)",--('Final Calculation Sheet'!$N$13=""),IF($O$4="(nonblank)",--('Final Calculation Sheet'!$N$13&lt;&gt;""),--ISNUMBER(SEARCH($O$4,'Final Calculation Sheet'!$N$13)))))</f>
        <v/>
      </c>
      <c r="DU68">
        <f>IF($P$4="",1,IF($P$4="(blank)",--('Final Calculation Sheet'!$O$13=""),IF($P$4="(nonblank)",--('Final Calculation Sheet'!$O$13&lt;&gt;""),--ISNUMBER(SEARCH($P$4,'Final Calculation Sheet'!$O$13)))))</f>
        <v/>
      </c>
      <c r="DV68">
        <f>IF($Q$4="",1,IF($Q$4="(blank)",--('Final Calculation Sheet'!$P$13=""),IF($Q$4="(nonblank)",--('Final Calculation Sheet'!$P$13&lt;&gt;""),--ISNUMBER(SEARCH($Q$4,'Final Calculation Sheet'!$P$13)))))</f>
        <v/>
      </c>
      <c r="DW68">
        <f>IF($R$4="",1,IF($R$4="(blank)",--('Final Calculation Sheet'!$Q$13=""),IF($R$4="(nonblank)",--('Final Calculation Sheet'!$Q$13&lt;&gt;""),--ISNUMBER(SEARCH($R$4,'Final Calculation Sheet'!$Q$13)))))</f>
        <v/>
      </c>
      <c r="DX68">
        <f>IF($S$4="",1,IF($S$4="(blank)",--('Final Calculation Sheet'!$R$13=""),IF($S$4="(nonblank)",--('Final Calculation Sheet'!$R$13&lt;&gt;""),--ISNUMBER(SEARCH($S$4,'Final Calculation Sheet'!$R$13)))))</f>
        <v/>
      </c>
      <c r="DY68">
        <f>IF($T$4="",1,IF($T$4="(blank)",--('Final Calculation Sheet'!$S$13=""),IF($T$4="(nonblank)",--('Final Calculation Sheet'!$S$13&lt;&gt;""),--ISNUMBER(SEARCH($T$4,'Final Calculation Sheet'!$S$13)))))</f>
        <v/>
      </c>
      <c r="DZ68">
        <f>IF($U$4="",1,IF($U$4="(blank)",--('Final Calculation Sheet'!$T$13=""),IF($U$4="(nonblank)",--('Final Calculation Sheet'!$T$13&lt;&gt;""),--ISNUMBER(SEARCH($U$4,'Final Calculation Sheet'!$T$13)))))</f>
        <v/>
      </c>
      <c r="EA68">
        <f>IF($V$4="",1,IF($V$4="(blank)",--('Final Calculation Sheet'!$U$13=""),IF($V$4="(nonblank)",--('Final Calculation Sheet'!$U$13&lt;&gt;""),--ISNUMBER(SEARCH($V$4,'Final Calculation Sheet'!$U$13)))))</f>
        <v/>
      </c>
      <c r="EB68">
        <f>IF($W$4="",1,IF($W$4="(blank)",--('Final Calculation Sheet'!$V$13=""),IF($W$4="(nonblank)",--('Final Calculation Sheet'!$V$13&lt;&gt;""),--ISNUMBER(SEARCH($W$4,'Final Calculation Sheet'!$V$13)))))</f>
        <v/>
      </c>
      <c r="EC68">
        <f>IF($X$4="",1,IF($X$4="(blank)",--('Final Calculation Sheet'!$W$13=""),IF($X$4="(nonblank)",--('Final Calculation Sheet'!$W$13&lt;&gt;""),--ISNUMBER(SEARCH($X$4,'Final Calculation Sheet'!$W$13)))))</f>
        <v/>
      </c>
      <c r="ED68">
        <f>IF($Y$4="",1,IF($Y$4="(blank)",--('Final Calculation Sheet'!$X$13=""),IF($Y$4="(nonblank)",--('Final Calculation Sheet'!$X$13&lt;&gt;""),--ISNUMBER(SEARCH($Y$4,'Final Calculation Sheet'!$X$13)))))</f>
        <v/>
      </c>
      <c r="EE68">
        <f>IF($Z$4="",1,IF($Z$4="(blank)",--('Final Calculation Sheet'!$Y$13=""),IF($Z$4="(nonblank)",--('Final Calculation Sheet'!$Y$13&lt;&gt;""),--ISNUMBER(SEARCH($Z$4,'Final Calculation Sheet'!$Y$13)))))</f>
        <v/>
      </c>
      <c r="EF68">
        <f>IF($AA$4="",1,IF($AA$4="(blank)",--('Final Calculation Sheet'!$Z$13=""),IF($AA$4="(nonblank)",--('Final Calculation Sheet'!$Z$13&lt;&gt;""),--ISNUMBER(SEARCH($AA$4,'Final Calculation Sheet'!$Z$13)))))</f>
        <v/>
      </c>
      <c r="EG68">
        <f>IF($AB$4="",1,IF($AB$4="(blank)",--('Final Calculation Sheet'!$AA$13=""),IF($AB$4="(nonblank)",--('Final Calculation Sheet'!$AA$13&lt;&gt;""),--ISNUMBER(SEARCH($AB$4,'Final Calculation Sheet'!$AA$13)))))</f>
        <v/>
      </c>
      <c r="EH68">
        <f>IF($AC$4="",1,IF($AC$4="(blank)",--('Final Calculation Sheet'!$AB$13=""),IF($AC$4="(nonblank)",--('Final Calculation Sheet'!$AB$13&lt;&gt;""),--ISNUMBER(SEARCH($AC$4,'Final Calculation Sheet'!$AB$13)))))</f>
        <v/>
      </c>
      <c r="EI68">
        <f>IF($AD$4="",1,IF($AD$4="(blank)",--('Final Calculation Sheet'!$AC$13=""),IF($AD$4="(nonblank)",--('Final Calculation Sheet'!$AC$13&lt;&gt;""),--ISNUMBER(SEARCH($AD$4,'Final Calculation Sheet'!$AC$13)))))</f>
        <v/>
      </c>
      <c r="EJ68">
        <f>IF($AE$4="",1,IF($AE$4="(blank)",--('Final Calculation Sheet'!$AD$13=""),IF($AE$4="(nonblank)",--('Final Calculation Sheet'!$AD$13&lt;&gt;""),--ISNUMBER(SEARCH($AE$4,'Final Calculation Sheet'!$AD$13)))))</f>
        <v/>
      </c>
      <c r="EK68">
        <f>IF($AF$4="",1,IF($AF$4="(blank)",--(IF('Final Calculation Sheet'!$AD$13&lt;=5,"SETTLED","OUTSTANDING")=""),IF($AF$4="(nonblank)",--(IF('Final Calculation Sheet'!$AD$13&lt;=5,"SETTLED","OUTSTANDING")&lt;&gt;""),--ISNUMBER(SEARCH($AF$4,IF('Final Calculation Sheet'!$AD$13&lt;=5,"SETTLED","OUTSTANDING"))))))</f>
        <v/>
      </c>
      <c r="EL68">
        <f>IF($AG$4="",1,IF($AG$4="(blank)",--('Final Calculation Sheet'!$AF$13=""),IF($AG$4="(nonblank)",--('Final Calculation Sheet'!$AF$13&lt;&gt;""),--ISNUMBER(SEARCH($AG$4,'Final Calculation Sheet'!$AF$13)))))</f>
        <v/>
      </c>
      <c r="EM68">
        <f>IF($AH$4="",1,IF($AH$4="(blank)",--('Final Calculation Sheet'!$AG$13=""),IF($AH$4="(nonblank)",--('Final Calculation Sheet'!$AG$13&lt;&gt;""),--ISNUMBER(SEARCH($AH$4,'Final Calculation Sheet'!$AG$13)))))</f>
        <v/>
      </c>
      <c r="EN68">
        <f>IF($AI$4="",1,IF($AI$4="(blank)",--('Final Calculation Sheet'!$AH$13=""),IF($AI$4="(nonblank)",--('Final Calculation Sheet'!$AH$13&lt;&gt;""),--ISNUMBER(SEARCH($AI$4,'Final Calculation Sheet'!$AH$13)))))</f>
        <v/>
      </c>
    </row>
    <row r="69">
      <c r="AM69">
        <f>AM68+IF(AND(Lists!$O$16&lt;&gt;"",ISNUMBER(SEARCH($B$4,Lists!$O$16))),1,0)</f>
        <v/>
      </c>
      <c r="AN69">
        <f>IF(ROW()-56&gt;MAX($AM$57:$AM$95),"",INDEX(Lists!$O$4:$O$42,MATCH(ROW()-56,$AM$57:$AM$95,0)))</f>
        <v/>
      </c>
      <c r="AO69">
        <f>AO68+IF(AND(Lists!$T$16&lt;&gt;"",ISNUMBER(SEARCH($C$4,Lists!$T$16))),1,0)</f>
        <v/>
      </c>
      <c r="AP69">
        <f>IF(ROW()-56&gt;MAX($AO$57:$AO$95),"",INDEX(Lists!$T$4:$T$42,MATCH(ROW()-56,$AO$57:$AO$95,0)))</f>
        <v/>
      </c>
      <c r="AQ69">
        <f>AQ68+IF(AND(Lists!$Y$16&lt;&gt;"",ISNUMBER(SEARCH($D$4,Lists!$Y$16))),1,0)</f>
        <v/>
      </c>
      <c r="AR69">
        <f>IF(ROW()-56&gt;MAX($AQ$57:$AQ$95),"",INDEX(Lists!$Y$4:$Y$42,MATCH(ROW()-56,$AQ$57:$AQ$95,0)))</f>
        <v/>
      </c>
      <c r="AS69">
        <f>AS68+IF(AND(Lists!$AD$16&lt;&gt;"",ISNUMBER(SEARCH($E$4,Lists!$AD$16))),1,0)</f>
        <v/>
      </c>
      <c r="AT69">
        <f>IF(ROW()-56&gt;MAX($AS$57:$AS$95),"",INDEX(Lists!$AD$4:$AD$42,MATCH(ROW()-56,$AS$57:$AS$95,0)))</f>
        <v/>
      </c>
      <c r="AU69">
        <f>AU68+IF(AND(Lists!$AI$16&lt;&gt;"",ISNUMBER(SEARCH($F$4,Lists!$AI$16))),1,0)</f>
        <v/>
      </c>
      <c r="AV69">
        <f>IF(ROW()-56&gt;MAX($AU$57:$AU$95),"",INDEX(Lists!$AI$4:$AI$42,MATCH(ROW()-56,$AU$57:$AU$95,0)))</f>
        <v/>
      </c>
      <c r="AW69">
        <f>AW68+IF(AND(Lists!$AN$16&lt;&gt;"",ISNUMBER(SEARCH($G$4,Lists!$AN$16))),1,0)</f>
        <v/>
      </c>
      <c r="AX69">
        <f>IF(ROW()-56&gt;MAX($AW$57:$AW$95),"",INDEX(Lists!$AN$4:$AN$42,MATCH(ROW()-56,$AW$57:$AW$95,0)))</f>
        <v/>
      </c>
      <c r="AY69">
        <f>AY68+IF(AND(Lists!$AS$16&lt;&gt;"",ISNUMBER(SEARCH($H$4,Lists!$AS$16))),1,0)</f>
        <v/>
      </c>
      <c r="AZ69">
        <f>IF(ROW()-56&gt;MAX($AY$57:$AY$95),"",INDEX(Lists!$AS$4:$AS$42,MATCH(ROW()-56,$AY$57:$AY$95,0)))</f>
        <v/>
      </c>
      <c r="BA69">
        <f>BA68+IF(AND(Lists!$AX$16&lt;&gt;"",ISNUMBER(SEARCH($I$4,Lists!$AX$16))),1,0)</f>
        <v/>
      </c>
      <c r="BB69">
        <f>IF(ROW()-56&gt;MAX($BA$57:$BA$95),"",INDEX(Lists!$AX$4:$AX$42,MATCH(ROW()-56,$BA$57:$BA$95,0)))</f>
        <v/>
      </c>
      <c r="BC69">
        <f>BC68+IF(AND(Lists!$BC$16&lt;&gt;"",ISNUMBER(SEARCH($J$4,Lists!$BC$16))),1,0)</f>
        <v/>
      </c>
      <c r="BD69">
        <f>IF(ROW()-56&gt;MAX($BC$57:$BC$95),"",INDEX(Lists!$BC$4:$BC$42,MATCH(ROW()-56,$BC$57:$BC$95,0)))</f>
        <v/>
      </c>
      <c r="BE69">
        <f>BE68+IF(AND(Lists!$BH$16&lt;&gt;"",ISNUMBER(SEARCH($K$4,Lists!$BH$16))),1,0)</f>
        <v/>
      </c>
      <c r="BF69">
        <f>IF(ROW()-56&gt;MAX($BE$57:$BE$95),"",INDEX(Lists!$BH$4:$BH$42,MATCH(ROW()-56,$BE$57:$BE$95,0)))</f>
        <v/>
      </c>
      <c r="BG69">
        <f>BG68+IF(AND(Lists!$BM$16&lt;&gt;"",ISNUMBER(SEARCH($L$4,Lists!$BM$16))),1,0)</f>
        <v/>
      </c>
      <c r="BH69">
        <f>IF(ROW()-56&gt;MAX($BG$57:$BG$95),"",INDEX(Lists!$BM$4:$BM$42,MATCH(ROW()-56,$BG$57:$BG$95,0)))</f>
        <v/>
      </c>
      <c r="BI69">
        <f>BI68+IF(AND(Lists!$BR$16&lt;&gt;"",ISNUMBER(SEARCH($M$4,Lists!$BR$16))),1,0)</f>
        <v/>
      </c>
      <c r="BJ69">
        <f>IF(ROW()-56&gt;MAX($BI$57:$BI$95),"",INDEX(Lists!$BR$4:$BR$42,MATCH(ROW()-56,$BI$57:$BI$95,0)))</f>
        <v/>
      </c>
      <c r="BK69">
        <f>BK68+IF(AND(Lists!$BW$16&lt;&gt;"",ISNUMBER(SEARCH($N$4,Lists!$BW$16))),1,0)</f>
        <v/>
      </c>
      <c r="BL69">
        <f>IF(ROW()-56&gt;MAX($BK$57:$BK$95),"",INDEX(Lists!$BW$4:$BW$42,MATCH(ROW()-56,$BK$57:$BK$95,0)))</f>
        <v/>
      </c>
      <c r="BM69">
        <f>BM68+IF(AND(Lists!$CB$16&lt;&gt;"",ISNUMBER(SEARCH($O$4,Lists!$CB$16))),1,0)</f>
        <v/>
      </c>
      <c r="BN69">
        <f>IF(ROW()-56&gt;MAX($BM$57:$BM$95),"",INDEX(Lists!$CB$4:$CB$42,MATCH(ROW()-56,$BM$57:$BM$95,0)))</f>
        <v/>
      </c>
      <c r="BO69">
        <f>BO68+IF(AND(Lists!$CG$16&lt;&gt;"",ISNUMBER(SEARCH($P$4,Lists!$CG$16))),1,0)</f>
        <v/>
      </c>
      <c r="BP69">
        <f>IF(ROW()-56&gt;MAX($BO$57:$BO$95),"",INDEX(Lists!$CG$4:$CG$42,MATCH(ROW()-56,$BO$57:$BO$95,0)))</f>
        <v/>
      </c>
      <c r="BQ69">
        <f>BQ68+IF(AND(Lists!$CL$16&lt;&gt;"",ISNUMBER(SEARCH($Q$4,Lists!$CL$16))),1,0)</f>
        <v/>
      </c>
      <c r="BR69">
        <f>IF(ROW()-56&gt;MAX($BQ$57:$BQ$95),"",INDEX(Lists!$CL$4:$CL$42,MATCH(ROW()-56,$BQ$57:$BQ$95,0)))</f>
        <v/>
      </c>
      <c r="BS69">
        <f>BS68+IF(AND(Lists!$CQ$16&lt;&gt;"",ISNUMBER(SEARCH($R$4,Lists!$CQ$16))),1,0)</f>
        <v/>
      </c>
      <c r="BT69">
        <f>IF(ROW()-56&gt;MAX($BS$57:$BS$95),"",INDEX(Lists!$CQ$4:$CQ$42,MATCH(ROW()-56,$BS$57:$BS$95,0)))</f>
        <v/>
      </c>
      <c r="BU69">
        <f>BU68+IF(AND(Lists!$CV$16&lt;&gt;"",ISNUMBER(SEARCH($S$4,Lists!$CV$16))),1,0)</f>
        <v/>
      </c>
      <c r="BV69">
        <f>IF(ROW()-56&gt;MAX($BU$57:$BU$95),"",INDEX(Lists!$CV$4:$CV$42,MATCH(ROW()-56,$BU$57:$BU$95,0)))</f>
        <v/>
      </c>
      <c r="BW69">
        <f>BW68+IF(AND(Lists!$DA$16&lt;&gt;"",ISNUMBER(SEARCH($T$4,Lists!$DA$16))),1,0)</f>
        <v/>
      </c>
      <c r="BX69">
        <f>IF(ROW()-56&gt;MAX($BW$57:$BW$95),"",INDEX(Lists!$DA$4:$DA$42,MATCH(ROW()-56,$BW$57:$BW$95,0)))</f>
        <v/>
      </c>
      <c r="BY69">
        <f>BY68+IF(AND(Lists!$DF$16&lt;&gt;"",ISNUMBER(SEARCH($U$4,Lists!$DF$16))),1,0)</f>
        <v/>
      </c>
      <c r="BZ69">
        <f>IF(ROW()-56&gt;MAX($BY$57:$BY$95),"",INDEX(Lists!$DF$4:$DF$42,MATCH(ROW()-56,$BY$57:$BY$95,0)))</f>
        <v/>
      </c>
      <c r="CA69">
        <f>CA68+IF(AND(Lists!$DK$16&lt;&gt;"",ISNUMBER(SEARCH($V$4,Lists!$DK$16))),1,0)</f>
        <v/>
      </c>
      <c r="CB69">
        <f>IF(ROW()-56&gt;MAX($CA$57:$CA$95),"",INDEX(Lists!$DK$4:$DK$42,MATCH(ROW()-56,$CA$57:$CA$95,0)))</f>
        <v/>
      </c>
      <c r="CC69">
        <f>CC68+IF(AND(Lists!$DP$16&lt;&gt;"",ISNUMBER(SEARCH($W$4,Lists!$DP$16))),1,0)</f>
        <v/>
      </c>
      <c r="CD69">
        <f>IF(ROW()-56&gt;MAX($CC$57:$CC$95),"",INDEX(Lists!$DP$4:$DP$42,MATCH(ROW()-56,$CC$57:$CC$95,0)))</f>
        <v/>
      </c>
      <c r="CE69">
        <f>CE68+IF(AND(Lists!$DU$16&lt;&gt;"",ISNUMBER(SEARCH($X$4,Lists!$DU$16))),1,0)</f>
        <v/>
      </c>
      <c r="CF69">
        <f>IF(ROW()-56&gt;MAX($CE$57:$CE$95),"",INDEX(Lists!$DU$4:$DU$42,MATCH(ROW()-56,$CE$57:$CE$95,0)))</f>
        <v/>
      </c>
      <c r="CG69">
        <f>CG68+IF(AND(Lists!$DZ$16&lt;&gt;"",ISNUMBER(SEARCH($Y$4,Lists!$DZ$16))),1,0)</f>
        <v/>
      </c>
      <c r="CH69">
        <f>IF(ROW()-56&gt;MAX($CG$57:$CG$95),"",INDEX(Lists!$DZ$4:$DZ$42,MATCH(ROW()-56,$CG$57:$CG$95,0)))</f>
        <v/>
      </c>
      <c r="CI69">
        <f>CI68+IF(AND(Lists!$EE$16&lt;&gt;"",ISNUMBER(SEARCH($Z$4,Lists!$EE$16))),1,0)</f>
        <v/>
      </c>
      <c r="CJ69">
        <f>IF(ROW()-56&gt;MAX($CI$57:$CI$95),"",INDEX(Lists!$EE$4:$EE$42,MATCH(ROW()-56,$CI$57:$CI$95,0)))</f>
        <v/>
      </c>
      <c r="CK69">
        <f>CK68+IF(AND(Lists!$EJ$16&lt;&gt;"",ISNUMBER(SEARCH($AA$4,Lists!$EJ$16))),1,0)</f>
        <v/>
      </c>
      <c r="CL69">
        <f>IF(ROW()-56&gt;MAX($CK$57:$CK$95),"",INDEX(Lists!$EJ$4:$EJ$42,MATCH(ROW()-56,$CK$57:$CK$95,0)))</f>
        <v/>
      </c>
      <c r="CM69">
        <f>CM68+IF(AND(Lists!$EO$16&lt;&gt;"",ISNUMBER(SEARCH($AB$4,Lists!$EO$16))),1,0)</f>
        <v/>
      </c>
      <c r="CN69">
        <f>IF(ROW()-56&gt;MAX($CM$57:$CM$95),"",INDEX(Lists!$EO$4:$EO$42,MATCH(ROW()-56,$CM$57:$CM$95,0)))</f>
        <v/>
      </c>
      <c r="CO69">
        <f>CO68+IF(AND(Lists!$ET$16&lt;&gt;"",ISNUMBER(SEARCH($AC$4,Lists!$ET$16))),1,0)</f>
        <v/>
      </c>
      <c r="CP69">
        <f>IF(ROW()-56&gt;MAX($CO$57:$CO$95),"",INDEX(Lists!$ET$4:$ET$42,MATCH(ROW()-56,$CO$57:$CO$95,0)))</f>
        <v/>
      </c>
      <c r="CQ69">
        <f>CQ68+IF(AND(Lists!$EY$16&lt;&gt;"",ISNUMBER(SEARCH($AD$4,Lists!$EY$16))),1,0)</f>
        <v/>
      </c>
      <c r="CR69">
        <f>IF(ROW()-56&gt;MAX($CQ$57:$CQ$95),"",INDEX(Lists!$EY$4:$EY$42,MATCH(ROW()-56,$CQ$57:$CQ$95,0)))</f>
        <v/>
      </c>
      <c r="CS69">
        <f>CS68+IF(AND(Lists!$FD$16&lt;&gt;"",ISNUMBER(SEARCH($AE$4,Lists!$FD$16))),1,0)</f>
        <v/>
      </c>
      <c r="CT69">
        <f>IF(ROW()-56&gt;MAX($CS$57:$CS$95),"",INDEX(Lists!$FD$4:$FD$42,MATCH(ROW()-56,$CS$57:$CS$95,0)))</f>
        <v/>
      </c>
      <c r="CU69">
        <f>CU68+IF(AND(Lists!$FI$16&lt;&gt;"",ISNUMBER(SEARCH($AG$4,Lists!$FI$16))),1,0)</f>
        <v/>
      </c>
      <c r="CV69">
        <f>IF(ROW()-56&gt;MAX($CU$57:$CU$95),"",INDEX(Lists!$FI$4:$FI$42,MATCH(ROW()-56,$CU$57:$CU$95,0)))</f>
        <v/>
      </c>
      <c r="CW69">
        <f>CW68+IF(AND(Lists!$FN$16&lt;&gt;"",ISNUMBER(SEARCH($AH$4,Lists!$FN$16))),1,0)</f>
        <v/>
      </c>
      <c r="CX69">
        <f>IF(ROW()-56&gt;MAX($CW$57:$CW$95),"",INDEX(Lists!$FN$4:$FN$42,MATCH(ROW()-56,$CW$57:$CW$95,0)))</f>
        <v/>
      </c>
      <c r="CY69">
        <f>CY68+IF(AND(Lists!$FS$16&lt;&gt;"",ISNUMBER(SEARCH($AI$4,Lists!$FS$16))),1,0)</f>
        <v/>
      </c>
      <c r="CZ69">
        <f>IF(ROW()-56&gt;MAX($CY$57:$CY$95),"",INDEX(Lists!$FS$4:$FS$42,MATCH(ROW()-56,$CY$57:$CY$95,0)))</f>
        <v/>
      </c>
      <c r="DA69">
        <f>DA68+IF(AND(Lists!$FX$16&lt;&gt;"",ISNUMBER(SEARCH($AF$4,Lists!$FX$16))),1,0)</f>
        <v/>
      </c>
      <c r="DB69">
        <f>IF(ROW()-56&gt;MAX($DA$57:$DA$95),"",INDEX(Lists!$FX$4:$FX$42,MATCH(ROW()-56,$DA$57:$DA$95,0)))</f>
        <v/>
      </c>
      <c r="DG69">
        <f>IF($B$4="",1,IF($B$4="(blank)",--('Final Calculation Sheet'!$F$14=""),IF($B$4="(nonblank)",--('Final Calculation Sheet'!$F$14&lt;&gt;""),--ISNUMBER(SEARCH($B$4,'Final Calculation Sheet'!$F$14)))))</f>
        <v/>
      </c>
      <c r="DH69">
        <f>IF($C$4="",1,IF($C$4="(blank)",--('Final Calculation Sheet'!$G$14=""),IF($C$4="(nonblank)",--('Final Calculation Sheet'!$G$14&lt;&gt;""),--ISNUMBER(SEARCH($C$4,'Final Calculation Sheet'!$G$14)))))</f>
        <v/>
      </c>
      <c r="DI69">
        <f>IF($D$4="",1,IF($D$4="(blank)",--('Final Calculation Sheet'!$B$14=""),IF($D$4="(nonblank)",--('Final Calculation Sheet'!$B$14&lt;&gt;""),--ISNUMBER(SEARCH($D$4,'Final Calculation Sheet'!$B$14)))))</f>
        <v/>
      </c>
      <c r="DJ69">
        <f>IF($E$4="",1,IF($E$4="(blank)",--('Final Calculation Sheet'!$D$14=""),IF($E$4="(nonblank)",--('Final Calculation Sheet'!$D$14&lt;&gt;""),--ISNUMBER(SEARCH($E$4,'Final Calculation Sheet'!$D$14)))))</f>
        <v/>
      </c>
      <c r="DK69">
        <f>IF($F$4="",1,IF($F$4="(blank)",--('Final Calculation Sheet'!$A$14=""),IF($F$4="(nonblank)",--('Final Calculation Sheet'!$A$14&lt;&gt;""),--ISNUMBER(SEARCH($F$4,'Final Calculation Sheet'!$A$14)))))</f>
        <v/>
      </c>
      <c r="DL69">
        <f>IF($G$4="",1,IF($G$4="(blank)",--('Final Calculation Sheet'!$E$14=""),IF($G$4="(nonblank)",--('Final Calculation Sheet'!$E$14&lt;&gt;""),--ISNUMBER(SEARCH($G$4,'Final Calculation Sheet'!$E$14)))))</f>
        <v/>
      </c>
      <c r="DM69">
        <f>IF($H$4="",1,IF($H$4="(blank)",--('Final Calculation Sheet'!$C$14=""),IF($H$4="(nonblank)",--('Final Calculation Sheet'!$C$14&lt;&gt;""),--ISNUMBER(SEARCH($H$4,'Final Calculation Sheet'!$C$14)))))</f>
        <v/>
      </c>
      <c r="DN69">
        <f>IF($I$4="",1,IF($I$4="(blank)",--('Final Calculation Sheet'!$H$14=""),IF($I$4="(nonblank)",--('Final Calculation Sheet'!$H$14&lt;&gt;""),--ISNUMBER(SEARCH($I$4,'Final Calculation Sheet'!$H$14)))))</f>
        <v/>
      </c>
      <c r="DO69">
        <f>IF($J$4="",1,IF($J$4="(blank)",--('Final Calculation Sheet'!$I$14=""),IF($J$4="(nonblank)",--('Final Calculation Sheet'!$I$14&lt;&gt;""),--ISNUMBER(SEARCH($J$4,'Final Calculation Sheet'!$I$14)))))</f>
        <v/>
      </c>
      <c r="DP69">
        <f>IF($K$4="",1,IF($K$4="(blank)",--('Final Calculation Sheet'!$J$14=""),IF($K$4="(nonblank)",--('Final Calculation Sheet'!$J$14&lt;&gt;""),--ISNUMBER(SEARCH($K$4,'Final Calculation Sheet'!$J$14)))))</f>
        <v/>
      </c>
      <c r="DQ69">
        <f>IF($L$4="",1,IF($L$4="(blank)",--('Final Calculation Sheet'!$K$14=""),IF($L$4="(nonblank)",--('Final Calculation Sheet'!$K$14&lt;&gt;""),--ISNUMBER(SEARCH($L$4,'Final Calculation Sheet'!$K$14)))))</f>
        <v/>
      </c>
      <c r="DR69">
        <f>IF($M$4="",1,IF($M$4="(blank)",--('Final Calculation Sheet'!$L$14=""),IF($M$4="(nonblank)",--('Final Calculation Sheet'!$L$14&lt;&gt;""),--ISNUMBER(SEARCH($M$4,'Final Calculation Sheet'!$L$14)))))</f>
        <v/>
      </c>
      <c r="DS69">
        <f>IF($N$4="",1,IF($N$4="(blank)",--('Final Calculation Sheet'!$M$14=""),IF($N$4="(nonblank)",--('Final Calculation Sheet'!$M$14&lt;&gt;""),--ISNUMBER(SEARCH($N$4,'Final Calculation Sheet'!$M$14)))))</f>
        <v/>
      </c>
      <c r="DT69">
        <f>IF($O$4="",1,IF($O$4="(blank)",--('Final Calculation Sheet'!$N$14=""),IF($O$4="(nonblank)",--('Final Calculation Sheet'!$N$14&lt;&gt;""),--ISNUMBER(SEARCH($O$4,'Final Calculation Sheet'!$N$14)))))</f>
        <v/>
      </c>
      <c r="DU69">
        <f>IF($P$4="",1,IF($P$4="(blank)",--('Final Calculation Sheet'!$O$14=""),IF($P$4="(nonblank)",--('Final Calculation Sheet'!$O$14&lt;&gt;""),--ISNUMBER(SEARCH($P$4,'Final Calculation Sheet'!$O$14)))))</f>
        <v/>
      </c>
      <c r="DV69">
        <f>IF($Q$4="",1,IF($Q$4="(blank)",--('Final Calculation Sheet'!$P$14=""),IF($Q$4="(nonblank)",--('Final Calculation Sheet'!$P$14&lt;&gt;""),--ISNUMBER(SEARCH($Q$4,'Final Calculation Sheet'!$P$14)))))</f>
        <v/>
      </c>
      <c r="DW69">
        <f>IF($R$4="",1,IF($R$4="(blank)",--('Final Calculation Sheet'!$Q$14=""),IF($R$4="(nonblank)",--('Final Calculation Sheet'!$Q$14&lt;&gt;""),--ISNUMBER(SEARCH($R$4,'Final Calculation Sheet'!$Q$14)))))</f>
        <v/>
      </c>
      <c r="DX69">
        <f>IF($S$4="",1,IF($S$4="(blank)",--('Final Calculation Sheet'!$R$14=""),IF($S$4="(nonblank)",--('Final Calculation Sheet'!$R$14&lt;&gt;""),--ISNUMBER(SEARCH($S$4,'Final Calculation Sheet'!$R$14)))))</f>
        <v/>
      </c>
      <c r="DY69">
        <f>IF($T$4="",1,IF($T$4="(blank)",--('Final Calculation Sheet'!$S$14=""),IF($T$4="(nonblank)",--('Final Calculation Sheet'!$S$14&lt;&gt;""),--ISNUMBER(SEARCH($T$4,'Final Calculation Sheet'!$S$14)))))</f>
        <v/>
      </c>
      <c r="DZ69">
        <f>IF($U$4="",1,IF($U$4="(blank)",--('Final Calculation Sheet'!$T$14=""),IF($U$4="(nonblank)",--('Final Calculation Sheet'!$T$14&lt;&gt;""),--ISNUMBER(SEARCH($U$4,'Final Calculation Sheet'!$T$14)))))</f>
        <v/>
      </c>
      <c r="EA69">
        <f>IF($V$4="",1,IF($V$4="(blank)",--('Final Calculation Sheet'!$U$14=""),IF($V$4="(nonblank)",--('Final Calculation Sheet'!$U$14&lt;&gt;""),--ISNUMBER(SEARCH($V$4,'Final Calculation Sheet'!$U$14)))))</f>
        <v/>
      </c>
      <c r="EB69">
        <f>IF($W$4="",1,IF($W$4="(blank)",--('Final Calculation Sheet'!$V$14=""),IF($W$4="(nonblank)",--('Final Calculation Sheet'!$V$14&lt;&gt;""),--ISNUMBER(SEARCH($W$4,'Final Calculation Sheet'!$V$14)))))</f>
        <v/>
      </c>
      <c r="EC69">
        <f>IF($X$4="",1,IF($X$4="(blank)",--('Final Calculation Sheet'!$W$14=""),IF($X$4="(nonblank)",--('Final Calculation Sheet'!$W$14&lt;&gt;""),--ISNUMBER(SEARCH($X$4,'Final Calculation Sheet'!$W$14)))))</f>
        <v/>
      </c>
      <c r="ED69">
        <f>IF($Y$4="",1,IF($Y$4="(blank)",--('Final Calculation Sheet'!$X$14=""),IF($Y$4="(nonblank)",--('Final Calculation Sheet'!$X$14&lt;&gt;""),--ISNUMBER(SEARCH($Y$4,'Final Calculation Sheet'!$X$14)))))</f>
        <v/>
      </c>
      <c r="EE69">
        <f>IF($Z$4="",1,IF($Z$4="(blank)",--('Final Calculation Sheet'!$Y$14=""),IF($Z$4="(nonblank)",--('Final Calculation Sheet'!$Y$14&lt;&gt;""),--ISNUMBER(SEARCH($Z$4,'Final Calculation Sheet'!$Y$14)))))</f>
        <v/>
      </c>
      <c r="EF69">
        <f>IF($AA$4="",1,IF($AA$4="(blank)",--('Final Calculation Sheet'!$Z$14=""),IF($AA$4="(nonblank)",--('Final Calculation Sheet'!$Z$14&lt;&gt;""),--ISNUMBER(SEARCH($AA$4,'Final Calculation Sheet'!$Z$14)))))</f>
        <v/>
      </c>
      <c r="EG69">
        <f>IF($AB$4="",1,IF($AB$4="(blank)",--('Final Calculation Sheet'!$AA$14=""),IF($AB$4="(nonblank)",--('Final Calculation Sheet'!$AA$14&lt;&gt;""),--ISNUMBER(SEARCH($AB$4,'Final Calculation Sheet'!$AA$14)))))</f>
        <v/>
      </c>
      <c r="EH69">
        <f>IF($AC$4="",1,IF($AC$4="(blank)",--('Final Calculation Sheet'!$AB$14=""),IF($AC$4="(nonblank)",--('Final Calculation Sheet'!$AB$14&lt;&gt;""),--ISNUMBER(SEARCH($AC$4,'Final Calculation Sheet'!$AB$14)))))</f>
        <v/>
      </c>
      <c r="EI69">
        <f>IF($AD$4="",1,IF($AD$4="(blank)",--('Final Calculation Sheet'!$AC$14=""),IF($AD$4="(nonblank)",--('Final Calculation Sheet'!$AC$14&lt;&gt;""),--ISNUMBER(SEARCH($AD$4,'Final Calculation Sheet'!$AC$14)))))</f>
        <v/>
      </c>
      <c r="EJ69">
        <f>IF($AE$4="",1,IF($AE$4="(blank)",--('Final Calculation Sheet'!$AD$14=""),IF($AE$4="(nonblank)",--('Final Calculation Sheet'!$AD$14&lt;&gt;""),--ISNUMBER(SEARCH($AE$4,'Final Calculation Sheet'!$AD$14)))))</f>
        <v/>
      </c>
      <c r="EK69">
        <f>IF($AF$4="",1,IF($AF$4="(blank)",--(IF('Final Calculation Sheet'!$AD$14&lt;=5,"SETTLED","OUTSTANDING")=""),IF($AF$4="(nonblank)",--(IF('Final Calculation Sheet'!$AD$14&lt;=5,"SETTLED","OUTSTANDING")&lt;&gt;""),--ISNUMBER(SEARCH($AF$4,IF('Final Calculation Sheet'!$AD$14&lt;=5,"SETTLED","OUTSTANDING"))))))</f>
        <v/>
      </c>
      <c r="EL69">
        <f>IF($AG$4="",1,IF($AG$4="(blank)",--('Final Calculation Sheet'!$AF$14=""),IF($AG$4="(nonblank)",--('Final Calculation Sheet'!$AF$14&lt;&gt;""),--ISNUMBER(SEARCH($AG$4,'Final Calculation Sheet'!$AF$14)))))</f>
        <v/>
      </c>
      <c r="EM69">
        <f>IF($AH$4="",1,IF($AH$4="(blank)",--('Final Calculation Sheet'!$AG$14=""),IF($AH$4="(nonblank)",--('Final Calculation Sheet'!$AG$14&lt;&gt;""),--ISNUMBER(SEARCH($AH$4,'Final Calculation Sheet'!$AG$14)))))</f>
        <v/>
      </c>
      <c r="EN69">
        <f>IF($AI$4="",1,IF($AI$4="(blank)",--('Final Calculation Sheet'!$AH$14=""),IF($AI$4="(nonblank)",--('Final Calculation Sheet'!$AH$14&lt;&gt;""),--ISNUMBER(SEARCH($AI$4,'Final Calculation Sheet'!$AH$14)))))</f>
        <v/>
      </c>
    </row>
    <row r="70">
      <c r="AM70">
        <f>AM69+IF(AND(Lists!$O$17&lt;&gt;"",ISNUMBER(SEARCH($B$4,Lists!$O$17))),1,0)</f>
        <v/>
      </c>
      <c r="AN70">
        <f>IF(ROW()-56&gt;MAX($AM$57:$AM$95),"",INDEX(Lists!$O$4:$O$42,MATCH(ROW()-56,$AM$57:$AM$95,0)))</f>
        <v/>
      </c>
      <c r="AO70">
        <f>AO69+IF(AND(Lists!$T$17&lt;&gt;"",ISNUMBER(SEARCH($C$4,Lists!$T$17))),1,0)</f>
        <v/>
      </c>
      <c r="AP70">
        <f>IF(ROW()-56&gt;MAX($AO$57:$AO$95),"",INDEX(Lists!$T$4:$T$42,MATCH(ROW()-56,$AO$57:$AO$95,0)))</f>
        <v/>
      </c>
      <c r="AQ70">
        <f>AQ69+IF(AND(Lists!$Y$17&lt;&gt;"",ISNUMBER(SEARCH($D$4,Lists!$Y$17))),1,0)</f>
        <v/>
      </c>
      <c r="AR70">
        <f>IF(ROW()-56&gt;MAX($AQ$57:$AQ$95),"",INDEX(Lists!$Y$4:$Y$42,MATCH(ROW()-56,$AQ$57:$AQ$95,0)))</f>
        <v/>
      </c>
      <c r="AS70">
        <f>AS69+IF(AND(Lists!$AD$17&lt;&gt;"",ISNUMBER(SEARCH($E$4,Lists!$AD$17))),1,0)</f>
        <v/>
      </c>
      <c r="AT70">
        <f>IF(ROW()-56&gt;MAX($AS$57:$AS$95),"",INDEX(Lists!$AD$4:$AD$42,MATCH(ROW()-56,$AS$57:$AS$95,0)))</f>
        <v/>
      </c>
      <c r="AU70">
        <f>AU69+IF(AND(Lists!$AI$17&lt;&gt;"",ISNUMBER(SEARCH($F$4,Lists!$AI$17))),1,0)</f>
        <v/>
      </c>
      <c r="AV70">
        <f>IF(ROW()-56&gt;MAX($AU$57:$AU$95),"",INDEX(Lists!$AI$4:$AI$42,MATCH(ROW()-56,$AU$57:$AU$95,0)))</f>
        <v/>
      </c>
      <c r="AW70">
        <f>AW69+IF(AND(Lists!$AN$17&lt;&gt;"",ISNUMBER(SEARCH($G$4,Lists!$AN$17))),1,0)</f>
        <v/>
      </c>
      <c r="AX70">
        <f>IF(ROW()-56&gt;MAX($AW$57:$AW$95),"",INDEX(Lists!$AN$4:$AN$42,MATCH(ROW()-56,$AW$57:$AW$95,0)))</f>
        <v/>
      </c>
      <c r="AY70">
        <f>AY69+IF(AND(Lists!$AS$17&lt;&gt;"",ISNUMBER(SEARCH($H$4,Lists!$AS$17))),1,0)</f>
        <v/>
      </c>
      <c r="AZ70">
        <f>IF(ROW()-56&gt;MAX($AY$57:$AY$95),"",INDEX(Lists!$AS$4:$AS$42,MATCH(ROW()-56,$AY$57:$AY$95,0)))</f>
        <v/>
      </c>
      <c r="BA70">
        <f>BA69+IF(AND(Lists!$AX$17&lt;&gt;"",ISNUMBER(SEARCH($I$4,Lists!$AX$17))),1,0)</f>
        <v/>
      </c>
      <c r="BB70">
        <f>IF(ROW()-56&gt;MAX($BA$57:$BA$95),"",INDEX(Lists!$AX$4:$AX$42,MATCH(ROW()-56,$BA$57:$BA$95,0)))</f>
        <v/>
      </c>
      <c r="BC70">
        <f>BC69+IF(AND(Lists!$BC$17&lt;&gt;"",ISNUMBER(SEARCH($J$4,Lists!$BC$17))),1,0)</f>
        <v/>
      </c>
      <c r="BD70">
        <f>IF(ROW()-56&gt;MAX($BC$57:$BC$95),"",INDEX(Lists!$BC$4:$BC$42,MATCH(ROW()-56,$BC$57:$BC$95,0)))</f>
        <v/>
      </c>
      <c r="BE70">
        <f>BE69+IF(AND(Lists!$BH$17&lt;&gt;"",ISNUMBER(SEARCH($K$4,Lists!$BH$17))),1,0)</f>
        <v/>
      </c>
      <c r="BF70">
        <f>IF(ROW()-56&gt;MAX($BE$57:$BE$95),"",INDEX(Lists!$BH$4:$BH$42,MATCH(ROW()-56,$BE$57:$BE$95,0)))</f>
        <v/>
      </c>
      <c r="BG70">
        <f>BG69+IF(AND(Lists!$BM$17&lt;&gt;"",ISNUMBER(SEARCH($L$4,Lists!$BM$17))),1,0)</f>
        <v/>
      </c>
      <c r="BH70">
        <f>IF(ROW()-56&gt;MAX($BG$57:$BG$95),"",INDEX(Lists!$BM$4:$BM$42,MATCH(ROW()-56,$BG$57:$BG$95,0)))</f>
        <v/>
      </c>
      <c r="BI70">
        <f>BI69+IF(AND(Lists!$BR$17&lt;&gt;"",ISNUMBER(SEARCH($M$4,Lists!$BR$17))),1,0)</f>
        <v/>
      </c>
      <c r="BJ70">
        <f>IF(ROW()-56&gt;MAX($BI$57:$BI$95),"",INDEX(Lists!$BR$4:$BR$42,MATCH(ROW()-56,$BI$57:$BI$95,0)))</f>
        <v/>
      </c>
      <c r="BK70">
        <f>BK69+IF(AND(Lists!$BW$17&lt;&gt;"",ISNUMBER(SEARCH($N$4,Lists!$BW$17))),1,0)</f>
        <v/>
      </c>
      <c r="BL70">
        <f>IF(ROW()-56&gt;MAX($BK$57:$BK$95),"",INDEX(Lists!$BW$4:$BW$42,MATCH(ROW()-56,$BK$57:$BK$95,0)))</f>
        <v/>
      </c>
      <c r="BM70">
        <f>BM69+IF(AND(Lists!$CB$17&lt;&gt;"",ISNUMBER(SEARCH($O$4,Lists!$CB$17))),1,0)</f>
        <v/>
      </c>
      <c r="BN70">
        <f>IF(ROW()-56&gt;MAX($BM$57:$BM$95),"",INDEX(Lists!$CB$4:$CB$42,MATCH(ROW()-56,$BM$57:$BM$95,0)))</f>
        <v/>
      </c>
      <c r="BO70">
        <f>BO69+IF(AND(Lists!$CG$17&lt;&gt;"",ISNUMBER(SEARCH($P$4,Lists!$CG$17))),1,0)</f>
        <v/>
      </c>
      <c r="BP70">
        <f>IF(ROW()-56&gt;MAX($BO$57:$BO$95),"",INDEX(Lists!$CG$4:$CG$42,MATCH(ROW()-56,$BO$57:$BO$95,0)))</f>
        <v/>
      </c>
      <c r="BQ70">
        <f>BQ69+IF(AND(Lists!$CL$17&lt;&gt;"",ISNUMBER(SEARCH($Q$4,Lists!$CL$17))),1,0)</f>
        <v/>
      </c>
      <c r="BR70">
        <f>IF(ROW()-56&gt;MAX($BQ$57:$BQ$95),"",INDEX(Lists!$CL$4:$CL$42,MATCH(ROW()-56,$BQ$57:$BQ$95,0)))</f>
        <v/>
      </c>
      <c r="BS70">
        <f>BS69+IF(AND(Lists!$CQ$17&lt;&gt;"",ISNUMBER(SEARCH($R$4,Lists!$CQ$17))),1,0)</f>
        <v/>
      </c>
      <c r="BT70">
        <f>IF(ROW()-56&gt;MAX($BS$57:$BS$95),"",INDEX(Lists!$CQ$4:$CQ$42,MATCH(ROW()-56,$BS$57:$BS$95,0)))</f>
        <v/>
      </c>
      <c r="BU70">
        <f>BU69+IF(AND(Lists!$CV$17&lt;&gt;"",ISNUMBER(SEARCH($S$4,Lists!$CV$17))),1,0)</f>
        <v/>
      </c>
      <c r="BV70">
        <f>IF(ROW()-56&gt;MAX($BU$57:$BU$95),"",INDEX(Lists!$CV$4:$CV$42,MATCH(ROW()-56,$BU$57:$BU$95,0)))</f>
        <v/>
      </c>
      <c r="BW70">
        <f>BW69+IF(AND(Lists!$DA$17&lt;&gt;"",ISNUMBER(SEARCH($T$4,Lists!$DA$17))),1,0)</f>
        <v/>
      </c>
      <c r="BX70">
        <f>IF(ROW()-56&gt;MAX($BW$57:$BW$95),"",INDEX(Lists!$DA$4:$DA$42,MATCH(ROW()-56,$BW$57:$BW$95,0)))</f>
        <v/>
      </c>
      <c r="BY70">
        <f>BY69+IF(AND(Lists!$DF$17&lt;&gt;"",ISNUMBER(SEARCH($U$4,Lists!$DF$17))),1,0)</f>
        <v/>
      </c>
      <c r="BZ70">
        <f>IF(ROW()-56&gt;MAX($BY$57:$BY$95),"",INDEX(Lists!$DF$4:$DF$42,MATCH(ROW()-56,$BY$57:$BY$95,0)))</f>
        <v/>
      </c>
      <c r="CA70">
        <f>CA69+IF(AND(Lists!$DK$17&lt;&gt;"",ISNUMBER(SEARCH($V$4,Lists!$DK$17))),1,0)</f>
        <v/>
      </c>
      <c r="CB70">
        <f>IF(ROW()-56&gt;MAX($CA$57:$CA$95),"",INDEX(Lists!$DK$4:$DK$42,MATCH(ROW()-56,$CA$57:$CA$95,0)))</f>
        <v/>
      </c>
      <c r="CC70">
        <f>CC69+IF(AND(Lists!$DP$17&lt;&gt;"",ISNUMBER(SEARCH($W$4,Lists!$DP$17))),1,0)</f>
        <v/>
      </c>
      <c r="CD70">
        <f>IF(ROW()-56&gt;MAX($CC$57:$CC$95),"",INDEX(Lists!$DP$4:$DP$42,MATCH(ROW()-56,$CC$57:$CC$95,0)))</f>
        <v/>
      </c>
      <c r="CE70">
        <f>CE69+IF(AND(Lists!$DU$17&lt;&gt;"",ISNUMBER(SEARCH($X$4,Lists!$DU$17))),1,0)</f>
        <v/>
      </c>
      <c r="CF70">
        <f>IF(ROW()-56&gt;MAX($CE$57:$CE$95),"",INDEX(Lists!$DU$4:$DU$42,MATCH(ROW()-56,$CE$57:$CE$95,0)))</f>
        <v/>
      </c>
      <c r="CG70">
        <f>CG69+IF(AND(Lists!$DZ$17&lt;&gt;"",ISNUMBER(SEARCH($Y$4,Lists!$DZ$17))),1,0)</f>
        <v/>
      </c>
      <c r="CH70">
        <f>IF(ROW()-56&gt;MAX($CG$57:$CG$95),"",INDEX(Lists!$DZ$4:$DZ$42,MATCH(ROW()-56,$CG$57:$CG$95,0)))</f>
        <v/>
      </c>
      <c r="CI70">
        <f>CI69+IF(AND(Lists!$EE$17&lt;&gt;"",ISNUMBER(SEARCH($Z$4,Lists!$EE$17))),1,0)</f>
        <v/>
      </c>
      <c r="CJ70">
        <f>IF(ROW()-56&gt;MAX($CI$57:$CI$95),"",INDEX(Lists!$EE$4:$EE$42,MATCH(ROW()-56,$CI$57:$CI$95,0)))</f>
        <v/>
      </c>
      <c r="CK70">
        <f>CK69+IF(AND(Lists!$EJ$17&lt;&gt;"",ISNUMBER(SEARCH($AA$4,Lists!$EJ$17))),1,0)</f>
        <v/>
      </c>
      <c r="CL70">
        <f>IF(ROW()-56&gt;MAX($CK$57:$CK$95),"",INDEX(Lists!$EJ$4:$EJ$42,MATCH(ROW()-56,$CK$57:$CK$95,0)))</f>
        <v/>
      </c>
      <c r="CM70">
        <f>CM69+IF(AND(Lists!$EO$17&lt;&gt;"",ISNUMBER(SEARCH($AB$4,Lists!$EO$17))),1,0)</f>
        <v/>
      </c>
      <c r="CN70">
        <f>IF(ROW()-56&gt;MAX($CM$57:$CM$95),"",INDEX(Lists!$EO$4:$EO$42,MATCH(ROW()-56,$CM$57:$CM$95,0)))</f>
        <v/>
      </c>
      <c r="CO70">
        <f>CO69+IF(AND(Lists!$ET$17&lt;&gt;"",ISNUMBER(SEARCH($AC$4,Lists!$ET$17))),1,0)</f>
        <v/>
      </c>
      <c r="CP70">
        <f>IF(ROW()-56&gt;MAX($CO$57:$CO$95),"",INDEX(Lists!$ET$4:$ET$42,MATCH(ROW()-56,$CO$57:$CO$95,0)))</f>
        <v/>
      </c>
      <c r="CQ70">
        <f>CQ69+IF(AND(Lists!$EY$17&lt;&gt;"",ISNUMBER(SEARCH($AD$4,Lists!$EY$17))),1,0)</f>
        <v/>
      </c>
      <c r="CR70">
        <f>IF(ROW()-56&gt;MAX($CQ$57:$CQ$95),"",INDEX(Lists!$EY$4:$EY$42,MATCH(ROW()-56,$CQ$57:$CQ$95,0)))</f>
        <v/>
      </c>
      <c r="CS70">
        <f>CS69+IF(AND(Lists!$FD$17&lt;&gt;"",ISNUMBER(SEARCH($AE$4,Lists!$FD$17))),1,0)</f>
        <v/>
      </c>
      <c r="CT70">
        <f>IF(ROW()-56&gt;MAX($CS$57:$CS$95),"",INDEX(Lists!$FD$4:$FD$42,MATCH(ROW()-56,$CS$57:$CS$95,0)))</f>
        <v/>
      </c>
      <c r="CU70">
        <f>CU69+IF(AND(Lists!$FI$17&lt;&gt;"",ISNUMBER(SEARCH($AG$4,Lists!$FI$17))),1,0)</f>
        <v/>
      </c>
      <c r="CV70">
        <f>IF(ROW()-56&gt;MAX($CU$57:$CU$95),"",INDEX(Lists!$FI$4:$FI$42,MATCH(ROW()-56,$CU$57:$CU$95,0)))</f>
        <v/>
      </c>
      <c r="CW70">
        <f>CW69+IF(AND(Lists!$FN$17&lt;&gt;"",ISNUMBER(SEARCH($AH$4,Lists!$FN$17))),1,0)</f>
        <v/>
      </c>
      <c r="CX70">
        <f>IF(ROW()-56&gt;MAX($CW$57:$CW$95),"",INDEX(Lists!$FN$4:$FN$42,MATCH(ROW()-56,$CW$57:$CW$95,0)))</f>
        <v/>
      </c>
      <c r="CY70">
        <f>CY69+IF(AND(Lists!$FS$17&lt;&gt;"",ISNUMBER(SEARCH($AI$4,Lists!$FS$17))),1,0)</f>
        <v/>
      </c>
      <c r="CZ70">
        <f>IF(ROW()-56&gt;MAX($CY$57:$CY$95),"",INDEX(Lists!$FS$4:$FS$42,MATCH(ROW()-56,$CY$57:$CY$95,0)))</f>
        <v/>
      </c>
      <c r="DA70">
        <f>DA69+IF(AND(Lists!$FX$17&lt;&gt;"",ISNUMBER(SEARCH($AF$4,Lists!$FX$17))),1,0)</f>
        <v/>
      </c>
      <c r="DB70">
        <f>IF(ROW()-56&gt;MAX($DA$57:$DA$95),"",INDEX(Lists!$FX$4:$FX$42,MATCH(ROW()-56,$DA$57:$DA$95,0)))</f>
        <v/>
      </c>
      <c r="DG70">
        <f>IF($B$4="",1,IF($B$4="(blank)",--('Final Calculation Sheet'!$F$15=""),IF($B$4="(nonblank)",--('Final Calculation Sheet'!$F$15&lt;&gt;""),--ISNUMBER(SEARCH($B$4,'Final Calculation Sheet'!$F$15)))))</f>
        <v/>
      </c>
      <c r="DH70">
        <f>IF($C$4="",1,IF($C$4="(blank)",--('Final Calculation Sheet'!$G$15=""),IF($C$4="(nonblank)",--('Final Calculation Sheet'!$G$15&lt;&gt;""),--ISNUMBER(SEARCH($C$4,'Final Calculation Sheet'!$G$15)))))</f>
        <v/>
      </c>
      <c r="DI70">
        <f>IF($D$4="",1,IF($D$4="(blank)",--('Final Calculation Sheet'!$B$15=""),IF($D$4="(nonblank)",--('Final Calculation Sheet'!$B$15&lt;&gt;""),--ISNUMBER(SEARCH($D$4,'Final Calculation Sheet'!$B$15)))))</f>
        <v/>
      </c>
      <c r="DJ70">
        <f>IF($E$4="",1,IF($E$4="(blank)",--('Final Calculation Sheet'!$D$15=""),IF($E$4="(nonblank)",--('Final Calculation Sheet'!$D$15&lt;&gt;""),--ISNUMBER(SEARCH($E$4,'Final Calculation Sheet'!$D$15)))))</f>
        <v/>
      </c>
      <c r="DK70">
        <f>IF($F$4="",1,IF($F$4="(blank)",--('Final Calculation Sheet'!$A$15=""),IF($F$4="(nonblank)",--('Final Calculation Sheet'!$A$15&lt;&gt;""),--ISNUMBER(SEARCH($F$4,'Final Calculation Sheet'!$A$15)))))</f>
        <v/>
      </c>
      <c r="DL70">
        <f>IF($G$4="",1,IF($G$4="(blank)",--('Final Calculation Sheet'!$E$15=""),IF($G$4="(nonblank)",--('Final Calculation Sheet'!$E$15&lt;&gt;""),--ISNUMBER(SEARCH($G$4,'Final Calculation Sheet'!$E$15)))))</f>
        <v/>
      </c>
      <c r="DM70">
        <f>IF($H$4="",1,IF($H$4="(blank)",--('Final Calculation Sheet'!$C$15=""),IF($H$4="(nonblank)",--('Final Calculation Sheet'!$C$15&lt;&gt;""),--ISNUMBER(SEARCH($H$4,'Final Calculation Sheet'!$C$15)))))</f>
        <v/>
      </c>
      <c r="DN70">
        <f>IF($I$4="",1,IF($I$4="(blank)",--('Final Calculation Sheet'!$H$15=""),IF($I$4="(nonblank)",--('Final Calculation Sheet'!$H$15&lt;&gt;""),--ISNUMBER(SEARCH($I$4,'Final Calculation Sheet'!$H$15)))))</f>
        <v/>
      </c>
      <c r="DO70">
        <f>IF($J$4="",1,IF($J$4="(blank)",--('Final Calculation Sheet'!$I$15=""),IF($J$4="(nonblank)",--('Final Calculation Sheet'!$I$15&lt;&gt;""),--ISNUMBER(SEARCH($J$4,'Final Calculation Sheet'!$I$15)))))</f>
        <v/>
      </c>
      <c r="DP70">
        <f>IF($K$4="",1,IF($K$4="(blank)",--('Final Calculation Sheet'!$J$15=""),IF($K$4="(nonblank)",--('Final Calculation Sheet'!$J$15&lt;&gt;""),--ISNUMBER(SEARCH($K$4,'Final Calculation Sheet'!$J$15)))))</f>
        <v/>
      </c>
      <c r="DQ70">
        <f>IF($L$4="",1,IF($L$4="(blank)",--('Final Calculation Sheet'!$K$15=""),IF($L$4="(nonblank)",--('Final Calculation Sheet'!$K$15&lt;&gt;""),--ISNUMBER(SEARCH($L$4,'Final Calculation Sheet'!$K$15)))))</f>
        <v/>
      </c>
      <c r="DR70">
        <f>IF($M$4="",1,IF($M$4="(blank)",--('Final Calculation Sheet'!$L$15=""),IF($M$4="(nonblank)",--('Final Calculation Sheet'!$L$15&lt;&gt;""),--ISNUMBER(SEARCH($M$4,'Final Calculation Sheet'!$L$15)))))</f>
        <v/>
      </c>
      <c r="DS70">
        <f>IF($N$4="",1,IF($N$4="(blank)",--('Final Calculation Sheet'!$M$15=""),IF($N$4="(nonblank)",--('Final Calculation Sheet'!$M$15&lt;&gt;""),--ISNUMBER(SEARCH($N$4,'Final Calculation Sheet'!$M$15)))))</f>
        <v/>
      </c>
      <c r="DT70">
        <f>IF($O$4="",1,IF($O$4="(blank)",--('Final Calculation Sheet'!$N$15=""),IF($O$4="(nonblank)",--('Final Calculation Sheet'!$N$15&lt;&gt;""),--ISNUMBER(SEARCH($O$4,'Final Calculation Sheet'!$N$15)))))</f>
        <v/>
      </c>
      <c r="DU70">
        <f>IF($P$4="",1,IF($P$4="(blank)",--('Final Calculation Sheet'!$O$15=""),IF($P$4="(nonblank)",--('Final Calculation Sheet'!$O$15&lt;&gt;""),--ISNUMBER(SEARCH($P$4,'Final Calculation Sheet'!$O$15)))))</f>
        <v/>
      </c>
      <c r="DV70">
        <f>IF($Q$4="",1,IF($Q$4="(blank)",--('Final Calculation Sheet'!$P$15=""),IF($Q$4="(nonblank)",--('Final Calculation Sheet'!$P$15&lt;&gt;""),--ISNUMBER(SEARCH($Q$4,'Final Calculation Sheet'!$P$15)))))</f>
        <v/>
      </c>
      <c r="DW70">
        <f>IF($R$4="",1,IF($R$4="(blank)",--('Final Calculation Sheet'!$Q$15=""),IF($R$4="(nonblank)",--('Final Calculation Sheet'!$Q$15&lt;&gt;""),--ISNUMBER(SEARCH($R$4,'Final Calculation Sheet'!$Q$15)))))</f>
        <v/>
      </c>
      <c r="DX70">
        <f>IF($S$4="",1,IF($S$4="(blank)",--('Final Calculation Sheet'!$R$15=""),IF($S$4="(nonblank)",--('Final Calculation Sheet'!$R$15&lt;&gt;""),--ISNUMBER(SEARCH($S$4,'Final Calculation Sheet'!$R$15)))))</f>
        <v/>
      </c>
      <c r="DY70">
        <f>IF($T$4="",1,IF($T$4="(blank)",--('Final Calculation Sheet'!$S$15=""),IF($T$4="(nonblank)",--('Final Calculation Sheet'!$S$15&lt;&gt;""),--ISNUMBER(SEARCH($T$4,'Final Calculation Sheet'!$S$15)))))</f>
        <v/>
      </c>
      <c r="DZ70">
        <f>IF($U$4="",1,IF($U$4="(blank)",--('Final Calculation Sheet'!$T$15=""),IF($U$4="(nonblank)",--('Final Calculation Sheet'!$T$15&lt;&gt;""),--ISNUMBER(SEARCH($U$4,'Final Calculation Sheet'!$T$15)))))</f>
        <v/>
      </c>
      <c r="EA70">
        <f>IF($V$4="",1,IF($V$4="(blank)",--('Final Calculation Sheet'!$U$15=""),IF($V$4="(nonblank)",--('Final Calculation Sheet'!$U$15&lt;&gt;""),--ISNUMBER(SEARCH($V$4,'Final Calculation Sheet'!$U$15)))))</f>
        <v/>
      </c>
      <c r="EB70">
        <f>IF($W$4="",1,IF($W$4="(blank)",--('Final Calculation Sheet'!$V$15=""),IF($W$4="(nonblank)",--('Final Calculation Sheet'!$V$15&lt;&gt;""),--ISNUMBER(SEARCH($W$4,'Final Calculation Sheet'!$V$15)))))</f>
        <v/>
      </c>
      <c r="EC70">
        <f>IF($X$4="",1,IF($X$4="(blank)",--('Final Calculation Sheet'!$W$15=""),IF($X$4="(nonblank)",--('Final Calculation Sheet'!$W$15&lt;&gt;""),--ISNUMBER(SEARCH($X$4,'Final Calculation Sheet'!$W$15)))))</f>
        <v/>
      </c>
      <c r="ED70">
        <f>IF($Y$4="",1,IF($Y$4="(blank)",--('Final Calculation Sheet'!$X$15=""),IF($Y$4="(nonblank)",--('Final Calculation Sheet'!$X$15&lt;&gt;""),--ISNUMBER(SEARCH($Y$4,'Final Calculation Sheet'!$X$15)))))</f>
        <v/>
      </c>
      <c r="EE70">
        <f>IF($Z$4="",1,IF($Z$4="(blank)",--('Final Calculation Sheet'!$Y$15=""),IF($Z$4="(nonblank)",--('Final Calculation Sheet'!$Y$15&lt;&gt;""),--ISNUMBER(SEARCH($Z$4,'Final Calculation Sheet'!$Y$15)))))</f>
        <v/>
      </c>
      <c r="EF70">
        <f>IF($AA$4="",1,IF($AA$4="(blank)",--('Final Calculation Sheet'!$Z$15=""),IF($AA$4="(nonblank)",--('Final Calculation Sheet'!$Z$15&lt;&gt;""),--ISNUMBER(SEARCH($AA$4,'Final Calculation Sheet'!$Z$15)))))</f>
        <v/>
      </c>
      <c r="EG70">
        <f>IF($AB$4="",1,IF($AB$4="(blank)",--('Final Calculation Sheet'!$AA$15=""),IF($AB$4="(nonblank)",--('Final Calculation Sheet'!$AA$15&lt;&gt;""),--ISNUMBER(SEARCH($AB$4,'Final Calculation Sheet'!$AA$15)))))</f>
        <v/>
      </c>
      <c r="EH70">
        <f>IF($AC$4="",1,IF($AC$4="(blank)",--('Final Calculation Sheet'!$AB$15=""),IF($AC$4="(nonblank)",--('Final Calculation Sheet'!$AB$15&lt;&gt;""),--ISNUMBER(SEARCH($AC$4,'Final Calculation Sheet'!$AB$15)))))</f>
        <v/>
      </c>
      <c r="EI70">
        <f>IF($AD$4="",1,IF($AD$4="(blank)",--('Final Calculation Sheet'!$AC$15=""),IF($AD$4="(nonblank)",--('Final Calculation Sheet'!$AC$15&lt;&gt;""),--ISNUMBER(SEARCH($AD$4,'Final Calculation Sheet'!$AC$15)))))</f>
        <v/>
      </c>
      <c r="EJ70">
        <f>IF($AE$4="",1,IF($AE$4="(blank)",--('Final Calculation Sheet'!$AD$15=""),IF($AE$4="(nonblank)",--('Final Calculation Sheet'!$AD$15&lt;&gt;""),--ISNUMBER(SEARCH($AE$4,'Final Calculation Sheet'!$AD$15)))))</f>
        <v/>
      </c>
      <c r="EK70">
        <f>IF($AF$4="",1,IF($AF$4="(blank)",--(IF('Final Calculation Sheet'!$AD$15&lt;=5,"SETTLED","OUTSTANDING")=""),IF($AF$4="(nonblank)",--(IF('Final Calculation Sheet'!$AD$15&lt;=5,"SETTLED","OUTSTANDING")&lt;&gt;""),--ISNUMBER(SEARCH($AF$4,IF('Final Calculation Sheet'!$AD$15&lt;=5,"SETTLED","OUTSTANDING"))))))</f>
        <v/>
      </c>
      <c r="EL70">
        <f>IF($AG$4="",1,IF($AG$4="(blank)",--('Final Calculation Sheet'!$AF$15=""),IF($AG$4="(nonblank)",--('Final Calculation Sheet'!$AF$15&lt;&gt;""),--ISNUMBER(SEARCH($AG$4,'Final Calculation Sheet'!$AF$15)))))</f>
        <v/>
      </c>
      <c r="EM70">
        <f>IF($AH$4="",1,IF($AH$4="(blank)",--('Final Calculation Sheet'!$AG$15=""),IF($AH$4="(nonblank)",--('Final Calculation Sheet'!$AG$15&lt;&gt;""),--ISNUMBER(SEARCH($AH$4,'Final Calculation Sheet'!$AG$15)))))</f>
        <v/>
      </c>
      <c r="EN70">
        <f>IF($AI$4="",1,IF($AI$4="(blank)",--('Final Calculation Sheet'!$AH$15=""),IF($AI$4="(nonblank)",--('Final Calculation Sheet'!$AH$15&lt;&gt;""),--ISNUMBER(SEARCH($AI$4,'Final Calculation Sheet'!$AH$15)))))</f>
        <v/>
      </c>
    </row>
    <row r="71">
      <c r="AM71">
        <f>AM70+IF(AND(Lists!$O$18&lt;&gt;"",ISNUMBER(SEARCH($B$4,Lists!$O$18))),1,0)</f>
        <v/>
      </c>
      <c r="AN71">
        <f>IF(ROW()-56&gt;MAX($AM$57:$AM$95),"",INDEX(Lists!$O$4:$O$42,MATCH(ROW()-56,$AM$57:$AM$95,0)))</f>
        <v/>
      </c>
      <c r="AO71">
        <f>AO70+IF(AND(Lists!$T$18&lt;&gt;"",ISNUMBER(SEARCH($C$4,Lists!$T$18))),1,0)</f>
        <v/>
      </c>
      <c r="AP71">
        <f>IF(ROW()-56&gt;MAX($AO$57:$AO$95),"",INDEX(Lists!$T$4:$T$42,MATCH(ROW()-56,$AO$57:$AO$95,0)))</f>
        <v/>
      </c>
      <c r="AQ71">
        <f>AQ70+IF(AND(Lists!$Y$18&lt;&gt;"",ISNUMBER(SEARCH($D$4,Lists!$Y$18))),1,0)</f>
        <v/>
      </c>
      <c r="AR71">
        <f>IF(ROW()-56&gt;MAX($AQ$57:$AQ$95),"",INDEX(Lists!$Y$4:$Y$42,MATCH(ROW()-56,$AQ$57:$AQ$95,0)))</f>
        <v/>
      </c>
      <c r="AS71">
        <f>AS70+IF(AND(Lists!$AD$18&lt;&gt;"",ISNUMBER(SEARCH($E$4,Lists!$AD$18))),1,0)</f>
        <v/>
      </c>
      <c r="AT71">
        <f>IF(ROW()-56&gt;MAX($AS$57:$AS$95),"",INDEX(Lists!$AD$4:$AD$42,MATCH(ROW()-56,$AS$57:$AS$95,0)))</f>
        <v/>
      </c>
      <c r="AU71">
        <f>AU70+IF(AND(Lists!$AI$18&lt;&gt;"",ISNUMBER(SEARCH($F$4,Lists!$AI$18))),1,0)</f>
        <v/>
      </c>
      <c r="AV71">
        <f>IF(ROW()-56&gt;MAX($AU$57:$AU$95),"",INDEX(Lists!$AI$4:$AI$42,MATCH(ROW()-56,$AU$57:$AU$95,0)))</f>
        <v/>
      </c>
      <c r="AW71">
        <f>AW70+IF(AND(Lists!$AN$18&lt;&gt;"",ISNUMBER(SEARCH($G$4,Lists!$AN$18))),1,0)</f>
        <v/>
      </c>
      <c r="AX71">
        <f>IF(ROW()-56&gt;MAX($AW$57:$AW$95),"",INDEX(Lists!$AN$4:$AN$42,MATCH(ROW()-56,$AW$57:$AW$95,0)))</f>
        <v/>
      </c>
      <c r="AY71">
        <f>AY70+IF(AND(Lists!$AS$18&lt;&gt;"",ISNUMBER(SEARCH($H$4,Lists!$AS$18))),1,0)</f>
        <v/>
      </c>
      <c r="AZ71">
        <f>IF(ROW()-56&gt;MAX($AY$57:$AY$95),"",INDEX(Lists!$AS$4:$AS$42,MATCH(ROW()-56,$AY$57:$AY$95,0)))</f>
        <v/>
      </c>
      <c r="BA71">
        <f>BA70+IF(AND(Lists!$AX$18&lt;&gt;"",ISNUMBER(SEARCH($I$4,Lists!$AX$18))),1,0)</f>
        <v/>
      </c>
      <c r="BB71">
        <f>IF(ROW()-56&gt;MAX($BA$57:$BA$95),"",INDEX(Lists!$AX$4:$AX$42,MATCH(ROW()-56,$BA$57:$BA$95,0)))</f>
        <v/>
      </c>
      <c r="BC71">
        <f>BC70+IF(AND(Lists!$BC$18&lt;&gt;"",ISNUMBER(SEARCH($J$4,Lists!$BC$18))),1,0)</f>
        <v/>
      </c>
      <c r="BD71">
        <f>IF(ROW()-56&gt;MAX($BC$57:$BC$95),"",INDEX(Lists!$BC$4:$BC$42,MATCH(ROW()-56,$BC$57:$BC$95,0)))</f>
        <v/>
      </c>
      <c r="BE71">
        <f>BE70+IF(AND(Lists!$BH$18&lt;&gt;"",ISNUMBER(SEARCH($K$4,Lists!$BH$18))),1,0)</f>
        <v/>
      </c>
      <c r="BF71">
        <f>IF(ROW()-56&gt;MAX($BE$57:$BE$95),"",INDEX(Lists!$BH$4:$BH$42,MATCH(ROW()-56,$BE$57:$BE$95,0)))</f>
        <v/>
      </c>
      <c r="BG71">
        <f>BG70+IF(AND(Lists!$BM$18&lt;&gt;"",ISNUMBER(SEARCH($L$4,Lists!$BM$18))),1,0)</f>
        <v/>
      </c>
      <c r="BH71">
        <f>IF(ROW()-56&gt;MAX($BG$57:$BG$95),"",INDEX(Lists!$BM$4:$BM$42,MATCH(ROW()-56,$BG$57:$BG$95,0)))</f>
        <v/>
      </c>
      <c r="BI71">
        <f>BI70+IF(AND(Lists!$BR$18&lt;&gt;"",ISNUMBER(SEARCH($M$4,Lists!$BR$18))),1,0)</f>
        <v/>
      </c>
      <c r="BJ71">
        <f>IF(ROW()-56&gt;MAX($BI$57:$BI$95),"",INDEX(Lists!$BR$4:$BR$42,MATCH(ROW()-56,$BI$57:$BI$95,0)))</f>
        <v/>
      </c>
      <c r="BK71">
        <f>BK70+IF(AND(Lists!$BW$18&lt;&gt;"",ISNUMBER(SEARCH($N$4,Lists!$BW$18))),1,0)</f>
        <v/>
      </c>
      <c r="BL71">
        <f>IF(ROW()-56&gt;MAX($BK$57:$BK$95),"",INDEX(Lists!$BW$4:$BW$42,MATCH(ROW()-56,$BK$57:$BK$95,0)))</f>
        <v/>
      </c>
      <c r="BM71">
        <f>BM70+IF(AND(Lists!$CB$18&lt;&gt;"",ISNUMBER(SEARCH($O$4,Lists!$CB$18))),1,0)</f>
        <v/>
      </c>
      <c r="BN71">
        <f>IF(ROW()-56&gt;MAX($BM$57:$BM$95),"",INDEX(Lists!$CB$4:$CB$42,MATCH(ROW()-56,$BM$57:$BM$95,0)))</f>
        <v/>
      </c>
      <c r="BO71">
        <f>BO70+IF(AND(Lists!$CG$18&lt;&gt;"",ISNUMBER(SEARCH($P$4,Lists!$CG$18))),1,0)</f>
        <v/>
      </c>
      <c r="BP71">
        <f>IF(ROW()-56&gt;MAX($BO$57:$BO$95),"",INDEX(Lists!$CG$4:$CG$42,MATCH(ROW()-56,$BO$57:$BO$95,0)))</f>
        <v/>
      </c>
      <c r="BQ71">
        <f>BQ70+IF(AND(Lists!$CL$18&lt;&gt;"",ISNUMBER(SEARCH($Q$4,Lists!$CL$18))),1,0)</f>
        <v/>
      </c>
      <c r="BR71">
        <f>IF(ROW()-56&gt;MAX($BQ$57:$BQ$95),"",INDEX(Lists!$CL$4:$CL$42,MATCH(ROW()-56,$BQ$57:$BQ$95,0)))</f>
        <v/>
      </c>
      <c r="BS71">
        <f>BS70+IF(AND(Lists!$CQ$18&lt;&gt;"",ISNUMBER(SEARCH($R$4,Lists!$CQ$18))),1,0)</f>
        <v/>
      </c>
      <c r="BT71">
        <f>IF(ROW()-56&gt;MAX($BS$57:$BS$95),"",INDEX(Lists!$CQ$4:$CQ$42,MATCH(ROW()-56,$BS$57:$BS$95,0)))</f>
        <v/>
      </c>
      <c r="BU71">
        <f>BU70+IF(AND(Lists!$CV$18&lt;&gt;"",ISNUMBER(SEARCH($S$4,Lists!$CV$18))),1,0)</f>
        <v/>
      </c>
      <c r="BV71">
        <f>IF(ROW()-56&gt;MAX($BU$57:$BU$95),"",INDEX(Lists!$CV$4:$CV$42,MATCH(ROW()-56,$BU$57:$BU$95,0)))</f>
        <v/>
      </c>
      <c r="BW71">
        <f>BW70+IF(AND(Lists!$DA$18&lt;&gt;"",ISNUMBER(SEARCH($T$4,Lists!$DA$18))),1,0)</f>
        <v/>
      </c>
      <c r="BX71">
        <f>IF(ROW()-56&gt;MAX($BW$57:$BW$95),"",INDEX(Lists!$DA$4:$DA$42,MATCH(ROW()-56,$BW$57:$BW$95,0)))</f>
        <v/>
      </c>
      <c r="BY71">
        <f>BY70+IF(AND(Lists!$DF$18&lt;&gt;"",ISNUMBER(SEARCH($U$4,Lists!$DF$18))),1,0)</f>
        <v/>
      </c>
      <c r="BZ71">
        <f>IF(ROW()-56&gt;MAX($BY$57:$BY$95),"",INDEX(Lists!$DF$4:$DF$42,MATCH(ROW()-56,$BY$57:$BY$95,0)))</f>
        <v/>
      </c>
      <c r="CA71">
        <f>CA70+IF(AND(Lists!$DK$18&lt;&gt;"",ISNUMBER(SEARCH($V$4,Lists!$DK$18))),1,0)</f>
        <v/>
      </c>
      <c r="CB71">
        <f>IF(ROW()-56&gt;MAX($CA$57:$CA$95),"",INDEX(Lists!$DK$4:$DK$42,MATCH(ROW()-56,$CA$57:$CA$95,0)))</f>
        <v/>
      </c>
      <c r="CC71">
        <f>CC70+IF(AND(Lists!$DP$18&lt;&gt;"",ISNUMBER(SEARCH($W$4,Lists!$DP$18))),1,0)</f>
        <v/>
      </c>
      <c r="CD71">
        <f>IF(ROW()-56&gt;MAX($CC$57:$CC$95),"",INDEX(Lists!$DP$4:$DP$42,MATCH(ROW()-56,$CC$57:$CC$95,0)))</f>
        <v/>
      </c>
      <c r="CE71">
        <f>CE70+IF(AND(Lists!$DU$18&lt;&gt;"",ISNUMBER(SEARCH($X$4,Lists!$DU$18))),1,0)</f>
        <v/>
      </c>
      <c r="CF71">
        <f>IF(ROW()-56&gt;MAX($CE$57:$CE$95),"",INDEX(Lists!$DU$4:$DU$42,MATCH(ROW()-56,$CE$57:$CE$95,0)))</f>
        <v/>
      </c>
      <c r="CG71">
        <f>CG70+IF(AND(Lists!$DZ$18&lt;&gt;"",ISNUMBER(SEARCH($Y$4,Lists!$DZ$18))),1,0)</f>
        <v/>
      </c>
      <c r="CH71">
        <f>IF(ROW()-56&gt;MAX($CG$57:$CG$95),"",INDEX(Lists!$DZ$4:$DZ$42,MATCH(ROW()-56,$CG$57:$CG$95,0)))</f>
        <v/>
      </c>
      <c r="CI71">
        <f>CI70+IF(AND(Lists!$EE$18&lt;&gt;"",ISNUMBER(SEARCH($Z$4,Lists!$EE$18))),1,0)</f>
        <v/>
      </c>
      <c r="CJ71">
        <f>IF(ROW()-56&gt;MAX($CI$57:$CI$95),"",INDEX(Lists!$EE$4:$EE$42,MATCH(ROW()-56,$CI$57:$CI$95,0)))</f>
        <v/>
      </c>
      <c r="CK71">
        <f>CK70+IF(AND(Lists!$EJ$18&lt;&gt;"",ISNUMBER(SEARCH($AA$4,Lists!$EJ$18))),1,0)</f>
        <v/>
      </c>
      <c r="CL71">
        <f>IF(ROW()-56&gt;MAX($CK$57:$CK$95),"",INDEX(Lists!$EJ$4:$EJ$42,MATCH(ROW()-56,$CK$57:$CK$95,0)))</f>
        <v/>
      </c>
      <c r="CM71">
        <f>CM70+IF(AND(Lists!$EO$18&lt;&gt;"",ISNUMBER(SEARCH($AB$4,Lists!$EO$18))),1,0)</f>
        <v/>
      </c>
      <c r="CN71">
        <f>IF(ROW()-56&gt;MAX($CM$57:$CM$95),"",INDEX(Lists!$EO$4:$EO$42,MATCH(ROW()-56,$CM$57:$CM$95,0)))</f>
        <v/>
      </c>
      <c r="CO71">
        <f>CO70+IF(AND(Lists!$ET$18&lt;&gt;"",ISNUMBER(SEARCH($AC$4,Lists!$ET$18))),1,0)</f>
        <v/>
      </c>
      <c r="CP71">
        <f>IF(ROW()-56&gt;MAX($CO$57:$CO$95),"",INDEX(Lists!$ET$4:$ET$42,MATCH(ROW()-56,$CO$57:$CO$95,0)))</f>
        <v/>
      </c>
      <c r="CQ71">
        <f>CQ70+IF(AND(Lists!$EY$18&lt;&gt;"",ISNUMBER(SEARCH($AD$4,Lists!$EY$18))),1,0)</f>
        <v/>
      </c>
      <c r="CR71">
        <f>IF(ROW()-56&gt;MAX($CQ$57:$CQ$95),"",INDEX(Lists!$EY$4:$EY$42,MATCH(ROW()-56,$CQ$57:$CQ$95,0)))</f>
        <v/>
      </c>
      <c r="CS71">
        <f>CS70+IF(AND(Lists!$FD$18&lt;&gt;"",ISNUMBER(SEARCH($AE$4,Lists!$FD$18))),1,0)</f>
        <v/>
      </c>
      <c r="CT71">
        <f>IF(ROW()-56&gt;MAX($CS$57:$CS$95),"",INDEX(Lists!$FD$4:$FD$42,MATCH(ROW()-56,$CS$57:$CS$95,0)))</f>
        <v/>
      </c>
      <c r="CU71">
        <f>CU70+IF(AND(Lists!$FI$18&lt;&gt;"",ISNUMBER(SEARCH($AG$4,Lists!$FI$18))),1,0)</f>
        <v/>
      </c>
      <c r="CV71">
        <f>IF(ROW()-56&gt;MAX($CU$57:$CU$95),"",INDEX(Lists!$FI$4:$FI$42,MATCH(ROW()-56,$CU$57:$CU$95,0)))</f>
        <v/>
      </c>
      <c r="CW71">
        <f>CW70+IF(AND(Lists!$FN$18&lt;&gt;"",ISNUMBER(SEARCH($AH$4,Lists!$FN$18))),1,0)</f>
        <v/>
      </c>
      <c r="CX71">
        <f>IF(ROW()-56&gt;MAX($CW$57:$CW$95),"",INDEX(Lists!$FN$4:$FN$42,MATCH(ROW()-56,$CW$57:$CW$95,0)))</f>
        <v/>
      </c>
      <c r="CY71">
        <f>CY70+IF(AND(Lists!$FS$18&lt;&gt;"",ISNUMBER(SEARCH($AI$4,Lists!$FS$18))),1,0)</f>
        <v/>
      </c>
      <c r="CZ71">
        <f>IF(ROW()-56&gt;MAX($CY$57:$CY$95),"",INDEX(Lists!$FS$4:$FS$42,MATCH(ROW()-56,$CY$57:$CY$95,0)))</f>
        <v/>
      </c>
      <c r="DA71">
        <f>DA70+IF(AND(Lists!$FX$18&lt;&gt;"",ISNUMBER(SEARCH($AF$4,Lists!$FX$18))),1,0)</f>
        <v/>
      </c>
      <c r="DB71">
        <f>IF(ROW()-56&gt;MAX($DA$57:$DA$95),"",INDEX(Lists!$FX$4:$FX$42,MATCH(ROW()-56,$DA$57:$DA$95,0)))</f>
        <v/>
      </c>
      <c r="DG71">
        <f>IF($B$4="",1,IF($B$4="(blank)",--('Final Calculation Sheet'!$F$16=""),IF($B$4="(nonblank)",--('Final Calculation Sheet'!$F$16&lt;&gt;""),--ISNUMBER(SEARCH($B$4,'Final Calculation Sheet'!$F$16)))))</f>
        <v/>
      </c>
      <c r="DH71">
        <f>IF($C$4="",1,IF($C$4="(blank)",--('Final Calculation Sheet'!$G$16=""),IF($C$4="(nonblank)",--('Final Calculation Sheet'!$G$16&lt;&gt;""),--ISNUMBER(SEARCH($C$4,'Final Calculation Sheet'!$G$16)))))</f>
        <v/>
      </c>
      <c r="DI71">
        <f>IF($D$4="",1,IF($D$4="(blank)",--('Final Calculation Sheet'!$B$16=""),IF($D$4="(nonblank)",--('Final Calculation Sheet'!$B$16&lt;&gt;""),--ISNUMBER(SEARCH($D$4,'Final Calculation Sheet'!$B$16)))))</f>
        <v/>
      </c>
      <c r="DJ71">
        <f>IF($E$4="",1,IF($E$4="(blank)",--('Final Calculation Sheet'!$D$16=""),IF($E$4="(nonblank)",--('Final Calculation Sheet'!$D$16&lt;&gt;""),--ISNUMBER(SEARCH($E$4,'Final Calculation Sheet'!$D$16)))))</f>
        <v/>
      </c>
      <c r="DK71">
        <f>IF($F$4="",1,IF($F$4="(blank)",--('Final Calculation Sheet'!$A$16=""),IF($F$4="(nonblank)",--('Final Calculation Sheet'!$A$16&lt;&gt;""),--ISNUMBER(SEARCH($F$4,'Final Calculation Sheet'!$A$16)))))</f>
        <v/>
      </c>
      <c r="DL71">
        <f>IF($G$4="",1,IF($G$4="(blank)",--('Final Calculation Sheet'!$E$16=""),IF($G$4="(nonblank)",--('Final Calculation Sheet'!$E$16&lt;&gt;""),--ISNUMBER(SEARCH($G$4,'Final Calculation Sheet'!$E$16)))))</f>
        <v/>
      </c>
      <c r="DM71">
        <f>IF($H$4="",1,IF($H$4="(blank)",--('Final Calculation Sheet'!$C$16=""),IF($H$4="(nonblank)",--('Final Calculation Sheet'!$C$16&lt;&gt;""),--ISNUMBER(SEARCH($H$4,'Final Calculation Sheet'!$C$16)))))</f>
        <v/>
      </c>
      <c r="DN71">
        <f>IF($I$4="",1,IF($I$4="(blank)",--('Final Calculation Sheet'!$H$16=""),IF($I$4="(nonblank)",--('Final Calculation Sheet'!$H$16&lt;&gt;""),--ISNUMBER(SEARCH($I$4,'Final Calculation Sheet'!$H$16)))))</f>
        <v/>
      </c>
      <c r="DO71">
        <f>IF($J$4="",1,IF($J$4="(blank)",--('Final Calculation Sheet'!$I$16=""),IF($J$4="(nonblank)",--('Final Calculation Sheet'!$I$16&lt;&gt;""),--ISNUMBER(SEARCH($J$4,'Final Calculation Sheet'!$I$16)))))</f>
        <v/>
      </c>
      <c r="DP71">
        <f>IF($K$4="",1,IF($K$4="(blank)",--('Final Calculation Sheet'!$J$16=""),IF($K$4="(nonblank)",--('Final Calculation Sheet'!$J$16&lt;&gt;""),--ISNUMBER(SEARCH($K$4,'Final Calculation Sheet'!$J$16)))))</f>
        <v/>
      </c>
      <c r="DQ71">
        <f>IF($L$4="",1,IF($L$4="(blank)",--('Final Calculation Sheet'!$K$16=""),IF($L$4="(nonblank)",--('Final Calculation Sheet'!$K$16&lt;&gt;""),--ISNUMBER(SEARCH($L$4,'Final Calculation Sheet'!$K$16)))))</f>
        <v/>
      </c>
      <c r="DR71">
        <f>IF($M$4="",1,IF($M$4="(blank)",--('Final Calculation Sheet'!$L$16=""),IF($M$4="(nonblank)",--('Final Calculation Sheet'!$L$16&lt;&gt;""),--ISNUMBER(SEARCH($M$4,'Final Calculation Sheet'!$L$16)))))</f>
        <v/>
      </c>
      <c r="DS71">
        <f>IF($N$4="",1,IF($N$4="(blank)",--('Final Calculation Sheet'!$M$16=""),IF($N$4="(nonblank)",--('Final Calculation Sheet'!$M$16&lt;&gt;""),--ISNUMBER(SEARCH($N$4,'Final Calculation Sheet'!$M$16)))))</f>
        <v/>
      </c>
      <c r="DT71">
        <f>IF($O$4="",1,IF($O$4="(blank)",--('Final Calculation Sheet'!$N$16=""),IF($O$4="(nonblank)",--('Final Calculation Sheet'!$N$16&lt;&gt;""),--ISNUMBER(SEARCH($O$4,'Final Calculation Sheet'!$N$16)))))</f>
        <v/>
      </c>
      <c r="DU71">
        <f>IF($P$4="",1,IF($P$4="(blank)",--('Final Calculation Sheet'!$O$16=""),IF($P$4="(nonblank)",--('Final Calculation Sheet'!$O$16&lt;&gt;""),--ISNUMBER(SEARCH($P$4,'Final Calculation Sheet'!$O$16)))))</f>
        <v/>
      </c>
      <c r="DV71">
        <f>IF($Q$4="",1,IF($Q$4="(blank)",--('Final Calculation Sheet'!$P$16=""),IF($Q$4="(nonblank)",--('Final Calculation Sheet'!$P$16&lt;&gt;""),--ISNUMBER(SEARCH($Q$4,'Final Calculation Sheet'!$P$16)))))</f>
        <v/>
      </c>
      <c r="DW71">
        <f>IF($R$4="",1,IF($R$4="(blank)",--('Final Calculation Sheet'!$Q$16=""),IF($R$4="(nonblank)",--('Final Calculation Sheet'!$Q$16&lt;&gt;""),--ISNUMBER(SEARCH($R$4,'Final Calculation Sheet'!$Q$16)))))</f>
        <v/>
      </c>
      <c r="DX71">
        <f>IF($S$4="",1,IF($S$4="(blank)",--('Final Calculation Sheet'!$R$16=""),IF($S$4="(nonblank)",--('Final Calculation Sheet'!$R$16&lt;&gt;""),--ISNUMBER(SEARCH($S$4,'Final Calculation Sheet'!$R$16)))))</f>
        <v/>
      </c>
      <c r="DY71">
        <f>IF($T$4="",1,IF($T$4="(blank)",--('Final Calculation Sheet'!$S$16=""),IF($T$4="(nonblank)",--('Final Calculation Sheet'!$S$16&lt;&gt;""),--ISNUMBER(SEARCH($T$4,'Final Calculation Sheet'!$S$16)))))</f>
        <v/>
      </c>
      <c r="DZ71">
        <f>IF($U$4="",1,IF($U$4="(blank)",--('Final Calculation Sheet'!$T$16=""),IF($U$4="(nonblank)",--('Final Calculation Sheet'!$T$16&lt;&gt;""),--ISNUMBER(SEARCH($U$4,'Final Calculation Sheet'!$T$16)))))</f>
        <v/>
      </c>
      <c r="EA71">
        <f>IF($V$4="",1,IF($V$4="(blank)",--('Final Calculation Sheet'!$U$16=""),IF($V$4="(nonblank)",--('Final Calculation Sheet'!$U$16&lt;&gt;""),--ISNUMBER(SEARCH($V$4,'Final Calculation Sheet'!$U$16)))))</f>
        <v/>
      </c>
      <c r="EB71">
        <f>IF($W$4="",1,IF($W$4="(blank)",--('Final Calculation Sheet'!$V$16=""),IF($W$4="(nonblank)",--('Final Calculation Sheet'!$V$16&lt;&gt;""),--ISNUMBER(SEARCH($W$4,'Final Calculation Sheet'!$V$16)))))</f>
        <v/>
      </c>
      <c r="EC71">
        <f>IF($X$4="",1,IF($X$4="(blank)",--('Final Calculation Sheet'!$W$16=""),IF($X$4="(nonblank)",--('Final Calculation Sheet'!$W$16&lt;&gt;""),--ISNUMBER(SEARCH($X$4,'Final Calculation Sheet'!$W$16)))))</f>
        <v/>
      </c>
      <c r="ED71">
        <f>IF($Y$4="",1,IF($Y$4="(blank)",--('Final Calculation Sheet'!$X$16=""),IF($Y$4="(nonblank)",--('Final Calculation Sheet'!$X$16&lt;&gt;""),--ISNUMBER(SEARCH($Y$4,'Final Calculation Sheet'!$X$16)))))</f>
        <v/>
      </c>
      <c r="EE71">
        <f>IF($Z$4="",1,IF($Z$4="(blank)",--('Final Calculation Sheet'!$Y$16=""),IF($Z$4="(nonblank)",--('Final Calculation Sheet'!$Y$16&lt;&gt;""),--ISNUMBER(SEARCH($Z$4,'Final Calculation Sheet'!$Y$16)))))</f>
        <v/>
      </c>
      <c r="EF71">
        <f>IF($AA$4="",1,IF($AA$4="(blank)",--('Final Calculation Sheet'!$Z$16=""),IF($AA$4="(nonblank)",--('Final Calculation Sheet'!$Z$16&lt;&gt;""),--ISNUMBER(SEARCH($AA$4,'Final Calculation Sheet'!$Z$16)))))</f>
        <v/>
      </c>
      <c r="EG71">
        <f>IF($AB$4="",1,IF($AB$4="(blank)",--('Final Calculation Sheet'!$AA$16=""),IF($AB$4="(nonblank)",--('Final Calculation Sheet'!$AA$16&lt;&gt;""),--ISNUMBER(SEARCH($AB$4,'Final Calculation Sheet'!$AA$16)))))</f>
        <v/>
      </c>
      <c r="EH71">
        <f>IF($AC$4="",1,IF($AC$4="(blank)",--('Final Calculation Sheet'!$AB$16=""),IF($AC$4="(nonblank)",--('Final Calculation Sheet'!$AB$16&lt;&gt;""),--ISNUMBER(SEARCH($AC$4,'Final Calculation Sheet'!$AB$16)))))</f>
        <v/>
      </c>
      <c r="EI71">
        <f>IF($AD$4="",1,IF($AD$4="(blank)",--('Final Calculation Sheet'!$AC$16=""),IF($AD$4="(nonblank)",--('Final Calculation Sheet'!$AC$16&lt;&gt;""),--ISNUMBER(SEARCH($AD$4,'Final Calculation Sheet'!$AC$16)))))</f>
        <v/>
      </c>
      <c r="EJ71">
        <f>IF($AE$4="",1,IF($AE$4="(blank)",--('Final Calculation Sheet'!$AD$16=""),IF($AE$4="(nonblank)",--('Final Calculation Sheet'!$AD$16&lt;&gt;""),--ISNUMBER(SEARCH($AE$4,'Final Calculation Sheet'!$AD$16)))))</f>
        <v/>
      </c>
      <c r="EK71">
        <f>IF($AF$4="",1,IF($AF$4="(blank)",--(IF('Final Calculation Sheet'!$AD$16&lt;=5,"SETTLED","OUTSTANDING")=""),IF($AF$4="(nonblank)",--(IF('Final Calculation Sheet'!$AD$16&lt;=5,"SETTLED","OUTSTANDING")&lt;&gt;""),--ISNUMBER(SEARCH($AF$4,IF('Final Calculation Sheet'!$AD$16&lt;=5,"SETTLED","OUTSTANDING"))))))</f>
        <v/>
      </c>
      <c r="EL71">
        <f>IF($AG$4="",1,IF($AG$4="(blank)",--('Final Calculation Sheet'!$AF$16=""),IF($AG$4="(nonblank)",--('Final Calculation Sheet'!$AF$16&lt;&gt;""),--ISNUMBER(SEARCH($AG$4,'Final Calculation Sheet'!$AF$16)))))</f>
        <v/>
      </c>
      <c r="EM71">
        <f>IF($AH$4="",1,IF($AH$4="(blank)",--('Final Calculation Sheet'!$AG$16=""),IF($AH$4="(nonblank)",--('Final Calculation Sheet'!$AG$16&lt;&gt;""),--ISNUMBER(SEARCH($AH$4,'Final Calculation Sheet'!$AG$16)))))</f>
        <v/>
      </c>
      <c r="EN71">
        <f>IF($AI$4="",1,IF($AI$4="(blank)",--('Final Calculation Sheet'!$AH$16=""),IF($AI$4="(nonblank)",--('Final Calculation Sheet'!$AH$16&lt;&gt;""),--ISNUMBER(SEARCH($AI$4,'Final Calculation Sheet'!$AH$16)))))</f>
        <v/>
      </c>
    </row>
    <row r="72">
      <c r="AM72">
        <f>AM71+IF(AND(Lists!$O$19&lt;&gt;"",ISNUMBER(SEARCH($B$4,Lists!$O$19))),1,0)</f>
        <v/>
      </c>
      <c r="AN72">
        <f>IF(ROW()-56&gt;MAX($AM$57:$AM$95),"",INDEX(Lists!$O$4:$O$42,MATCH(ROW()-56,$AM$57:$AM$95,0)))</f>
        <v/>
      </c>
      <c r="AO72">
        <f>AO71+IF(AND(Lists!$T$19&lt;&gt;"",ISNUMBER(SEARCH($C$4,Lists!$T$19))),1,0)</f>
        <v/>
      </c>
      <c r="AP72">
        <f>IF(ROW()-56&gt;MAX($AO$57:$AO$95),"",INDEX(Lists!$T$4:$T$42,MATCH(ROW()-56,$AO$57:$AO$95,0)))</f>
        <v/>
      </c>
      <c r="AQ72">
        <f>AQ71+IF(AND(Lists!$Y$19&lt;&gt;"",ISNUMBER(SEARCH($D$4,Lists!$Y$19))),1,0)</f>
        <v/>
      </c>
      <c r="AR72">
        <f>IF(ROW()-56&gt;MAX($AQ$57:$AQ$95),"",INDEX(Lists!$Y$4:$Y$42,MATCH(ROW()-56,$AQ$57:$AQ$95,0)))</f>
        <v/>
      </c>
      <c r="AS72">
        <f>AS71+IF(AND(Lists!$AD$19&lt;&gt;"",ISNUMBER(SEARCH($E$4,Lists!$AD$19))),1,0)</f>
        <v/>
      </c>
      <c r="AT72">
        <f>IF(ROW()-56&gt;MAX($AS$57:$AS$95),"",INDEX(Lists!$AD$4:$AD$42,MATCH(ROW()-56,$AS$57:$AS$95,0)))</f>
        <v/>
      </c>
      <c r="AU72">
        <f>AU71+IF(AND(Lists!$AI$19&lt;&gt;"",ISNUMBER(SEARCH($F$4,Lists!$AI$19))),1,0)</f>
        <v/>
      </c>
      <c r="AV72">
        <f>IF(ROW()-56&gt;MAX($AU$57:$AU$95),"",INDEX(Lists!$AI$4:$AI$42,MATCH(ROW()-56,$AU$57:$AU$95,0)))</f>
        <v/>
      </c>
      <c r="AW72">
        <f>AW71+IF(AND(Lists!$AN$19&lt;&gt;"",ISNUMBER(SEARCH($G$4,Lists!$AN$19))),1,0)</f>
        <v/>
      </c>
      <c r="AX72">
        <f>IF(ROW()-56&gt;MAX($AW$57:$AW$95),"",INDEX(Lists!$AN$4:$AN$42,MATCH(ROW()-56,$AW$57:$AW$95,0)))</f>
        <v/>
      </c>
      <c r="AY72">
        <f>AY71+IF(AND(Lists!$AS$19&lt;&gt;"",ISNUMBER(SEARCH($H$4,Lists!$AS$19))),1,0)</f>
        <v/>
      </c>
      <c r="AZ72">
        <f>IF(ROW()-56&gt;MAX($AY$57:$AY$95),"",INDEX(Lists!$AS$4:$AS$42,MATCH(ROW()-56,$AY$57:$AY$95,0)))</f>
        <v/>
      </c>
      <c r="BA72">
        <f>BA71+IF(AND(Lists!$AX$19&lt;&gt;"",ISNUMBER(SEARCH($I$4,Lists!$AX$19))),1,0)</f>
        <v/>
      </c>
      <c r="BB72">
        <f>IF(ROW()-56&gt;MAX($BA$57:$BA$95),"",INDEX(Lists!$AX$4:$AX$42,MATCH(ROW()-56,$BA$57:$BA$95,0)))</f>
        <v/>
      </c>
      <c r="BC72">
        <f>BC71+IF(AND(Lists!$BC$19&lt;&gt;"",ISNUMBER(SEARCH($J$4,Lists!$BC$19))),1,0)</f>
        <v/>
      </c>
      <c r="BD72">
        <f>IF(ROW()-56&gt;MAX($BC$57:$BC$95),"",INDEX(Lists!$BC$4:$BC$42,MATCH(ROW()-56,$BC$57:$BC$95,0)))</f>
        <v/>
      </c>
      <c r="BE72">
        <f>BE71+IF(AND(Lists!$BH$19&lt;&gt;"",ISNUMBER(SEARCH($K$4,Lists!$BH$19))),1,0)</f>
        <v/>
      </c>
      <c r="BF72">
        <f>IF(ROW()-56&gt;MAX($BE$57:$BE$95),"",INDEX(Lists!$BH$4:$BH$42,MATCH(ROW()-56,$BE$57:$BE$95,0)))</f>
        <v/>
      </c>
      <c r="BG72">
        <f>BG71+IF(AND(Lists!$BM$19&lt;&gt;"",ISNUMBER(SEARCH($L$4,Lists!$BM$19))),1,0)</f>
        <v/>
      </c>
      <c r="BH72">
        <f>IF(ROW()-56&gt;MAX($BG$57:$BG$95),"",INDEX(Lists!$BM$4:$BM$42,MATCH(ROW()-56,$BG$57:$BG$95,0)))</f>
        <v/>
      </c>
      <c r="BI72">
        <f>BI71+IF(AND(Lists!$BR$19&lt;&gt;"",ISNUMBER(SEARCH($M$4,Lists!$BR$19))),1,0)</f>
        <v/>
      </c>
      <c r="BJ72">
        <f>IF(ROW()-56&gt;MAX($BI$57:$BI$95),"",INDEX(Lists!$BR$4:$BR$42,MATCH(ROW()-56,$BI$57:$BI$95,0)))</f>
        <v/>
      </c>
      <c r="BK72">
        <f>BK71+IF(AND(Lists!$BW$19&lt;&gt;"",ISNUMBER(SEARCH($N$4,Lists!$BW$19))),1,0)</f>
        <v/>
      </c>
      <c r="BL72">
        <f>IF(ROW()-56&gt;MAX($BK$57:$BK$95),"",INDEX(Lists!$BW$4:$BW$42,MATCH(ROW()-56,$BK$57:$BK$95,0)))</f>
        <v/>
      </c>
      <c r="BM72">
        <f>BM71+IF(AND(Lists!$CB$19&lt;&gt;"",ISNUMBER(SEARCH($O$4,Lists!$CB$19))),1,0)</f>
        <v/>
      </c>
      <c r="BN72">
        <f>IF(ROW()-56&gt;MAX($BM$57:$BM$95),"",INDEX(Lists!$CB$4:$CB$42,MATCH(ROW()-56,$BM$57:$BM$95,0)))</f>
        <v/>
      </c>
      <c r="BO72">
        <f>BO71+IF(AND(Lists!$CG$19&lt;&gt;"",ISNUMBER(SEARCH($P$4,Lists!$CG$19))),1,0)</f>
        <v/>
      </c>
      <c r="BP72">
        <f>IF(ROW()-56&gt;MAX($BO$57:$BO$95),"",INDEX(Lists!$CG$4:$CG$42,MATCH(ROW()-56,$BO$57:$BO$95,0)))</f>
        <v/>
      </c>
      <c r="BQ72">
        <f>BQ71+IF(AND(Lists!$CL$19&lt;&gt;"",ISNUMBER(SEARCH($Q$4,Lists!$CL$19))),1,0)</f>
        <v/>
      </c>
      <c r="BR72">
        <f>IF(ROW()-56&gt;MAX($BQ$57:$BQ$95),"",INDEX(Lists!$CL$4:$CL$42,MATCH(ROW()-56,$BQ$57:$BQ$95,0)))</f>
        <v/>
      </c>
      <c r="BS72">
        <f>BS71+IF(AND(Lists!$CQ$19&lt;&gt;"",ISNUMBER(SEARCH($R$4,Lists!$CQ$19))),1,0)</f>
        <v/>
      </c>
      <c r="BT72">
        <f>IF(ROW()-56&gt;MAX($BS$57:$BS$95),"",INDEX(Lists!$CQ$4:$CQ$42,MATCH(ROW()-56,$BS$57:$BS$95,0)))</f>
        <v/>
      </c>
      <c r="BU72">
        <f>BU71+IF(AND(Lists!$CV$19&lt;&gt;"",ISNUMBER(SEARCH($S$4,Lists!$CV$19))),1,0)</f>
        <v/>
      </c>
      <c r="BV72">
        <f>IF(ROW()-56&gt;MAX($BU$57:$BU$95),"",INDEX(Lists!$CV$4:$CV$42,MATCH(ROW()-56,$BU$57:$BU$95,0)))</f>
        <v/>
      </c>
      <c r="BW72">
        <f>BW71+IF(AND(Lists!$DA$19&lt;&gt;"",ISNUMBER(SEARCH($T$4,Lists!$DA$19))),1,0)</f>
        <v/>
      </c>
      <c r="BX72">
        <f>IF(ROW()-56&gt;MAX($BW$57:$BW$95),"",INDEX(Lists!$DA$4:$DA$42,MATCH(ROW()-56,$BW$57:$BW$95,0)))</f>
        <v/>
      </c>
      <c r="BY72">
        <f>BY71+IF(AND(Lists!$DF$19&lt;&gt;"",ISNUMBER(SEARCH($U$4,Lists!$DF$19))),1,0)</f>
        <v/>
      </c>
      <c r="BZ72">
        <f>IF(ROW()-56&gt;MAX($BY$57:$BY$95),"",INDEX(Lists!$DF$4:$DF$42,MATCH(ROW()-56,$BY$57:$BY$95,0)))</f>
        <v/>
      </c>
      <c r="CA72">
        <f>CA71+IF(AND(Lists!$DK$19&lt;&gt;"",ISNUMBER(SEARCH($V$4,Lists!$DK$19))),1,0)</f>
        <v/>
      </c>
      <c r="CB72">
        <f>IF(ROW()-56&gt;MAX($CA$57:$CA$95),"",INDEX(Lists!$DK$4:$DK$42,MATCH(ROW()-56,$CA$57:$CA$95,0)))</f>
        <v/>
      </c>
      <c r="CC72">
        <f>CC71+IF(AND(Lists!$DP$19&lt;&gt;"",ISNUMBER(SEARCH($W$4,Lists!$DP$19))),1,0)</f>
        <v/>
      </c>
      <c r="CD72">
        <f>IF(ROW()-56&gt;MAX($CC$57:$CC$95),"",INDEX(Lists!$DP$4:$DP$42,MATCH(ROW()-56,$CC$57:$CC$95,0)))</f>
        <v/>
      </c>
      <c r="CE72">
        <f>CE71+IF(AND(Lists!$DU$19&lt;&gt;"",ISNUMBER(SEARCH($X$4,Lists!$DU$19))),1,0)</f>
        <v/>
      </c>
      <c r="CF72">
        <f>IF(ROW()-56&gt;MAX($CE$57:$CE$95),"",INDEX(Lists!$DU$4:$DU$42,MATCH(ROW()-56,$CE$57:$CE$95,0)))</f>
        <v/>
      </c>
      <c r="CG72">
        <f>CG71+IF(AND(Lists!$DZ$19&lt;&gt;"",ISNUMBER(SEARCH($Y$4,Lists!$DZ$19))),1,0)</f>
        <v/>
      </c>
      <c r="CH72">
        <f>IF(ROW()-56&gt;MAX($CG$57:$CG$95),"",INDEX(Lists!$DZ$4:$DZ$42,MATCH(ROW()-56,$CG$57:$CG$95,0)))</f>
        <v/>
      </c>
      <c r="CI72">
        <f>CI71+IF(AND(Lists!$EE$19&lt;&gt;"",ISNUMBER(SEARCH($Z$4,Lists!$EE$19))),1,0)</f>
        <v/>
      </c>
      <c r="CJ72">
        <f>IF(ROW()-56&gt;MAX($CI$57:$CI$95),"",INDEX(Lists!$EE$4:$EE$42,MATCH(ROW()-56,$CI$57:$CI$95,0)))</f>
        <v/>
      </c>
      <c r="CK72">
        <f>CK71+IF(AND(Lists!$EJ$19&lt;&gt;"",ISNUMBER(SEARCH($AA$4,Lists!$EJ$19))),1,0)</f>
        <v/>
      </c>
      <c r="CL72">
        <f>IF(ROW()-56&gt;MAX($CK$57:$CK$95),"",INDEX(Lists!$EJ$4:$EJ$42,MATCH(ROW()-56,$CK$57:$CK$95,0)))</f>
        <v/>
      </c>
      <c r="CM72">
        <f>CM71+IF(AND(Lists!$EO$19&lt;&gt;"",ISNUMBER(SEARCH($AB$4,Lists!$EO$19))),1,0)</f>
        <v/>
      </c>
      <c r="CN72">
        <f>IF(ROW()-56&gt;MAX($CM$57:$CM$95),"",INDEX(Lists!$EO$4:$EO$42,MATCH(ROW()-56,$CM$57:$CM$95,0)))</f>
        <v/>
      </c>
      <c r="CO72">
        <f>CO71+IF(AND(Lists!$ET$19&lt;&gt;"",ISNUMBER(SEARCH($AC$4,Lists!$ET$19))),1,0)</f>
        <v/>
      </c>
      <c r="CP72">
        <f>IF(ROW()-56&gt;MAX($CO$57:$CO$95),"",INDEX(Lists!$ET$4:$ET$42,MATCH(ROW()-56,$CO$57:$CO$95,0)))</f>
        <v/>
      </c>
      <c r="CQ72">
        <f>CQ71+IF(AND(Lists!$EY$19&lt;&gt;"",ISNUMBER(SEARCH($AD$4,Lists!$EY$19))),1,0)</f>
        <v/>
      </c>
      <c r="CR72">
        <f>IF(ROW()-56&gt;MAX($CQ$57:$CQ$95),"",INDEX(Lists!$EY$4:$EY$42,MATCH(ROW()-56,$CQ$57:$CQ$95,0)))</f>
        <v/>
      </c>
      <c r="CS72">
        <f>CS71+IF(AND(Lists!$FD$19&lt;&gt;"",ISNUMBER(SEARCH($AE$4,Lists!$FD$19))),1,0)</f>
        <v/>
      </c>
      <c r="CT72">
        <f>IF(ROW()-56&gt;MAX($CS$57:$CS$95),"",INDEX(Lists!$FD$4:$FD$42,MATCH(ROW()-56,$CS$57:$CS$95,0)))</f>
        <v/>
      </c>
      <c r="CU72">
        <f>CU71+IF(AND(Lists!$FI$19&lt;&gt;"",ISNUMBER(SEARCH($AG$4,Lists!$FI$19))),1,0)</f>
        <v/>
      </c>
      <c r="CV72">
        <f>IF(ROW()-56&gt;MAX($CU$57:$CU$95),"",INDEX(Lists!$FI$4:$FI$42,MATCH(ROW()-56,$CU$57:$CU$95,0)))</f>
        <v/>
      </c>
      <c r="CW72">
        <f>CW71+IF(AND(Lists!$FN$19&lt;&gt;"",ISNUMBER(SEARCH($AH$4,Lists!$FN$19))),1,0)</f>
        <v/>
      </c>
      <c r="CX72">
        <f>IF(ROW()-56&gt;MAX($CW$57:$CW$95),"",INDEX(Lists!$FN$4:$FN$42,MATCH(ROW()-56,$CW$57:$CW$95,0)))</f>
        <v/>
      </c>
      <c r="CY72">
        <f>CY71+IF(AND(Lists!$FS$19&lt;&gt;"",ISNUMBER(SEARCH($AI$4,Lists!$FS$19))),1,0)</f>
        <v/>
      </c>
      <c r="CZ72">
        <f>IF(ROW()-56&gt;MAX($CY$57:$CY$95),"",INDEX(Lists!$FS$4:$FS$42,MATCH(ROW()-56,$CY$57:$CY$95,0)))</f>
        <v/>
      </c>
      <c r="DA72">
        <f>DA71+IF(AND(Lists!$FX$19&lt;&gt;"",ISNUMBER(SEARCH($AF$4,Lists!$FX$19))),1,0)</f>
        <v/>
      </c>
      <c r="DB72">
        <f>IF(ROW()-56&gt;MAX($DA$57:$DA$95),"",INDEX(Lists!$FX$4:$FX$42,MATCH(ROW()-56,$DA$57:$DA$95,0)))</f>
        <v/>
      </c>
      <c r="DG72">
        <f>IF($B$4="",1,IF($B$4="(blank)",--('Final Calculation Sheet'!$F$17=""),IF($B$4="(nonblank)",--('Final Calculation Sheet'!$F$17&lt;&gt;""),--ISNUMBER(SEARCH($B$4,'Final Calculation Sheet'!$F$17)))))</f>
        <v/>
      </c>
      <c r="DH72">
        <f>IF($C$4="",1,IF($C$4="(blank)",--('Final Calculation Sheet'!$G$17=""),IF($C$4="(nonblank)",--('Final Calculation Sheet'!$G$17&lt;&gt;""),--ISNUMBER(SEARCH($C$4,'Final Calculation Sheet'!$G$17)))))</f>
        <v/>
      </c>
      <c r="DI72">
        <f>IF($D$4="",1,IF($D$4="(blank)",--('Final Calculation Sheet'!$B$17=""),IF($D$4="(nonblank)",--('Final Calculation Sheet'!$B$17&lt;&gt;""),--ISNUMBER(SEARCH($D$4,'Final Calculation Sheet'!$B$17)))))</f>
        <v/>
      </c>
      <c r="DJ72">
        <f>IF($E$4="",1,IF($E$4="(blank)",--('Final Calculation Sheet'!$D$17=""),IF($E$4="(nonblank)",--('Final Calculation Sheet'!$D$17&lt;&gt;""),--ISNUMBER(SEARCH($E$4,'Final Calculation Sheet'!$D$17)))))</f>
        <v/>
      </c>
      <c r="DK72">
        <f>IF($F$4="",1,IF($F$4="(blank)",--('Final Calculation Sheet'!$A$17=""),IF($F$4="(nonblank)",--('Final Calculation Sheet'!$A$17&lt;&gt;""),--ISNUMBER(SEARCH($F$4,'Final Calculation Sheet'!$A$17)))))</f>
        <v/>
      </c>
      <c r="DL72">
        <f>IF($G$4="",1,IF($G$4="(blank)",--('Final Calculation Sheet'!$E$17=""),IF($G$4="(nonblank)",--('Final Calculation Sheet'!$E$17&lt;&gt;""),--ISNUMBER(SEARCH($G$4,'Final Calculation Sheet'!$E$17)))))</f>
        <v/>
      </c>
      <c r="DM72">
        <f>IF($H$4="",1,IF($H$4="(blank)",--('Final Calculation Sheet'!$C$17=""),IF($H$4="(nonblank)",--('Final Calculation Sheet'!$C$17&lt;&gt;""),--ISNUMBER(SEARCH($H$4,'Final Calculation Sheet'!$C$17)))))</f>
        <v/>
      </c>
      <c r="DN72">
        <f>IF($I$4="",1,IF($I$4="(blank)",--('Final Calculation Sheet'!$H$17=""),IF($I$4="(nonblank)",--('Final Calculation Sheet'!$H$17&lt;&gt;""),--ISNUMBER(SEARCH($I$4,'Final Calculation Sheet'!$H$17)))))</f>
        <v/>
      </c>
      <c r="DO72">
        <f>IF($J$4="",1,IF($J$4="(blank)",--('Final Calculation Sheet'!$I$17=""),IF($J$4="(nonblank)",--('Final Calculation Sheet'!$I$17&lt;&gt;""),--ISNUMBER(SEARCH($J$4,'Final Calculation Sheet'!$I$17)))))</f>
        <v/>
      </c>
      <c r="DP72">
        <f>IF($K$4="",1,IF($K$4="(blank)",--('Final Calculation Sheet'!$J$17=""),IF($K$4="(nonblank)",--('Final Calculation Sheet'!$J$17&lt;&gt;""),--ISNUMBER(SEARCH($K$4,'Final Calculation Sheet'!$J$17)))))</f>
        <v/>
      </c>
      <c r="DQ72">
        <f>IF($L$4="",1,IF($L$4="(blank)",--('Final Calculation Sheet'!$K$17=""),IF($L$4="(nonblank)",--('Final Calculation Sheet'!$K$17&lt;&gt;""),--ISNUMBER(SEARCH($L$4,'Final Calculation Sheet'!$K$17)))))</f>
        <v/>
      </c>
      <c r="DR72">
        <f>IF($M$4="",1,IF($M$4="(blank)",--('Final Calculation Sheet'!$L$17=""),IF($M$4="(nonblank)",--('Final Calculation Sheet'!$L$17&lt;&gt;""),--ISNUMBER(SEARCH($M$4,'Final Calculation Sheet'!$L$17)))))</f>
        <v/>
      </c>
      <c r="DS72">
        <f>IF($N$4="",1,IF($N$4="(blank)",--('Final Calculation Sheet'!$M$17=""),IF($N$4="(nonblank)",--('Final Calculation Sheet'!$M$17&lt;&gt;""),--ISNUMBER(SEARCH($N$4,'Final Calculation Sheet'!$M$17)))))</f>
        <v/>
      </c>
      <c r="DT72">
        <f>IF($O$4="",1,IF($O$4="(blank)",--('Final Calculation Sheet'!$N$17=""),IF($O$4="(nonblank)",--('Final Calculation Sheet'!$N$17&lt;&gt;""),--ISNUMBER(SEARCH($O$4,'Final Calculation Sheet'!$N$17)))))</f>
        <v/>
      </c>
      <c r="DU72">
        <f>IF($P$4="",1,IF($P$4="(blank)",--('Final Calculation Sheet'!$O$17=""),IF($P$4="(nonblank)",--('Final Calculation Sheet'!$O$17&lt;&gt;""),--ISNUMBER(SEARCH($P$4,'Final Calculation Sheet'!$O$17)))))</f>
        <v/>
      </c>
      <c r="DV72">
        <f>IF($Q$4="",1,IF($Q$4="(blank)",--('Final Calculation Sheet'!$P$17=""),IF($Q$4="(nonblank)",--('Final Calculation Sheet'!$P$17&lt;&gt;""),--ISNUMBER(SEARCH($Q$4,'Final Calculation Sheet'!$P$17)))))</f>
        <v/>
      </c>
      <c r="DW72">
        <f>IF($R$4="",1,IF($R$4="(blank)",--('Final Calculation Sheet'!$Q$17=""),IF($R$4="(nonblank)",--('Final Calculation Sheet'!$Q$17&lt;&gt;""),--ISNUMBER(SEARCH($R$4,'Final Calculation Sheet'!$Q$17)))))</f>
        <v/>
      </c>
      <c r="DX72">
        <f>IF($S$4="",1,IF($S$4="(blank)",--('Final Calculation Sheet'!$R$17=""),IF($S$4="(nonblank)",--('Final Calculation Sheet'!$R$17&lt;&gt;""),--ISNUMBER(SEARCH($S$4,'Final Calculation Sheet'!$R$17)))))</f>
        <v/>
      </c>
      <c r="DY72">
        <f>IF($T$4="",1,IF($T$4="(blank)",--('Final Calculation Sheet'!$S$17=""),IF($T$4="(nonblank)",--('Final Calculation Sheet'!$S$17&lt;&gt;""),--ISNUMBER(SEARCH($T$4,'Final Calculation Sheet'!$S$17)))))</f>
        <v/>
      </c>
      <c r="DZ72">
        <f>IF($U$4="",1,IF($U$4="(blank)",--('Final Calculation Sheet'!$T$17=""),IF($U$4="(nonblank)",--('Final Calculation Sheet'!$T$17&lt;&gt;""),--ISNUMBER(SEARCH($U$4,'Final Calculation Sheet'!$T$17)))))</f>
        <v/>
      </c>
      <c r="EA72">
        <f>IF($V$4="",1,IF($V$4="(blank)",--('Final Calculation Sheet'!$U$17=""),IF($V$4="(nonblank)",--('Final Calculation Sheet'!$U$17&lt;&gt;""),--ISNUMBER(SEARCH($V$4,'Final Calculation Sheet'!$U$17)))))</f>
        <v/>
      </c>
      <c r="EB72">
        <f>IF($W$4="",1,IF($W$4="(blank)",--('Final Calculation Sheet'!$V$17=""),IF($W$4="(nonblank)",--('Final Calculation Sheet'!$V$17&lt;&gt;""),--ISNUMBER(SEARCH($W$4,'Final Calculation Sheet'!$V$17)))))</f>
        <v/>
      </c>
      <c r="EC72">
        <f>IF($X$4="",1,IF($X$4="(blank)",--('Final Calculation Sheet'!$W$17=""),IF($X$4="(nonblank)",--('Final Calculation Sheet'!$W$17&lt;&gt;""),--ISNUMBER(SEARCH($X$4,'Final Calculation Sheet'!$W$17)))))</f>
        <v/>
      </c>
      <c r="ED72">
        <f>IF($Y$4="",1,IF($Y$4="(blank)",--('Final Calculation Sheet'!$X$17=""),IF($Y$4="(nonblank)",--('Final Calculation Sheet'!$X$17&lt;&gt;""),--ISNUMBER(SEARCH($Y$4,'Final Calculation Sheet'!$X$17)))))</f>
        <v/>
      </c>
      <c r="EE72">
        <f>IF($Z$4="",1,IF($Z$4="(blank)",--('Final Calculation Sheet'!$Y$17=""),IF($Z$4="(nonblank)",--('Final Calculation Sheet'!$Y$17&lt;&gt;""),--ISNUMBER(SEARCH($Z$4,'Final Calculation Sheet'!$Y$17)))))</f>
        <v/>
      </c>
      <c r="EF72">
        <f>IF($AA$4="",1,IF($AA$4="(blank)",--('Final Calculation Sheet'!$Z$17=""),IF($AA$4="(nonblank)",--('Final Calculation Sheet'!$Z$17&lt;&gt;""),--ISNUMBER(SEARCH($AA$4,'Final Calculation Sheet'!$Z$17)))))</f>
        <v/>
      </c>
      <c r="EG72">
        <f>IF($AB$4="",1,IF($AB$4="(blank)",--('Final Calculation Sheet'!$AA$17=""),IF($AB$4="(nonblank)",--('Final Calculation Sheet'!$AA$17&lt;&gt;""),--ISNUMBER(SEARCH($AB$4,'Final Calculation Sheet'!$AA$17)))))</f>
        <v/>
      </c>
      <c r="EH72">
        <f>IF($AC$4="",1,IF($AC$4="(blank)",--('Final Calculation Sheet'!$AB$17=""),IF($AC$4="(nonblank)",--('Final Calculation Sheet'!$AB$17&lt;&gt;""),--ISNUMBER(SEARCH($AC$4,'Final Calculation Sheet'!$AB$17)))))</f>
        <v/>
      </c>
      <c r="EI72">
        <f>IF($AD$4="",1,IF($AD$4="(blank)",--('Final Calculation Sheet'!$AC$17=""),IF($AD$4="(nonblank)",--('Final Calculation Sheet'!$AC$17&lt;&gt;""),--ISNUMBER(SEARCH($AD$4,'Final Calculation Sheet'!$AC$17)))))</f>
        <v/>
      </c>
      <c r="EJ72">
        <f>IF($AE$4="",1,IF($AE$4="(blank)",--('Final Calculation Sheet'!$AD$17=""),IF($AE$4="(nonblank)",--('Final Calculation Sheet'!$AD$17&lt;&gt;""),--ISNUMBER(SEARCH($AE$4,'Final Calculation Sheet'!$AD$17)))))</f>
        <v/>
      </c>
      <c r="EK72">
        <f>IF($AF$4="",1,IF($AF$4="(blank)",--(IF('Final Calculation Sheet'!$AD$17&lt;=5,"SETTLED","OUTSTANDING")=""),IF($AF$4="(nonblank)",--(IF('Final Calculation Sheet'!$AD$17&lt;=5,"SETTLED","OUTSTANDING")&lt;&gt;""),--ISNUMBER(SEARCH($AF$4,IF('Final Calculation Sheet'!$AD$17&lt;=5,"SETTLED","OUTSTANDING"))))))</f>
        <v/>
      </c>
      <c r="EL72">
        <f>IF($AG$4="",1,IF($AG$4="(blank)",--('Final Calculation Sheet'!$AF$17=""),IF($AG$4="(nonblank)",--('Final Calculation Sheet'!$AF$17&lt;&gt;""),--ISNUMBER(SEARCH($AG$4,'Final Calculation Sheet'!$AF$17)))))</f>
        <v/>
      </c>
      <c r="EM72">
        <f>IF($AH$4="",1,IF($AH$4="(blank)",--('Final Calculation Sheet'!$AG$17=""),IF($AH$4="(nonblank)",--('Final Calculation Sheet'!$AG$17&lt;&gt;""),--ISNUMBER(SEARCH($AH$4,'Final Calculation Sheet'!$AG$17)))))</f>
        <v/>
      </c>
      <c r="EN72">
        <f>IF($AI$4="",1,IF($AI$4="(blank)",--('Final Calculation Sheet'!$AH$17=""),IF($AI$4="(nonblank)",--('Final Calculation Sheet'!$AH$17&lt;&gt;""),--ISNUMBER(SEARCH($AI$4,'Final Calculation Sheet'!$AH$17)))))</f>
        <v/>
      </c>
    </row>
    <row r="73">
      <c r="AM73">
        <f>AM72+IF(AND(Lists!$O$20&lt;&gt;"",ISNUMBER(SEARCH($B$4,Lists!$O$20))),1,0)</f>
        <v/>
      </c>
      <c r="AN73">
        <f>IF(ROW()-56&gt;MAX($AM$57:$AM$95),"",INDEX(Lists!$O$4:$O$42,MATCH(ROW()-56,$AM$57:$AM$95,0)))</f>
        <v/>
      </c>
      <c r="AO73">
        <f>AO72+IF(AND(Lists!$T$20&lt;&gt;"",ISNUMBER(SEARCH($C$4,Lists!$T$20))),1,0)</f>
        <v/>
      </c>
      <c r="AP73">
        <f>IF(ROW()-56&gt;MAX($AO$57:$AO$95),"",INDEX(Lists!$T$4:$T$42,MATCH(ROW()-56,$AO$57:$AO$95,0)))</f>
        <v/>
      </c>
      <c r="AQ73">
        <f>AQ72+IF(AND(Lists!$Y$20&lt;&gt;"",ISNUMBER(SEARCH($D$4,Lists!$Y$20))),1,0)</f>
        <v/>
      </c>
      <c r="AR73">
        <f>IF(ROW()-56&gt;MAX($AQ$57:$AQ$95),"",INDEX(Lists!$Y$4:$Y$42,MATCH(ROW()-56,$AQ$57:$AQ$95,0)))</f>
        <v/>
      </c>
      <c r="AS73">
        <f>AS72+IF(AND(Lists!$AD$20&lt;&gt;"",ISNUMBER(SEARCH($E$4,Lists!$AD$20))),1,0)</f>
        <v/>
      </c>
      <c r="AT73">
        <f>IF(ROW()-56&gt;MAX($AS$57:$AS$95),"",INDEX(Lists!$AD$4:$AD$42,MATCH(ROW()-56,$AS$57:$AS$95,0)))</f>
        <v/>
      </c>
      <c r="AU73">
        <f>AU72+IF(AND(Lists!$AI$20&lt;&gt;"",ISNUMBER(SEARCH($F$4,Lists!$AI$20))),1,0)</f>
        <v/>
      </c>
      <c r="AV73">
        <f>IF(ROW()-56&gt;MAX($AU$57:$AU$95),"",INDEX(Lists!$AI$4:$AI$42,MATCH(ROW()-56,$AU$57:$AU$95,0)))</f>
        <v/>
      </c>
      <c r="AW73">
        <f>AW72+IF(AND(Lists!$AN$20&lt;&gt;"",ISNUMBER(SEARCH($G$4,Lists!$AN$20))),1,0)</f>
        <v/>
      </c>
      <c r="AX73">
        <f>IF(ROW()-56&gt;MAX($AW$57:$AW$95),"",INDEX(Lists!$AN$4:$AN$42,MATCH(ROW()-56,$AW$57:$AW$95,0)))</f>
        <v/>
      </c>
      <c r="AY73">
        <f>AY72+IF(AND(Lists!$AS$20&lt;&gt;"",ISNUMBER(SEARCH($H$4,Lists!$AS$20))),1,0)</f>
        <v/>
      </c>
      <c r="AZ73">
        <f>IF(ROW()-56&gt;MAX($AY$57:$AY$95),"",INDEX(Lists!$AS$4:$AS$42,MATCH(ROW()-56,$AY$57:$AY$95,0)))</f>
        <v/>
      </c>
      <c r="BA73">
        <f>BA72+IF(AND(Lists!$AX$20&lt;&gt;"",ISNUMBER(SEARCH($I$4,Lists!$AX$20))),1,0)</f>
        <v/>
      </c>
      <c r="BB73">
        <f>IF(ROW()-56&gt;MAX($BA$57:$BA$95),"",INDEX(Lists!$AX$4:$AX$42,MATCH(ROW()-56,$BA$57:$BA$95,0)))</f>
        <v/>
      </c>
      <c r="BC73">
        <f>BC72+IF(AND(Lists!$BC$20&lt;&gt;"",ISNUMBER(SEARCH($J$4,Lists!$BC$20))),1,0)</f>
        <v/>
      </c>
      <c r="BD73">
        <f>IF(ROW()-56&gt;MAX($BC$57:$BC$95),"",INDEX(Lists!$BC$4:$BC$42,MATCH(ROW()-56,$BC$57:$BC$95,0)))</f>
        <v/>
      </c>
      <c r="BE73">
        <f>BE72+IF(AND(Lists!$BH$20&lt;&gt;"",ISNUMBER(SEARCH($K$4,Lists!$BH$20))),1,0)</f>
        <v/>
      </c>
      <c r="BF73">
        <f>IF(ROW()-56&gt;MAX($BE$57:$BE$95),"",INDEX(Lists!$BH$4:$BH$42,MATCH(ROW()-56,$BE$57:$BE$95,0)))</f>
        <v/>
      </c>
      <c r="BG73">
        <f>BG72+IF(AND(Lists!$BM$20&lt;&gt;"",ISNUMBER(SEARCH($L$4,Lists!$BM$20))),1,0)</f>
        <v/>
      </c>
      <c r="BH73">
        <f>IF(ROW()-56&gt;MAX($BG$57:$BG$95),"",INDEX(Lists!$BM$4:$BM$42,MATCH(ROW()-56,$BG$57:$BG$95,0)))</f>
        <v/>
      </c>
      <c r="BI73">
        <f>BI72+IF(AND(Lists!$BR$20&lt;&gt;"",ISNUMBER(SEARCH($M$4,Lists!$BR$20))),1,0)</f>
        <v/>
      </c>
      <c r="BJ73">
        <f>IF(ROW()-56&gt;MAX($BI$57:$BI$95),"",INDEX(Lists!$BR$4:$BR$42,MATCH(ROW()-56,$BI$57:$BI$95,0)))</f>
        <v/>
      </c>
      <c r="BK73">
        <f>BK72+IF(AND(Lists!$BW$20&lt;&gt;"",ISNUMBER(SEARCH($N$4,Lists!$BW$20))),1,0)</f>
        <v/>
      </c>
      <c r="BL73">
        <f>IF(ROW()-56&gt;MAX($BK$57:$BK$95),"",INDEX(Lists!$BW$4:$BW$42,MATCH(ROW()-56,$BK$57:$BK$95,0)))</f>
        <v/>
      </c>
      <c r="BM73">
        <f>BM72+IF(AND(Lists!$CB$20&lt;&gt;"",ISNUMBER(SEARCH($O$4,Lists!$CB$20))),1,0)</f>
        <v/>
      </c>
      <c r="BN73">
        <f>IF(ROW()-56&gt;MAX($BM$57:$BM$95),"",INDEX(Lists!$CB$4:$CB$42,MATCH(ROW()-56,$BM$57:$BM$95,0)))</f>
        <v/>
      </c>
      <c r="BO73">
        <f>BO72+IF(AND(Lists!$CG$20&lt;&gt;"",ISNUMBER(SEARCH($P$4,Lists!$CG$20))),1,0)</f>
        <v/>
      </c>
      <c r="BP73">
        <f>IF(ROW()-56&gt;MAX($BO$57:$BO$95),"",INDEX(Lists!$CG$4:$CG$42,MATCH(ROW()-56,$BO$57:$BO$95,0)))</f>
        <v/>
      </c>
      <c r="BQ73">
        <f>BQ72+IF(AND(Lists!$CL$20&lt;&gt;"",ISNUMBER(SEARCH($Q$4,Lists!$CL$20))),1,0)</f>
        <v/>
      </c>
      <c r="BR73">
        <f>IF(ROW()-56&gt;MAX($BQ$57:$BQ$95),"",INDEX(Lists!$CL$4:$CL$42,MATCH(ROW()-56,$BQ$57:$BQ$95,0)))</f>
        <v/>
      </c>
      <c r="BS73">
        <f>BS72+IF(AND(Lists!$CQ$20&lt;&gt;"",ISNUMBER(SEARCH($R$4,Lists!$CQ$20))),1,0)</f>
        <v/>
      </c>
      <c r="BT73">
        <f>IF(ROW()-56&gt;MAX($BS$57:$BS$95),"",INDEX(Lists!$CQ$4:$CQ$42,MATCH(ROW()-56,$BS$57:$BS$95,0)))</f>
        <v/>
      </c>
      <c r="BU73">
        <f>BU72+IF(AND(Lists!$CV$20&lt;&gt;"",ISNUMBER(SEARCH($S$4,Lists!$CV$20))),1,0)</f>
        <v/>
      </c>
      <c r="BV73">
        <f>IF(ROW()-56&gt;MAX($BU$57:$BU$95),"",INDEX(Lists!$CV$4:$CV$42,MATCH(ROW()-56,$BU$57:$BU$95,0)))</f>
        <v/>
      </c>
      <c r="BW73">
        <f>BW72+IF(AND(Lists!$DA$20&lt;&gt;"",ISNUMBER(SEARCH($T$4,Lists!$DA$20))),1,0)</f>
        <v/>
      </c>
      <c r="BX73">
        <f>IF(ROW()-56&gt;MAX($BW$57:$BW$95),"",INDEX(Lists!$DA$4:$DA$42,MATCH(ROW()-56,$BW$57:$BW$95,0)))</f>
        <v/>
      </c>
      <c r="BY73">
        <f>BY72+IF(AND(Lists!$DF$20&lt;&gt;"",ISNUMBER(SEARCH($U$4,Lists!$DF$20))),1,0)</f>
        <v/>
      </c>
      <c r="BZ73">
        <f>IF(ROW()-56&gt;MAX($BY$57:$BY$95),"",INDEX(Lists!$DF$4:$DF$42,MATCH(ROW()-56,$BY$57:$BY$95,0)))</f>
        <v/>
      </c>
      <c r="CA73">
        <f>CA72+IF(AND(Lists!$DK$20&lt;&gt;"",ISNUMBER(SEARCH($V$4,Lists!$DK$20))),1,0)</f>
        <v/>
      </c>
      <c r="CB73">
        <f>IF(ROW()-56&gt;MAX($CA$57:$CA$95),"",INDEX(Lists!$DK$4:$DK$42,MATCH(ROW()-56,$CA$57:$CA$95,0)))</f>
        <v/>
      </c>
      <c r="CC73">
        <f>CC72+IF(AND(Lists!$DP$20&lt;&gt;"",ISNUMBER(SEARCH($W$4,Lists!$DP$20))),1,0)</f>
        <v/>
      </c>
      <c r="CD73">
        <f>IF(ROW()-56&gt;MAX($CC$57:$CC$95),"",INDEX(Lists!$DP$4:$DP$42,MATCH(ROW()-56,$CC$57:$CC$95,0)))</f>
        <v/>
      </c>
      <c r="CE73">
        <f>CE72+IF(AND(Lists!$DU$20&lt;&gt;"",ISNUMBER(SEARCH($X$4,Lists!$DU$20))),1,0)</f>
        <v/>
      </c>
      <c r="CF73">
        <f>IF(ROW()-56&gt;MAX($CE$57:$CE$95),"",INDEX(Lists!$DU$4:$DU$42,MATCH(ROW()-56,$CE$57:$CE$95,0)))</f>
        <v/>
      </c>
      <c r="CG73">
        <f>CG72+IF(AND(Lists!$DZ$20&lt;&gt;"",ISNUMBER(SEARCH($Y$4,Lists!$DZ$20))),1,0)</f>
        <v/>
      </c>
      <c r="CH73">
        <f>IF(ROW()-56&gt;MAX($CG$57:$CG$95),"",INDEX(Lists!$DZ$4:$DZ$42,MATCH(ROW()-56,$CG$57:$CG$95,0)))</f>
        <v/>
      </c>
      <c r="CI73">
        <f>CI72+IF(AND(Lists!$EE$20&lt;&gt;"",ISNUMBER(SEARCH($Z$4,Lists!$EE$20))),1,0)</f>
        <v/>
      </c>
      <c r="CJ73">
        <f>IF(ROW()-56&gt;MAX($CI$57:$CI$95),"",INDEX(Lists!$EE$4:$EE$42,MATCH(ROW()-56,$CI$57:$CI$95,0)))</f>
        <v/>
      </c>
      <c r="CK73">
        <f>CK72+IF(AND(Lists!$EJ$20&lt;&gt;"",ISNUMBER(SEARCH($AA$4,Lists!$EJ$20))),1,0)</f>
        <v/>
      </c>
      <c r="CL73">
        <f>IF(ROW()-56&gt;MAX($CK$57:$CK$95),"",INDEX(Lists!$EJ$4:$EJ$42,MATCH(ROW()-56,$CK$57:$CK$95,0)))</f>
        <v/>
      </c>
      <c r="CM73">
        <f>CM72+IF(AND(Lists!$EO$20&lt;&gt;"",ISNUMBER(SEARCH($AB$4,Lists!$EO$20))),1,0)</f>
        <v/>
      </c>
      <c r="CN73">
        <f>IF(ROW()-56&gt;MAX($CM$57:$CM$95),"",INDEX(Lists!$EO$4:$EO$42,MATCH(ROW()-56,$CM$57:$CM$95,0)))</f>
        <v/>
      </c>
      <c r="CO73">
        <f>CO72+IF(AND(Lists!$ET$20&lt;&gt;"",ISNUMBER(SEARCH($AC$4,Lists!$ET$20))),1,0)</f>
        <v/>
      </c>
      <c r="CP73">
        <f>IF(ROW()-56&gt;MAX($CO$57:$CO$95),"",INDEX(Lists!$ET$4:$ET$42,MATCH(ROW()-56,$CO$57:$CO$95,0)))</f>
        <v/>
      </c>
      <c r="CQ73">
        <f>CQ72+IF(AND(Lists!$EY$20&lt;&gt;"",ISNUMBER(SEARCH($AD$4,Lists!$EY$20))),1,0)</f>
        <v/>
      </c>
      <c r="CR73">
        <f>IF(ROW()-56&gt;MAX($CQ$57:$CQ$95),"",INDEX(Lists!$EY$4:$EY$42,MATCH(ROW()-56,$CQ$57:$CQ$95,0)))</f>
        <v/>
      </c>
      <c r="CS73">
        <f>CS72+IF(AND(Lists!$FD$20&lt;&gt;"",ISNUMBER(SEARCH($AE$4,Lists!$FD$20))),1,0)</f>
        <v/>
      </c>
      <c r="CT73">
        <f>IF(ROW()-56&gt;MAX($CS$57:$CS$95),"",INDEX(Lists!$FD$4:$FD$42,MATCH(ROW()-56,$CS$57:$CS$95,0)))</f>
        <v/>
      </c>
      <c r="CU73">
        <f>CU72+IF(AND(Lists!$FI$20&lt;&gt;"",ISNUMBER(SEARCH($AG$4,Lists!$FI$20))),1,0)</f>
        <v/>
      </c>
      <c r="CV73">
        <f>IF(ROW()-56&gt;MAX($CU$57:$CU$95),"",INDEX(Lists!$FI$4:$FI$42,MATCH(ROW()-56,$CU$57:$CU$95,0)))</f>
        <v/>
      </c>
      <c r="CW73">
        <f>CW72+IF(AND(Lists!$FN$20&lt;&gt;"",ISNUMBER(SEARCH($AH$4,Lists!$FN$20))),1,0)</f>
        <v/>
      </c>
      <c r="CX73">
        <f>IF(ROW()-56&gt;MAX($CW$57:$CW$95),"",INDEX(Lists!$FN$4:$FN$42,MATCH(ROW()-56,$CW$57:$CW$95,0)))</f>
        <v/>
      </c>
      <c r="CY73">
        <f>CY72+IF(AND(Lists!$FS$20&lt;&gt;"",ISNUMBER(SEARCH($AI$4,Lists!$FS$20))),1,0)</f>
        <v/>
      </c>
      <c r="CZ73">
        <f>IF(ROW()-56&gt;MAX($CY$57:$CY$95),"",INDEX(Lists!$FS$4:$FS$42,MATCH(ROW()-56,$CY$57:$CY$95,0)))</f>
        <v/>
      </c>
      <c r="DA73">
        <f>DA72+IF(AND(Lists!$FX$20&lt;&gt;"",ISNUMBER(SEARCH($AF$4,Lists!$FX$20))),1,0)</f>
        <v/>
      </c>
      <c r="DB73">
        <f>IF(ROW()-56&gt;MAX($DA$57:$DA$95),"",INDEX(Lists!$FX$4:$FX$42,MATCH(ROW()-56,$DA$57:$DA$95,0)))</f>
        <v/>
      </c>
      <c r="DG73">
        <f>IF($B$4="",1,IF($B$4="(blank)",--('Final Calculation Sheet'!$F$18=""),IF($B$4="(nonblank)",--('Final Calculation Sheet'!$F$18&lt;&gt;""),--ISNUMBER(SEARCH($B$4,'Final Calculation Sheet'!$F$18)))))</f>
        <v/>
      </c>
      <c r="DH73">
        <f>IF($C$4="",1,IF($C$4="(blank)",--('Final Calculation Sheet'!$G$18=""),IF($C$4="(nonblank)",--('Final Calculation Sheet'!$G$18&lt;&gt;""),--ISNUMBER(SEARCH($C$4,'Final Calculation Sheet'!$G$18)))))</f>
        <v/>
      </c>
      <c r="DI73">
        <f>IF($D$4="",1,IF($D$4="(blank)",--('Final Calculation Sheet'!$B$18=""),IF($D$4="(nonblank)",--('Final Calculation Sheet'!$B$18&lt;&gt;""),--ISNUMBER(SEARCH($D$4,'Final Calculation Sheet'!$B$18)))))</f>
        <v/>
      </c>
      <c r="DJ73">
        <f>IF($E$4="",1,IF($E$4="(blank)",--('Final Calculation Sheet'!$D$18=""),IF($E$4="(nonblank)",--('Final Calculation Sheet'!$D$18&lt;&gt;""),--ISNUMBER(SEARCH($E$4,'Final Calculation Sheet'!$D$18)))))</f>
        <v/>
      </c>
      <c r="DK73">
        <f>IF($F$4="",1,IF($F$4="(blank)",--('Final Calculation Sheet'!$A$18=""),IF($F$4="(nonblank)",--('Final Calculation Sheet'!$A$18&lt;&gt;""),--ISNUMBER(SEARCH($F$4,'Final Calculation Sheet'!$A$18)))))</f>
        <v/>
      </c>
      <c r="DL73">
        <f>IF($G$4="",1,IF($G$4="(blank)",--('Final Calculation Sheet'!$E$18=""),IF($G$4="(nonblank)",--('Final Calculation Sheet'!$E$18&lt;&gt;""),--ISNUMBER(SEARCH($G$4,'Final Calculation Sheet'!$E$18)))))</f>
        <v/>
      </c>
      <c r="DM73">
        <f>IF($H$4="",1,IF($H$4="(blank)",--('Final Calculation Sheet'!$C$18=""),IF($H$4="(nonblank)",--('Final Calculation Sheet'!$C$18&lt;&gt;""),--ISNUMBER(SEARCH($H$4,'Final Calculation Sheet'!$C$18)))))</f>
        <v/>
      </c>
      <c r="DN73">
        <f>IF($I$4="",1,IF($I$4="(blank)",--('Final Calculation Sheet'!$H$18=""),IF($I$4="(nonblank)",--('Final Calculation Sheet'!$H$18&lt;&gt;""),--ISNUMBER(SEARCH($I$4,'Final Calculation Sheet'!$H$18)))))</f>
        <v/>
      </c>
      <c r="DO73">
        <f>IF($J$4="",1,IF($J$4="(blank)",--('Final Calculation Sheet'!$I$18=""),IF($J$4="(nonblank)",--('Final Calculation Sheet'!$I$18&lt;&gt;""),--ISNUMBER(SEARCH($J$4,'Final Calculation Sheet'!$I$18)))))</f>
        <v/>
      </c>
      <c r="DP73">
        <f>IF($K$4="",1,IF($K$4="(blank)",--('Final Calculation Sheet'!$J$18=""),IF($K$4="(nonblank)",--('Final Calculation Sheet'!$J$18&lt;&gt;""),--ISNUMBER(SEARCH($K$4,'Final Calculation Sheet'!$J$18)))))</f>
        <v/>
      </c>
      <c r="DQ73">
        <f>IF($L$4="",1,IF($L$4="(blank)",--('Final Calculation Sheet'!$K$18=""),IF($L$4="(nonblank)",--('Final Calculation Sheet'!$K$18&lt;&gt;""),--ISNUMBER(SEARCH($L$4,'Final Calculation Sheet'!$K$18)))))</f>
        <v/>
      </c>
      <c r="DR73">
        <f>IF($M$4="",1,IF($M$4="(blank)",--('Final Calculation Sheet'!$L$18=""),IF($M$4="(nonblank)",--('Final Calculation Sheet'!$L$18&lt;&gt;""),--ISNUMBER(SEARCH($M$4,'Final Calculation Sheet'!$L$18)))))</f>
        <v/>
      </c>
      <c r="DS73">
        <f>IF($N$4="",1,IF($N$4="(blank)",--('Final Calculation Sheet'!$M$18=""),IF($N$4="(nonblank)",--('Final Calculation Sheet'!$M$18&lt;&gt;""),--ISNUMBER(SEARCH($N$4,'Final Calculation Sheet'!$M$18)))))</f>
        <v/>
      </c>
      <c r="DT73">
        <f>IF($O$4="",1,IF($O$4="(blank)",--('Final Calculation Sheet'!$N$18=""),IF($O$4="(nonblank)",--('Final Calculation Sheet'!$N$18&lt;&gt;""),--ISNUMBER(SEARCH($O$4,'Final Calculation Sheet'!$N$18)))))</f>
        <v/>
      </c>
      <c r="DU73">
        <f>IF($P$4="",1,IF($P$4="(blank)",--('Final Calculation Sheet'!$O$18=""),IF($P$4="(nonblank)",--('Final Calculation Sheet'!$O$18&lt;&gt;""),--ISNUMBER(SEARCH($P$4,'Final Calculation Sheet'!$O$18)))))</f>
        <v/>
      </c>
      <c r="DV73">
        <f>IF($Q$4="",1,IF($Q$4="(blank)",--('Final Calculation Sheet'!$P$18=""),IF($Q$4="(nonblank)",--('Final Calculation Sheet'!$P$18&lt;&gt;""),--ISNUMBER(SEARCH($Q$4,'Final Calculation Sheet'!$P$18)))))</f>
        <v/>
      </c>
      <c r="DW73">
        <f>IF($R$4="",1,IF($R$4="(blank)",--('Final Calculation Sheet'!$Q$18=""),IF($R$4="(nonblank)",--('Final Calculation Sheet'!$Q$18&lt;&gt;""),--ISNUMBER(SEARCH($R$4,'Final Calculation Sheet'!$Q$18)))))</f>
        <v/>
      </c>
      <c r="DX73">
        <f>IF($S$4="",1,IF($S$4="(blank)",--('Final Calculation Sheet'!$R$18=""),IF($S$4="(nonblank)",--('Final Calculation Sheet'!$R$18&lt;&gt;""),--ISNUMBER(SEARCH($S$4,'Final Calculation Sheet'!$R$18)))))</f>
        <v/>
      </c>
      <c r="DY73">
        <f>IF($T$4="",1,IF($T$4="(blank)",--('Final Calculation Sheet'!$S$18=""),IF($T$4="(nonblank)",--('Final Calculation Sheet'!$S$18&lt;&gt;""),--ISNUMBER(SEARCH($T$4,'Final Calculation Sheet'!$S$18)))))</f>
        <v/>
      </c>
      <c r="DZ73">
        <f>IF($U$4="",1,IF($U$4="(blank)",--('Final Calculation Sheet'!$T$18=""),IF($U$4="(nonblank)",--('Final Calculation Sheet'!$T$18&lt;&gt;""),--ISNUMBER(SEARCH($U$4,'Final Calculation Sheet'!$T$18)))))</f>
        <v/>
      </c>
      <c r="EA73">
        <f>IF($V$4="",1,IF($V$4="(blank)",--('Final Calculation Sheet'!$U$18=""),IF($V$4="(nonblank)",--('Final Calculation Sheet'!$U$18&lt;&gt;""),--ISNUMBER(SEARCH($V$4,'Final Calculation Sheet'!$U$18)))))</f>
        <v/>
      </c>
      <c r="EB73">
        <f>IF($W$4="",1,IF($W$4="(blank)",--('Final Calculation Sheet'!$V$18=""),IF($W$4="(nonblank)",--('Final Calculation Sheet'!$V$18&lt;&gt;""),--ISNUMBER(SEARCH($W$4,'Final Calculation Sheet'!$V$18)))))</f>
        <v/>
      </c>
      <c r="EC73">
        <f>IF($X$4="",1,IF($X$4="(blank)",--('Final Calculation Sheet'!$W$18=""),IF($X$4="(nonblank)",--('Final Calculation Sheet'!$W$18&lt;&gt;""),--ISNUMBER(SEARCH($X$4,'Final Calculation Sheet'!$W$18)))))</f>
        <v/>
      </c>
      <c r="ED73">
        <f>IF($Y$4="",1,IF($Y$4="(blank)",--('Final Calculation Sheet'!$X$18=""),IF($Y$4="(nonblank)",--('Final Calculation Sheet'!$X$18&lt;&gt;""),--ISNUMBER(SEARCH($Y$4,'Final Calculation Sheet'!$X$18)))))</f>
        <v/>
      </c>
      <c r="EE73">
        <f>IF($Z$4="",1,IF($Z$4="(blank)",--('Final Calculation Sheet'!$Y$18=""),IF($Z$4="(nonblank)",--('Final Calculation Sheet'!$Y$18&lt;&gt;""),--ISNUMBER(SEARCH($Z$4,'Final Calculation Sheet'!$Y$18)))))</f>
        <v/>
      </c>
      <c r="EF73">
        <f>IF($AA$4="",1,IF($AA$4="(blank)",--('Final Calculation Sheet'!$Z$18=""),IF($AA$4="(nonblank)",--('Final Calculation Sheet'!$Z$18&lt;&gt;""),--ISNUMBER(SEARCH($AA$4,'Final Calculation Sheet'!$Z$18)))))</f>
        <v/>
      </c>
      <c r="EG73">
        <f>IF($AB$4="",1,IF($AB$4="(blank)",--('Final Calculation Sheet'!$AA$18=""),IF($AB$4="(nonblank)",--('Final Calculation Sheet'!$AA$18&lt;&gt;""),--ISNUMBER(SEARCH($AB$4,'Final Calculation Sheet'!$AA$18)))))</f>
        <v/>
      </c>
      <c r="EH73">
        <f>IF($AC$4="",1,IF($AC$4="(blank)",--('Final Calculation Sheet'!$AB$18=""),IF($AC$4="(nonblank)",--('Final Calculation Sheet'!$AB$18&lt;&gt;""),--ISNUMBER(SEARCH($AC$4,'Final Calculation Sheet'!$AB$18)))))</f>
        <v/>
      </c>
      <c r="EI73">
        <f>IF($AD$4="",1,IF($AD$4="(blank)",--('Final Calculation Sheet'!$AC$18=""),IF($AD$4="(nonblank)",--('Final Calculation Sheet'!$AC$18&lt;&gt;""),--ISNUMBER(SEARCH($AD$4,'Final Calculation Sheet'!$AC$18)))))</f>
        <v/>
      </c>
      <c r="EJ73">
        <f>IF($AE$4="",1,IF($AE$4="(blank)",--('Final Calculation Sheet'!$AD$18=""),IF($AE$4="(nonblank)",--('Final Calculation Sheet'!$AD$18&lt;&gt;""),--ISNUMBER(SEARCH($AE$4,'Final Calculation Sheet'!$AD$18)))))</f>
        <v/>
      </c>
      <c r="EK73">
        <f>IF($AF$4="",1,IF($AF$4="(blank)",--(IF('Final Calculation Sheet'!$AD$18&lt;=5,"SETTLED","OUTSTANDING")=""),IF($AF$4="(nonblank)",--(IF('Final Calculation Sheet'!$AD$18&lt;=5,"SETTLED","OUTSTANDING")&lt;&gt;""),--ISNUMBER(SEARCH($AF$4,IF('Final Calculation Sheet'!$AD$18&lt;=5,"SETTLED","OUTSTANDING"))))))</f>
        <v/>
      </c>
      <c r="EL73">
        <f>IF($AG$4="",1,IF($AG$4="(blank)",--('Final Calculation Sheet'!$AF$18=""),IF($AG$4="(nonblank)",--('Final Calculation Sheet'!$AF$18&lt;&gt;""),--ISNUMBER(SEARCH($AG$4,'Final Calculation Sheet'!$AF$18)))))</f>
        <v/>
      </c>
      <c r="EM73">
        <f>IF($AH$4="",1,IF($AH$4="(blank)",--('Final Calculation Sheet'!$AG$18=""),IF($AH$4="(nonblank)",--('Final Calculation Sheet'!$AG$18&lt;&gt;""),--ISNUMBER(SEARCH($AH$4,'Final Calculation Sheet'!$AG$18)))))</f>
        <v/>
      </c>
      <c r="EN73">
        <f>IF($AI$4="",1,IF($AI$4="(blank)",--('Final Calculation Sheet'!$AH$18=""),IF($AI$4="(nonblank)",--('Final Calculation Sheet'!$AH$18&lt;&gt;""),--ISNUMBER(SEARCH($AI$4,'Final Calculation Sheet'!$AH$18)))))</f>
        <v/>
      </c>
    </row>
    <row r="74">
      <c r="AM74">
        <f>AM73+IF(AND(Lists!$O$21&lt;&gt;"",ISNUMBER(SEARCH($B$4,Lists!$O$21))),1,0)</f>
        <v/>
      </c>
      <c r="AN74">
        <f>IF(ROW()-56&gt;MAX($AM$57:$AM$95),"",INDEX(Lists!$O$4:$O$42,MATCH(ROW()-56,$AM$57:$AM$95,0)))</f>
        <v/>
      </c>
      <c r="AO74">
        <f>AO73+IF(AND(Lists!$T$21&lt;&gt;"",ISNUMBER(SEARCH($C$4,Lists!$T$21))),1,0)</f>
        <v/>
      </c>
      <c r="AP74">
        <f>IF(ROW()-56&gt;MAX($AO$57:$AO$95),"",INDEX(Lists!$T$4:$T$42,MATCH(ROW()-56,$AO$57:$AO$95,0)))</f>
        <v/>
      </c>
      <c r="AQ74">
        <f>AQ73+IF(AND(Lists!$Y$21&lt;&gt;"",ISNUMBER(SEARCH($D$4,Lists!$Y$21))),1,0)</f>
        <v/>
      </c>
      <c r="AR74">
        <f>IF(ROW()-56&gt;MAX($AQ$57:$AQ$95),"",INDEX(Lists!$Y$4:$Y$42,MATCH(ROW()-56,$AQ$57:$AQ$95,0)))</f>
        <v/>
      </c>
      <c r="AS74">
        <f>AS73+IF(AND(Lists!$AD$21&lt;&gt;"",ISNUMBER(SEARCH($E$4,Lists!$AD$21))),1,0)</f>
        <v/>
      </c>
      <c r="AT74">
        <f>IF(ROW()-56&gt;MAX($AS$57:$AS$95),"",INDEX(Lists!$AD$4:$AD$42,MATCH(ROW()-56,$AS$57:$AS$95,0)))</f>
        <v/>
      </c>
      <c r="AU74">
        <f>AU73+IF(AND(Lists!$AI$21&lt;&gt;"",ISNUMBER(SEARCH($F$4,Lists!$AI$21))),1,0)</f>
        <v/>
      </c>
      <c r="AV74">
        <f>IF(ROW()-56&gt;MAX($AU$57:$AU$95),"",INDEX(Lists!$AI$4:$AI$42,MATCH(ROW()-56,$AU$57:$AU$95,0)))</f>
        <v/>
      </c>
      <c r="AW74">
        <f>AW73+IF(AND(Lists!$AN$21&lt;&gt;"",ISNUMBER(SEARCH($G$4,Lists!$AN$21))),1,0)</f>
        <v/>
      </c>
      <c r="AX74">
        <f>IF(ROW()-56&gt;MAX($AW$57:$AW$95),"",INDEX(Lists!$AN$4:$AN$42,MATCH(ROW()-56,$AW$57:$AW$95,0)))</f>
        <v/>
      </c>
      <c r="AY74">
        <f>AY73+IF(AND(Lists!$AS$21&lt;&gt;"",ISNUMBER(SEARCH($H$4,Lists!$AS$21))),1,0)</f>
        <v/>
      </c>
      <c r="AZ74">
        <f>IF(ROW()-56&gt;MAX($AY$57:$AY$95),"",INDEX(Lists!$AS$4:$AS$42,MATCH(ROW()-56,$AY$57:$AY$95,0)))</f>
        <v/>
      </c>
      <c r="BA74">
        <f>BA73+IF(AND(Lists!$AX$21&lt;&gt;"",ISNUMBER(SEARCH($I$4,Lists!$AX$21))),1,0)</f>
        <v/>
      </c>
      <c r="BB74">
        <f>IF(ROW()-56&gt;MAX($BA$57:$BA$95),"",INDEX(Lists!$AX$4:$AX$42,MATCH(ROW()-56,$BA$57:$BA$95,0)))</f>
        <v/>
      </c>
      <c r="BC74">
        <f>BC73+IF(AND(Lists!$BC$21&lt;&gt;"",ISNUMBER(SEARCH($J$4,Lists!$BC$21))),1,0)</f>
        <v/>
      </c>
      <c r="BD74">
        <f>IF(ROW()-56&gt;MAX($BC$57:$BC$95),"",INDEX(Lists!$BC$4:$BC$42,MATCH(ROW()-56,$BC$57:$BC$95,0)))</f>
        <v/>
      </c>
      <c r="BE74">
        <f>BE73+IF(AND(Lists!$BH$21&lt;&gt;"",ISNUMBER(SEARCH($K$4,Lists!$BH$21))),1,0)</f>
        <v/>
      </c>
      <c r="BF74">
        <f>IF(ROW()-56&gt;MAX($BE$57:$BE$95),"",INDEX(Lists!$BH$4:$BH$42,MATCH(ROW()-56,$BE$57:$BE$95,0)))</f>
        <v/>
      </c>
      <c r="BG74">
        <f>BG73+IF(AND(Lists!$BM$21&lt;&gt;"",ISNUMBER(SEARCH($L$4,Lists!$BM$21))),1,0)</f>
        <v/>
      </c>
      <c r="BH74">
        <f>IF(ROW()-56&gt;MAX($BG$57:$BG$95),"",INDEX(Lists!$BM$4:$BM$42,MATCH(ROW()-56,$BG$57:$BG$95,0)))</f>
        <v/>
      </c>
      <c r="BI74">
        <f>BI73+IF(AND(Lists!$BR$21&lt;&gt;"",ISNUMBER(SEARCH($M$4,Lists!$BR$21))),1,0)</f>
        <v/>
      </c>
      <c r="BJ74">
        <f>IF(ROW()-56&gt;MAX($BI$57:$BI$95),"",INDEX(Lists!$BR$4:$BR$42,MATCH(ROW()-56,$BI$57:$BI$95,0)))</f>
        <v/>
      </c>
      <c r="BK74">
        <f>BK73+IF(AND(Lists!$BW$21&lt;&gt;"",ISNUMBER(SEARCH($N$4,Lists!$BW$21))),1,0)</f>
        <v/>
      </c>
      <c r="BL74">
        <f>IF(ROW()-56&gt;MAX($BK$57:$BK$95),"",INDEX(Lists!$BW$4:$BW$42,MATCH(ROW()-56,$BK$57:$BK$95,0)))</f>
        <v/>
      </c>
      <c r="BM74">
        <f>BM73+IF(AND(Lists!$CB$21&lt;&gt;"",ISNUMBER(SEARCH($O$4,Lists!$CB$21))),1,0)</f>
        <v/>
      </c>
      <c r="BN74">
        <f>IF(ROW()-56&gt;MAX($BM$57:$BM$95),"",INDEX(Lists!$CB$4:$CB$42,MATCH(ROW()-56,$BM$57:$BM$95,0)))</f>
        <v/>
      </c>
      <c r="BO74">
        <f>BO73+IF(AND(Lists!$CG$21&lt;&gt;"",ISNUMBER(SEARCH($P$4,Lists!$CG$21))),1,0)</f>
        <v/>
      </c>
      <c r="BP74">
        <f>IF(ROW()-56&gt;MAX($BO$57:$BO$95),"",INDEX(Lists!$CG$4:$CG$42,MATCH(ROW()-56,$BO$57:$BO$95,0)))</f>
        <v/>
      </c>
      <c r="BQ74">
        <f>BQ73+IF(AND(Lists!$CL$21&lt;&gt;"",ISNUMBER(SEARCH($Q$4,Lists!$CL$21))),1,0)</f>
        <v/>
      </c>
      <c r="BR74">
        <f>IF(ROW()-56&gt;MAX($BQ$57:$BQ$95),"",INDEX(Lists!$CL$4:$CL$42,MATCH(ROW()-56,$BQ$57:$BQ$95,0)))</f>
        <v/>
      </c>
      <c r="BS74">
        <f>BS73+IF(AND(Lists!$CQ$21&lt;&gt;"",ISNUMBER(SEARCH($R$4,Lists!$CQ$21))),1,0)</f>
        <v/>
      </c>
      <c r="BT74">
        <f>IF(ROW()-56&gt;MAX($BS$57:$BS$95),"",INDEX(Lists!$CQ$4:$CQ$42,MATCH(ROW()-56,$BS$57:$BS$95,0)))</f>
        <v/>
      </c>
      <c r="BU74">
        <f>BU73+IF(AND(Lists!$CV$21&lt;&gt;"",ISNUMBER(SEARCH($S$4,Lists!$CV$21))),1,0)</f>
        <v/>
      </c>
      <c r="BV74">
        <f>IF(ROW()-56&gt;MAX($BU$57:$BU$95),"",INDEX(Lists!$CV$4:$CV$42,MATCH(ROW()-56,$BU$57:$BU$95,0)))</f>
        <v/>
      </c>
      <c r="BW74">
        <f>BW73+IF(AND(Lists!$DA$21&lt;&gt;"",ISNUMBER(SEARCH($T$4,Lists!$DA$21))),1,0)</f>
        <v/>
      </c>
      <c r="BX74">
        <f>IF(ROW()-56&gt;MAX($BW$57:$BW$95),"",INDEX(Lists!$DA$4:$DA$42,MATCH(ROW()-56,$BW$57:$BW$95,0)))</f>
        <v/>
      </c>
      <c r="BY74">
        <f>BY73+IF(AND(Lists!$DF$21&lt;&gt;"",ISNUMBER(SEARCH($U$4,Lists!$DF$21))),1,0)</f>
        <v/>
      </c>
      <c r="BZ74">
        <f>IF(ROW()-56&gt;MAX($BY$57:$BY$95),"",INDEX(Lists!$DF$4:$DF$42,MATCH(ROW()-56,$BY$57:$BY$95,0)))</f>
        <v/>
      </c>
      <c r="CA74">
        <f>CA73+IF(AND(Lists!$DK$21&lt;&gt;"",ISNUMBER(SEARCH($V$4,Lists!$DK$21))),1,0)</f>
        <v/>
      </c>
      <c r="CB74">
        <f>IF(ROW()-56&gt;MAX($CA$57:$CA$95),"",INDEX(Lists!$DK$4:$DK$42,MATCH(ROW()-56,$CA$57:$CA$95,0)))</f>
        <v/>
      </c>
      <c r="CC74">
        <f>CC73+IF(AND(Lists!$DP$21&lt;&gt;"",ISNUMBER(SEARCH($W$4,Lists!$DP$21))),1,0)</f>
        <v/>
      </c>
      <c r="CD74">
        <f>IF(ROW()-56&gt;MAX($CC$57:$CC$95),"",INDEX(Lists!$DP$4:$DP$42,MATCH(ROW()-56,$CC$57:$CC$95,0)))</f>
        <v/>
      </c>
      <c r="CE74">
        <f>CE73+IF(AND(Lists!$DU$21&lt;&gt;"",ISNUMBER(SEARCH($X$4,Lists!$DU$21))),1,0)</f>
        <v/>
      </c>
      <c r="CF74">
        <f>IF(ROW()-56&gt;MAX($CE$57:$CE$95),"",INDEX(Lists!$DU$4:$DU$42,MATCH(ROW()-56,$CE$57:$CE$95,0)))</f>
        <v/>
      </c>
      <c r="CG74">
        <f>CG73+IF(AND(Lists!$DZ$21&lt;&gt;"",ISNUMBER(SEARCH($Y$4,Lists!$DZ$21))),1,0)</f>
        <v/>
      </c>
      <c r="CH74">
        <f>IF(ROW()-56&gt;MAX($CG$57:$CG$95),"",INDEX(Lists!$DZ$4:$DZ$42,MATCH(ROW()-56,$CG$57:$CG$95,0)))</f>
        <v/>
      </c>
      <c r="CI74">
        <f>CI73+IF(AND(Lists!$EE$21&lt;&gt;"",ISNUMBER(SEARCH($Z$4,Lists!$EE$21))),1,0)</f>
        <v/>
      </c>
      <c r="CJ74">
        <f>IF(ROW()-56&gt;MAX($CI$57:$CI$95),"",INDEX(Lists!$EE$4:$EE$42,MATCH(ROW()-56,$CI$57:$CI$95,0)))</f>
        <v/>
      </c>
      <c r="CK74">
        <f>CK73+IF(AND(Lists!$EJ$21&lt;&gt;"",ISNUMBER(SEARCH($AA$4,Lists!$EJ$21))),1,0)</f>
        <v/>
      </c>
      <c r="CL74">
        <f>IF(ROW()-56&gt;MAX($CK$57:$CK$95),"",INDEX(Lists!$EJ$4:$EJ$42,MATCH(ROW()-56,$CK$57:$CK$95,0)))</f>
        <v/>
      </c>
      <c r="CM74">
        <f>CM73+IF(AND(Lists!$EO$21&lt;&gt;"",ISNUMBER(SEARCH($AB$4,Lists!$EO$21))),1,0)</f>
        <v/>
      </c>
      <c r="CN74">
        <f>IF(ROW()-56&gt;MAX($CM$57:$CM$95),"",INDEX(Lists!$EO$4:$EO$42,MATCH(ROW()-56,$CM$57:$CM$95,0)))</f>
        <v/>
      </c>
      <c r="CO74">
        <f>CO73+IF(AND(Lists!$ET$21&lt;&gt;"",ISNUMBER(SEARCH($AC$4,Lists!$ET$21))),1,0)</f>
        <v/>
      </c>
      <c r="CP74">
        <f>IF(ROW()-56&gt;MAX($CO$57:$CO$95),"",INDEX(Lists!$ET$4:$ET$42,MATCH(ROW()-56,$CO$57:$CO$95,0)))</f>
        <v/>
      </c>
      <c r="CQ74">
        <f>CQ73+IF(AND(Lists!$EY$21&lt;&gt;"",ISNUMBER(SEARCH($AD$4,Lists!$EY$21))),1,0)</f>
        <v/>
      </c>
      <c r="CR74">
        <f>IF(ROW()-56&gt;MAX($CQ$57:$CQ$95),"",INDEX(Lists!$EY$4:$EY$42,MATCH(ROW()-56,$CQ$57:$CQ$95,0)))</f>
        <v/>
      </c>
      <c r="CS74">
        <f>CS73+IF(AND(Lists!$FD$21&lt;&gt;"",ISNUMBER(SEARCH($AE$4,Lists!$FD$21))),1,0)</f>
        <v/>
      </c>
      <c r="CT74">
        <f>IF(ROW()-56&gt;MAX($CS$57:$CS$95),"",INDEX(Lists!$FD$4:$FD$42,MATCH(ROW()-56,$CS$57:$CS$95,0)))</f>
        <v/>
      </c>
      <c r="CU74">
        <f>CU73+IF(AND(Lists!$FI$21&lt;&gt;"",ISNUMBER(SEARCH($AG$4,Lists!$FI$21))),1,0)</f>
        <v/>
      </c>
      <c r="CV74">
        <f>IF(ROW()-56&gt;MAX($CU$57:$CU$95),"",INDEX(Lists!$FI$4:$FI$42,MATCH(ROW()-56,$CU$57:$CU$95,0)))</f>
        <v/>
      </c>
      <c r="CW74">
        <f>CW73+IF(AND(Lists!$FN$21&lt;&gt;"",ISNUMBER(SEARCH($AH$4,Lists!$FN$21))),1,0)</f>
        <v/>
      </c>
      <c r="CX74">
        <f>IF(ROW()-56&gt;MAX($CW$57:$CW$95),"",INDEX(Lists!$FN$4:$FN$42,MATCH(ROW()-56,$CW$57:$CW$95,0)))</f>
        <v/>
      </c>
      <c r="CY74">
        <f>CY73+IF(AND(Lists!$FS$21&lt;&gt;"",ISNUMBER(SEARCH($AI$4,Lists!$FS$21))),1,0)</f>
        <v/>
      </c>
      <c r="CZ74">
        <f>IF(ROW()-56&gt;MAX($CY$57:$CY$95),"",INDEX(Lists!$FS$4:$FS$42,MATCH(ROW()-56,$CY$57:$CY$95,0)))</f>
        <v/>
      </c>
      <c r="DA74">
        <f>DA73+IF(AND(Lists!$FX$21&lt;&gt;"",ISNUMBER(SEARCH($AF$4,Lists!$FX$21))),1,0)</f>
        <v/>
      </c>
      <c r="DB74">
        <f>IF(ROW()-56&gt;MAX($DA$57:$DA$95),"",INDEX(Lists!$FX$4:$FX$42,MATCH(ROW()-56,$DA$57:$DA$95,0)))</f>
        <v/>
      </c>
      <c r="DG74">
        <f>IF($B$4="",1,IF($B$4="(blank)",--('Final Calculation Sheet'!$F$19=""),IF($B$4="(nonblank)",--('Final Calculation Sheet'!$F$19&lt;&gt;""),--ISNUMBER(SEARCH($B$4,'Final Calculation Sheet'!$F$19)))))</f>
        <v/>
      </c>
      <c r="DH74">
        <f>IF($C$4="",1,IF($C$4="(blank)",--('Final Calculation Sheet'!$G$19=""),IF($C$4="(nonblank)",--('Final Calculation Sheet'!$G$19&lt;&gt;""),--ISNUMBER(SEARCH($C$4,'Final Calculation Sheet'!$G$19)))))</f>
        <v/>
      </c>
      <c r="DI74">
        <f>IF($D$4="",1,IF($D$4="(blank)",--('Final Calculation Sheet'!$B$19=""),IF($D$4="(nonblank)",--('Final Calculation Sheet'!$B$19&lt;&gt;""),--ISNUMBER(SEARCH($D$4,'Final Calculation Sheet'!$B$19)))))</f>
        <v/>
      </c>
      <c r="DJ74">
        <f>IF($E$4="",1,IF($E$4="(blank)",--('Final Calculation Sheet'!$D$19=""),IF($E$4="(nonblank)",--('Final Calculation Sheet'!$D$19&lt;&gt;""),--ISNUMBER(SEARCH($E$4,'Final Calculation Sheet'!$D$19)))))</f>
        <v/>
      </c>
      <c r="DK74">
        <f>IF($F$4="",1,IF($F$4="(blank)",--('Final Calculation Sheet'!$A$19=""),IF($F$4="(nonblank)",--('Final Calculation Sheet'!$A$19&lt;&gt;""),--ISNUMBER(SEARCH($F$4,'Final Calculation Sheet'!$A$19)))))</f>
        <v/>
      </c>
      <c r="DL74">
        <f>IF($G$4="",1,IF($G$4="(blank)",--('Final Calculation Sheet'!$E$19=""),IF($G$4="(nonblank)",--('Final Calculation Sheet'!$E$19&lt;&gt;""),--ISNUMBER(SEARCH($G$4,'Final Calculation Sheet'!$E$19)))))</f>
        <v/>
      </c>
      <c r="DM74">
        <f>IF($H$4="",1,IF($H$4="(blank)",--('Final Calculation Sheet'!$C$19=""),IF($H$4="(nonblank)",--('Final Calculation Sheet'!$C$19&lt;&gt;""),--ISNUMBER(SEARCH($H$4,'Final Calculation Sheet'!$C$19)))))</f>
        <v/>
      </c>
      <c r="DN74">
        <f>IF($I$4="",1,IF($I$4="(blank)",--('Final Calculation Sheet'!$H$19=""),IF($I$4="(nonblank)",--('Final Calculation Sheet'!$H$19&lt;&gt;""),--ISNUMBER(SEARCH($I$4,'Final Calculation Sheet'!$H$19)))))</f>
        <v/>
      </c>
      <c r="DO74">
        <f>IF($J$4="",1,IF($J$4="(blank)",--('Final Calculation Sheet'!$I$19=""),IF($J$4="(nonblank)",--('Final Calculation Sheet'!$I$19&lt;&gt;""),--ISNUMBER(SEARCH($J$4,'Final Calculation Sheet'!$I$19)))))</f>
        <v/>
      </c>
      <c r="DP74">
        <f>IF($K$4="",1,IF($K$4="(blank)",--('Final Calculation Sheet'!$J$19=""),IF($K$4="(nonblank)",--('Final Calculation Sheet'!$J$19&lt;&gt;""),--ISNUMBER(SEARCH($K$4,'Final Calculation Sheet'!$J$19)))))</f>
        <v/>
      </c>
      <c r="DQ74">
        <f>IF($L$4="",1,IF($L$4="(blank)",--('Final Calculation Sheet'!$K$19=""),IF($L$4="(nonblank)",--('Final Calculation Sheet'!$K$19&lt;&gt;""),--ISNUMBER(SEARCH($L$4,'Final Calculation Sheet'!$K$19)))))</f>
        <v/>
      </c>
      <c r="DR74">
        <f>IF($M$4="",1,IF($M$4="(blank)",--('Final Calculation Sheet'!$L$19=""),IF($M$4="(nonblank)",--('Final Calculation Sheet'!$L$19&lt;&gt;""),--ISNUMBER(SEARCH($M$4,'Final Calculation Sheet'!$L$19)))))</f>
        <v/>
      </c>
      <c r="DS74">
        <f>IF($N$4="",1,IF($N$4="(blank)",--('Final Calculation Sheet'!$M$19=""),IF($N$4="(nonblank)",--('Final Calculation Sheet'!$M$19&lt;&gt;""),--ISNUMBER(SEARCH($N$4,'Final Calculation Sheet'!$M$19)))))</f>
        <v/>
      </c>
      <c r="DT74">
        <f>IF($O$4="",1,IF($O$4="(blank)",--('Final Calculation Sheet'!$N$19=""),IF($O$4="(nonblank)",--('Final Calculation Sheet'!$N$19&lt;&gt;""),--ISNUMBER(SEARCH($O$4,'Final Calculation Sheet'!$N$19)))))</f>
        <v/>
      </c>
      <c r="DU74">
        <f>IF($P$4="",1,IF($P$4="(blank)",--('Final Calculation Sheet'!$O$19=""),IF($P$4="(nonblank)",--('Final Calculation Sheet'!$O$19&lt;&gt;""),--ISNUMBER(SEARCH($P$4,'Final Calculation Sheet'!$O$19)))))</f>
        <v/>
      </c>
      <c r="DV74">
        <f>IF($Q$4="",1,IF($Q$4="(blank)",--('Final Calculation Sheet'!$P$19=""),IF($Q$4="(nonblank)",--('Final Calculation Sheet'!$P$19&lt;&gt;""),--ISNUMBER(SEARCH($Q$4,'Final Calculation Sheet'!$P$19)))))</f>
        <v/>
      </c>
      <c r="DW74">
        <f>IF($R$4="",1,IF($R$4="(blank)",--('Final Calculation Sheet'!$Q$19=""),IF($R$4="(nonblank)",--('Final Calculation Sheet'!$Q$19&lt;&gt;""),--ISNUMBER(SEARCH($R$4,'Final Calculation Sheet'!$Q$19)))))</f>
        <v/>
      </c>
      <c r="DX74">
        <f>IF($S$4="",1,IF($S$4="(blank)",--('Final Calculation Sheet'!$R$19=""),IF($S$4="(nonblank)",--('Final Calculation Sheet'!$R$19&lt;&gt;""),--ISNUMBER(SEARCH($S$4,'Final Calculation Sheet'!$R$19)))))</f>
        <v/>
      </c>
      <c r="DY74">
        <f>IF($T$4="",1,IF($T$4="(blank)",--('Final Calculation Sheet'!$S$19=""),IF($T$4="(nonblank)",--('Final Calculation Sheet'!$S$19&lt;&gt;""),--ISNUMBER(SEARCH($T$4,'Final Calculation Sheet'!$S$19)))))</f>
        <v/>
      </c>
      <c r="DZ74">
        <f>IF($U$4="",1,IF($U$4="(blank)",--('Final Calculation Sheet'!$T$19=""),IF($U$4="(nonblank)",--('Final Calculation Sheet'!$T$19&lt;&gt;""),--ISNUMBER(SEARCH($U$4,'Final Calculation Sheet'!$T$19)))))</f>
        <v/>
      </c>
      <c r="EA74">
        <f>IF($V$4="",1,IF($V$4="(blank)",--('Final Calculation Sheet'!$U$19=""),IF($V$4="(nonblank)",--('Final Calculation Sheet'!$U$19&lt;&gt;""),--ISNUMBER(SEARCH($V$4,'Final Calculation Sheet'!$U$19)))))</f>
        <v/>
      </c>
      <c r="EB74">
        <f>IF($W$4="",1,IF($W$4="(blank)",--('Final Calculation Sheet'!$V$19=""),IF($W$4="(nonblank)",--('Final Calculation Sheet'!$V$19&lt;&gt;""),--ISNUMBER(SEARCH($W$4,'Final Calculation Sheet'!$V$19)))))</f>
        <v/>
      </c>
      <c r="EC74">
        <f>IF($X$4="",1,IF($X$4="(blank)",--('Final Calculation Sheet'!$W$19=""),IF($X$4="(nonblank)",--('Final Calculation Sheet'!$W$19&lt;&gt;""),--ISNUMBER(SEARCH($X$4,'Final Calculation Sheet'!$W$19)))))</f>
        <v/>
      </c>
      <c r="ED74">
        <f>IF($Y$4="",1,IF($Y$4="(blank)",--('Final Calculation Sheet'!$X$19=""),IF($Y$4="(nonblank)",--('Final Calculation Sheet'!$X$19&lt;&gt;""),--ISNUMBER(SEARCH($Y$4,'Final Calculation Sheet'!$X$19)))))</f>
        <v/>
      </c>
      <c r="EE74">
        <f>IF($Z$4="",1,IF($Z$4="(blank)",--('Final Calculation Sheet'!$Y$19=""),IF($Z$4="(nonblank)",--('Final Calculation Sheet'!$Y$19&lt;&gt;""),--ISNUMBER(SEARCH($Z$4,'Final Calculation Sheet'!$Y$19)))))</f>
        <v/>
      </c>
      <c r="EF74">
        <f>IF($AA$4="",1,IF($AA$4="(blank)",--('Final Calculation Sheet'!$Z$19=""),IF($AA$4="(nonblank)",--('Final Calculation Sheet'!$Z$19&lt;&gt;""),--ISNUMBER(SEARCH($AA$4,'Final Calculation Sheet'!$Z$19)))))</f>
        <v/>
      </c>
      <c r="EG74">
        <f>IF($AB$4="",1,IF($AB$4="(blank)",--('Final Calculation Sheet'!$AA$19=""),IF($AB$4="(nonblank)",--('Final Calculation Sheet'!$AA$19&lt;&gt;""),--ISNUMBER(SEARCH($AB$4,'Final Calculation Sheet'!$AA$19)))))</f>
        <v/>
      </c>
      <c r="EH74">
        <f>IF($AC$4="",1,IF($AC$4="(blank)",--('Final Calculation Sheet'!$AB$19=""),IF($AC$4="(nonblank)",--('Final Calculation Sheet'!$AB$19&lt;&gt;""),--ISNUMBER(SEARCH($AC$4,'Final Calculation Sheet'!$AB$19)))))</f>
        <v/>
      </c>
      <c r="EI74">
        <f>IF($AD$4="",1,IF($AD$4="(blank)",--('Final Calculation Sheet'!$AC$19=""),IF($AD$4="(nonblank)",--('Final Calculation Sheet'!$AC$19&lt;&gt;""),--ISNUMBER(SEARCH($AD$4,'Final Calculation Sheet'!$AC$19)))))</f>
        <v/>
      </c>
      <c r="EJ74">
        <f>IF($AE$4="",1,IF($AE$4="(blank)",--('Final Calculation Sheet'!$AD$19=""),IF($AE$4="(nonblank)",--('Final Calculation Sheet'!$AD$19&lt;&gt;""),--ISNUMBER(SEARCH($AE$4,'Final Calculation Sheet'!$AD$19)))))</f>
        <v/>
      </c>
      <c r="EK74">
        <f>IF($AF$4="",1,IF($AF$4="(blank)",--(IF('Final Calculation Sheet'!$AD$19&lt;=5,"SETTLED","OUTSTANDING")=""),IF($AF$4="(nonblank)",--(IF('Final Calculation Sheet'!$AD$19&lt;=5,"SETTLED","OUTSTANDING")&lt;&gt;""),--ISNUMBER(SEARCH($AF$4,IF('Final Calculation Sheet'!$AD$19&lt;=5,"SETTLED","OUTSTANDING"))))))</f>
        <v/>
      </c>
      <c r="EL74">
        <f>IF($AG$4="",1,IF($AG$4="(blank)",--('Final Calculation Sheet'!$AF$19=""),IF($AG$4="(nonblank)",--('Final Calculation Sheet'!$AF$19&lt;&gt;""),--ISNUMBER(SEARCH($AG$4,'Final Calculation Sheet'!$AF$19)))))</f>
        <v/>
      </c>
      <c r="EM74">
        <f>IF($AH$4="",1,IF($AH$4="(blank)",--('Final Calculation Sheet'!$AG$19=""),IF($AH$4="(nonblank)",--('Final Calculation Sheet'!$AG$19&lt;&gt;""),--ISNUMBER(SEARCH($AH$4,'Final Calculation Sheet'!$AG$19)))))</f>
        <v/>
      </c>
      <c r="EN74">
        <f>IF($AI$4="",1,IF($AI$4="(blank)",--('Final Calculation Sheet'!$AH$19=""),IF($AI$4="(nonblank)",--('Final Calculation Sheet'!$AH$19&lt;&gt;""),--ISNUMBER(SEARCH($AI$4,'Final Calculation Sheet'!$AH$19)))))</f>
        <v/>
      </c>
    </row>
    <row r="75">
      <c r="AM75">
        <f>AM74+IF(AND(Lists!$O$22&lt;&gt;"",ISNUMBER(SEARCH($B$4,Lists!$O$22))),1,0)</f>
        <v/>
      </c>
      <c r="AN75">
        <f>IF(ROW()-56&gt;MAX($AM$57:$AM$95),"",INDEX(Lists!$O$4:$O$42,MATCH(ROW()-56,$AM$57:$AM$95,0)))</f>
        <v/>
      </c>
      <c r="AO75">
        <f>AO74+IF(AND(Lists!$T$22&lt;&gt;"",ISNUMBER(SEARCH($C$4,Lists!$T$22))),1,0)</f>
        <v/>
      </c>
      <c r="AP75">
        <f>IF(ROW()-56&gt;MAX($AO$57:$AO$95),"",INDEX(Lists!$T$4:$T$42,MATCH(ROW()-56,$AO$57:$AO$95,0)))</f>
        <v/>
      </c>
      <c r="AQ75">
        <f>AQ74+IF(AND(Lists!$Y$22&lt;&gt;"",ISNUMBER(SEARCH($D$4,Lists!$Y$22))),1,0)</f>
        <v/>
      </c>
      <c r="AR75">
        <f>IF(ROW()-56&gt;MAX($AQ$57:$AQ$95),"",INDEX(Lists!$Y$4:$Y$42,MATCH(ROW()-56,$AQ$57:$AQ$95,0)))</f>
        <v/>
      </c>
      <c r="AS75">
        <f>AS74+IF(AND(Lists!$AD$22&lt;&gt;"",ISNUMBER(SEARCH($E$4,Lists!$AD$22))),1,0)</f>
        <v/>
      </c>
      <c r="AT75">
        <f>IF(ROW()-56&gt;MAX($AS$57:$AS$95),"",INDEX(Lists!$AD$4:$AD$42,MATCH(ROW()-56,$AS$57:$AS$95,0)))</f>
        <v/>
      </c>
      <c r="AU75">
        <f>AU74+IF(AND(Lists!$AI$22&lt;&gt;"",ISNUMBER(SEARCH($F$4,Lists!$AI$22))),1,0)</f>
        <v/>
      </c>
      <c r="AV75">
        <f>IF(ROW()-56&gt;MAX($AU$57:$AU$95),"",INDEX(Lists!$AI$4:$AI$42,MATCH(ROW()-56,$AU$57:$AU$95,0)))</f>
        <v/>
      </c>
      <c r="AW75">
        <f>AW74+IF(AND(Lists!$AN$22&lt;&gt;"",ISNUMBER(SEARCH($G$4,Lists!$AN$22))),1,0)</f>
        <v/>
      </c>
      <c r="AX75">
        <f>IF(ROW()-56&gt;MAX($AW$57:$AW$95),"",INDEX(Lists!$AN$4:$AN$42,MATCH(ROW()-56,$AW$57:$AW$95,0)))</f>
        <v/>
      </c>
      <c r="AY75">
        <f>AY74+IF(AND(Lists!$AS$22&lt;&gt;"",ISNUMBER(SEARCH($H$4,Lists!$AS$22))),1,0)</f>
        <v/>
      </c>
      <c r="AZ75">
        <f>IF(ROW()-56&gt;MAX($AY$57:$AY$95),"",INDEX(Lists!$AS$4:$AS$42,MATCH(ROW()-56,$AY$57:$AY$95,0)))</f>
        <v/>
      </c>
      <c r="BA75">
        <f>BA74+IF(AND(Lists!$AX$22&lt;&gt;"",ISNUMBER(SEARCH($I$4,Lists!$AX$22))),1,0)</f>
        <v/>
      </c>
      <c r="BB75">
        <f>IF(ROW()-56&gt;MAX($BA$57:$BA$95),"",INDEX(Lists!$AX$4:$AX$42,MATCH(ROW()-56,$BA$57:$BA$95,0)))</f>
        <v/>
      </c>
      <c r="BC75">
        <f>BC74+IF(AND(Lists!$BC$22&lt;&gt;"",ISNUMBER(SEARCH($J$4,Lists!$BC$22))),1,0)</f>
        <v/>
      </c>
      <c r="BD75">
        <f>IF(ROW()-56&gt;MAX($BC$57:$BC$95),"",INDEX(Lists!$BC$4:$BC$42,MATCH(ROW()-56,$BC$57:$BC$95,0)))</f>
        <v/>
      </c>
      <c r="BE75">
        <f>BE74+IF(AND(Lists!$BH$22&lt;&gt;"",ISNUMBER(SEARCH($K$4,Lists!$BH$22))),1,0)</f>
        <v/>
      </c>
      <c r="BF75">
        <f>IF(ROW()-56&gt;MAX($BE$57:$BE$95),"",INDEX(Lists!$BH$4:$BH$42,MATCH(ROW()-56,$BE$57:$BE$95,0)))</f>
        <v/>
      </c>
      <c r="BG75">
        <f>BG74+IF(AND(Lists!$BM$22&lt;&gt;"",ISNUMBER(SEARCH($L$4,Lists!$BM$22))),1,0)</f>
        <v/>
      </c>
      <c r="BH75">
        <f>IF(ROW()-56&gt;MAX($BG$57:$BG$95),"",INDEX(Lists!$BM$4:$BM$42,MATCH(ROW()-56,$BG$57:$BG$95,0)))</f>
        <v/>
      </c>
      <c r="BI75">
        <f>BI74+IF(AND(Lists!$BR$22&lt;&gt;"",ISNUMBER(SEARCH($M$4,Lists!$BR$22))),1,0)</f>
        <v/>
      </c>
      <c r="BJ75">
        <f>IF(ROW()-56&gt;MAX($BI$57:$BI$95),"",INDEX(Lists!$BR$4:$BR$42,MATCH(ROW()-56,$BI$57:$BI$95,0)))</f>
        <v/>
      </c>
      <c r="BK75">
        <f>BK74+IF(AND(Lists!$BW$22&lt;&gt;"",ISNUMBER(SEARCH($N$4,Lists!$BW$22))),1,0)</f>
        <v/>
      </c>
      <c r="BL75">
        <f>IF(ROW()-56&gt;MAX($BK$57:$BK$95),"",INDEX(Lists!$BW$4:$BW$42,MATCH(ROW()-56,$BK$57:$BK$95,0)))</f>
        <v/>
      </c>
      <c r="BM75">
        <f>BM74+IF(AND(Lists!$CB$22&lt;&gt;"",ISNUMBER(SEARCH($O$4,Lists!$CB$22))),1,0)</f>
        <v/>
      </c>
      <c r="BN75">
        <f>IF(ROW()-56&gt;MAX($BM$57:$BM$95),"",INDEX(Lists!$CB$4:$CB$42,MATCH(ROW()-56,$BM$57:$BM$95,0)))</f>
        <v/>
      </c>
      <c r="BO75">
        <f>BO74+IF(AND(Lists!$CG$22&lt;&gt;"",ISNUMBER(SEARCH($P$4,Lists!$CG$22))),1,0)</f>
        <v/>
      </c>
      <c r="BP75">
        <f>IF(ROW()-56&gt;MAX($BO$57:$BO$95),"",INDEX(Lists!$CG$4:$CG$42,MATCH(ROW()-56,$BO$57:$BO$95,0)))</f>
        <v/>
      </c>
      <c r="BQ75">
        <f>BQ74+IF(AND(Lists!$CL$22&lt;&gt;"",ISNUMBER(SEARCH($Q$4,Lists!$CL$22))),1,0)</f>
        <v/>
      </c>
      <c r="BR75">
        <f>IF(ROW()-56&gt;MAX($BQ$57:$BQ$95),"",INDEX(Lists!$CL$4:$CL$42,MATCH(ROW()-56,$BQ$57:$BQ$95,0)))</f>
        <v/>
      </c>
      <c r="BS75">
        <f>BS74+IF(AND(Lists!$CQ$22&lt;&gt;"",ISNUMBER(SEARCH($R$4,Lists!$CQ$22))),1,0)</f>
        <v/>
      </c>
      <c r="BT75">
        <f>IF(ROW()-56&gt;MAX($BS$57:$BS$95),"",INDEX(Lists!$CQ$4:$CQ$42,MATCH(ROW()-56,$BS$57:$BS$95,0)))</f>
        <v/>
      </c>
      <c r="BU75">
        <f>BU74+IF(AND(Lists!$CV$22&lt;&gt;"",ISNUMBER(SEARCH($S$4,Lists!$CV$22))),1,0)</f>
        <v/>
      </c>
      <c r="BV75">
        <f>IF(ROW()-56&gt;MAX($BU$57:$BU$95),"",INDEX(Lists!$CV$4:$CV$42,MATCH(ROW()-56,$BU$57:$BU$95,0)))</f>
        <v/>
      </c>
      <c r="BW75">
        <f>BW74+IF(AND(Lists!$DA$22&lt;&gt;"",ISNUMBER(SEARCH($T$4,Lists!$DA$22))),1,0)</f>
        <v/>
      </c>
      <c r="BX75">
        <f>IF(ROW()-56&gt;MAX($BW$57:$BW$95),"",INDEX(Lists!$DA$4:$DA$42,MATCH(ROW()-56,$BW$57:$BW$95,0)))</f>
        <v/>
      </c>
      <c r="BY75">
        <f>BY74+IF(AND(Lists!$DF$22&lt;&gt;"",ISNUMBER(SEARCH($U$4,Lists!$DF$22))),1,0)</f>
        <v/>
      </c>
      <c r="BZ75">
        <f>IF(ROW()-56&gt;MAX($BY$57:$BY$95),"",INDEX(Lists!$DF$4:$DF$42,MATCH(ROW()-56,$BY$57:$BY$95,0)))</f>
        <v/>
      </c>
      <c r="CA75">
        <f>CA74+IF(AND(Lists!$DK$22&lt;&gt;"",ISNUMBER(SEARCH($V$4,Lists!$DK$22))),1,0)</f>
        <v/>
      </c>
      <c r="CB75">
        <f>IF(ROW()-56&gt;MAX($CA$57:$CA$95),"",INDEX(Lists!$DK$4:$DK$42,MATCH(ROW()-56,$CA$57:$CA$95,0)))</f>
        <v/>
      </c>
      <c r="CC75">
        <f>CC74+IF(AND(Lists!$DP$22&lt;&gt;"",ISNUMBER(SEARCH($W$4,Lists!$DP$22))),1,0)</f>
        <v/>
      </c>
      <c r="CD75">
        <f>IF(ROW()-56&gt;MAX($CC$57:$CC$95),"",INDEX(Lists!$DP$4:$DP$42,MATCH(ROW()-56,$CC$57:$CC$95,0)))</f>
        <v/>
      </c>
      <c r="CE75">
        <f>CE74+IF(AND(Lists!$DU$22&lt;&gt;"",ISNUMBER(SEARCH($X$4,Lists!$DU$22))),1,0)</f>
        <v/>
      </c>
      <c r="CF75">
        <f>IF(ROW()-56&gt;MAX($CE$57:$CE$95),"",INDEX(Lists!$DU$4:$DU$42,MATCH(ROW()-56,$CE$57:$CE$95,0)))</f>
        <v/>
      </c>
      <c r="CG75">
        <f>CG74+IF(AND(Lists!$DZ$22&lt;&gt;"",ISNUMBER(SEARCH($Y$4,Lists!$DZ$22))),1,0)</f>
        <v/>
      </c>
      <c r="CH75">
        <f>IF(ROW()-56&gt;MAX($CG$57:$CG$95),"",INDEX(Lists!$DZ$4:$DZ$42,MATCH(ROW()-56,$CG$57:$CG$95,0)))</f>
        <v/>
      </c>
      <c r="CI75">
        <f>CI74+IF(AND(Lists!$EE$22&lt;&gt;"",ISNUMBER(SEARCH($Z$4,Lists!$EE$22))),1,0)</f>
        <v/>
      </c>
      <c r="CJ75">
        <f>IF(ROW()-56&gt;MAX($CI$57:$CI$95),"",INDEX(Lists!$EE$4:$EE$42,MATCH(ROW()-56,$CI$57:$CI$95,0)))</f>
        <v/>
      </c>
      <c r="CK75">
        <f>CK74+IF(AND(Lists!$EJ$22&lt;&gt;"",ISNUMBER(SEARCH($AA$4,Lists!$EJ$22))),1,0)</f>
        <v/>
      </c>
      <c r="CL75">
        <f>IF(ROW()-56&gt;MAX($CK$57:$CK$95),"",INDEX(Lists!$EJ$4:$EJ$42,MATCH(ROW()-56,$CK$57:$CK$95,0)))</f>
        <v/>
      </c>
      <c r="CM75">
        <f>CM74+IF(AND(Lists!$EO$22&lt;&gt;"",ISNUMBER(SEARCH($AB$4,Lists!$EO$22))),1,0)</f>
        <v/>
      </c>
      <c r="CN75">
        <f>IF(ROW()-56&gt;MAX($CM$57:$CM$95),"",INDEX(Lists!$EO$4:$EO$42,MATCH(ROW()-56,$CM$57:$CM$95,0)))</f>
        <v/>
      </c>
      <c r="CO75">
        <f>CO74+IF(AND(Lists!$ET$22&lt;&gt;"",ISNUMBER(SEARCH($AC$4,Lists!$ET$22))),1,0)</f>
        <v/>
      </c>
      <c r="CP75">
        <f>IF(ROW()-56&gt;MAX($CO$57:$CO$95),"",INDEX(Lists!$ET$4:$ET$42,MATCH(ROW()-56,$CO$57:$CO$95,0)))</f>
        <v/>
      </c>
      <c r="CQ75">
        <f>CQ74+IF(AND(Lists!$EY$22&lt;&gt;"",ISNUMBER(SEARCH($AD$4,Lists!$EY$22))),1,0)</f>
        <v/>
      </c>
      <c r="CR75">
        <f>IF(ROW()-56&gt;MAX($CQ$57:$CQ$95),"",INDEX(Lists!$EY$4:$EY$42,MATCH(ROW()-56,$CQ$57:$CQ$95,0)))</f>
        <v/>
      </c>
      <c r="CS75">
        <f>CS74+IF(AND(Lists!$FD$22&lt;&gt;"",ISNUMBER(SEARCH($AE$4,Lists!$FD$22))),1,0)</f>
        <v/>
      </c>
      <c r="CT75">
        <f>IF(ROW()-56&gt;MAX($CS$57:$CS$95),"",INDEX(Lists!$FD$4:$FD$42,MATCH(ROW()-56,$CS$57:$CS$95,0)))</f>
        <v/>
      </c>
      <c r="CU75">
        <f>CU74+IF(AND(Lists!$FI$22&lt;&gt;"",ISNUMBER(SEARCH($AG$4,Lists!$FI$22))),1,0)</f>
        <v/>
      </c>
      <c r="CV75">
        <f>IF(ROW()-56&gt;MAX($CU$57:$CU$95),"",INDEX(Lists!$FI$4:$FI$42,MATCH(ROW()-56,$CU$57:$CU$95,0)))</f>
        <v/>
      </c>
      <c r="CW75">
        <f>CW74+IF(AND(Lists!$FN$22&lt;&gt;"",ISNUMBER(SEARCH($AH$4,Lists!$FN$22))),1,0)</f>
        <v/>
      </c>
      <c r="CX75">
        <f>IF(ROW()-56&gt;MAX($CW$57:$CW$95),"",INDEX(Lists!$FN$4:$FN$42,MATCH(ROW()-56,$CW$57:$CW$95,0)))</f>
        <v/>
      </c>
      <c r="CY75">
        <f>CY74+IF(AND(Lists!$FS$22&lt;&gt;"",ISNUMBER(SEARCH($AI$4,Lists!$FS$22))),1,0)</f>
        <v/>
      </c>
      <c r="CZ75">
        <f>IF(ROW()-56&gt;MAX($CY$57:$CY$95),"",INDEX(Lists!$FS$4:$FS$42,MATCH(ROW()-56,$CY$57:$CY$95,0)))</f>
        <v/>
      </c>
      <c r="DA75">
        <f>DA74+IF(AND(Lists!$FX$22&lt;&gt;"",ISNUMBER(SEARCH($AF$4,Lists!$FX$22))),1,0)</f>
        <v/>
      </c>
      <c r="DB75">
        <f>IF(ROW()-56&gt;MAX($DA$57:$DA$95),"",INDEX(Lists!$FX$4:$FX$42,MATCH(ROW()-56,$DA$57:$DA$95,0)))</f>
        <v/>
      </c>
      <c r="DG75">
        <f>IF($B$4="",1,IF($B$4="(blank)",--('Final Calculation Sheet'!$F$20=""),IF($B$4="(nonblank)",--('Final Calculation Sheet'!$F$20&lt;&gt;""),--ISNUMBER(SEARCH($B$4,'Final Calculation Sheet'!$F$20)))))</f>
        <v/>
      </c>
      <c r="DH75">
        <f>IF($C$4="",1,IF($C$4="(blank)",--('Final Calculation Sheet'!$G$20=""),IF($C$4="(nonblank)",--('Final Calculation Sheet'!$G$20&lt;&gt;""),--ISNUMBER(SEARCH($C$4,'Final Calculation Sheet'!$G$20)))))</f>
        <v/>
      </c>
      <c r="DI75">
        <f>IF($D$4="",1,IF($D$4="(blank)",--('Final Calculation Sheet'!$B$20=""),IF($D$4="(nonblank)",--('Final Calculation Sheet'!$B$20&lt;&gt;""),--ISNUMBER(SEARCH($D$4,'Final Calculation Sheet'!$B$20)))))</f>
        <v/>
      </c>
      <c r="DJ75">
        <f>IF($E$4="",1,IF($E$4="(blank)",--('Final Calculation Sheet'!$D$20=""),IF($E$4="(nonblank)",--('Final Calculation Sheet'!$D$20&lt;&gt;""),--ISNUMBER(SEARCH($E$4,'Final Calculation Sheet'!$D$20)))))</f>
        <v/>
      </c>
      <c r="DK75">
        <f>IF($F$4="",1,IF($F$4="(blank)",--('Final Calculation Sheet'!$A$20=""),IF($F$4="(nonblank)",--('Final Calculation Sheet'!$A$20&lt;&gt;""),--ISNUMBER(SEARCH($F$4,'Final Calculation Sheet'!$A$20)))))</f>
        <v/>
      </c>
      <c r="DL75">
        <f>IF($G$4="",1,IF($G$4="(blank)",--('Final Calculation Sheet'!$E$20=""),IF($G$4="(nonblank)",--('Final Calculation Sheet'!$E$20&lt;&gt;""),--ISNUMBER(SEARCH($G$4,'Final Calculation Sheet'!$E$20)))))</f>
        <v/>
      </c>
      <c r="DM75">
        <f>IF($H$4="",1,IF($H$4="(blank)",--('Final Calculation Sheet'!$C$20=""),IF($H$4="(nonblank)",--('Final Calculation Sheet'!$C$20&lt;&gt;""),--ISNUMBER(SEARCH($H$4,'Final Calculation Sheet'!$C$20)))))</f>
        <v/>
      </c>
      <c r="DN75">
        <f>IF($I$4="",1,IF($I$4="(blank)",--('Final Calculation Sheet'!$H$20=""),IF($I$4="(nonblank)",--('Final Calculation Sheet'!$H$20&lt;&gt;""),--ISNUMBER(SEARCH($I$4,'Final Calculation Sheet'!$H$20)))))</f>
        <v/>
      </c>
      <c r="DO75">
        <f>IF($J$4="",1,IF($J$4="(blank)",--('Final Calculation Sheet'!$I$20=""),IF($J$4="(nonblank)",--('Final Calculation Sheet'!$I$20&lt;&gt;""),--ISNUMBER(SEARCH($J$4,'Final Calculation Sheet'!$I$20)))))</f>
        <v/>
      </c>
      <c r="DP75">
        <f>IF($K$4="",1,IF($K$4="(blank)",--('Final Calculation Sheet'!$J$20=""),IF($K$4="(nonblank)",--('Final Calculation Sheet'!$J$20&lt;&gt;""),--ISNUMBER(SEARCH($K$4,'Final Calculation Sheet'!$J$20)))))</f>
        <v/>
      </c>
      <c r="DQ75">
        <f>IF($L$4="",1,IF($L$4="(blank)",--('Final Calculation Sheet'!$K$20=""),IF($L$4="(nonblank)",--('Final Calculation Sheet'!$K$20&lt;&gt;""),--ISNUMBER(SEARCH($L$4,'Final Calculation Sheet'!$K$20)))))</f>
        <v/>
      </c>
      <c r="DR75">
        <f>IF($M$4="",1,IF($M$4="(blank)",--('Final Calculation Sheet'!$L$20=""),IF($M$4="(nonblank)",--('Final Calculation Sheet'!$L$20&lt;&gt;""),--ISNUMBER(SEARCH($M$4,'Final Calculation Sheet'!$L$20)))))</f>
        <v/>
      </c>
      <c r="DS75">
        <f>IF($N$4="",1,IF($N$4="(blank)",--('Final Calculation Sheet'!$M$20=""),IF($N$4="(nonblank)",--('Final Calculation Sheet'!$M$20&lt;&gt;""),--ISNUMBER(SEARCH($N$4,'Final Calculation Sheet'!$M$20)))))</f>
        <v/>
      </c>
      <c r="DT75">
        <f>IF($O$4="",1,IF($O$4="(blank)",--('Final Calculation Sheet'!$N$20=""),IF($O$4="(nonblank)",--('Final Calculation Sheet'!$N$20&lt;&gt;""),--ISNUMBER(SEARCH($O$4,'Final Calculation Sheet'!$N$20)))))</f>
        <v/>
      </c>
      <c r="DU75">
        <f>IF($P$4="",1,IF($P$4="(blank)",--('Final Calculation Sheet'!$O$20=""),IF($P$4="(nonblank)",--('Final Calculation Sheet'!$O$20&lt;&gt;""),--ISNUMBER(SEARCH($P$4,'Final Calculation Sheet'!$O$20)))))</f>
        <v/>
      </c>
      <c r="DV75">
        <f>IF($Q$4="",1,IF($Q$4="(blank)",--('Final Calculation Sheet'!$P$20=""),IF($Q$4="(nonblank)",--('Final Calculation Sheet'!$P$20&lt;&gt;""),--ISNUMBER(SEARCH($Q$4,'Final Calculation Sheet'!$P$20)))))</f>
        <v/>
      </c>
      <c r="DW75">
        <f>IF($R$4="",1,IF($R$4="(blank)",--('Final Calculation Sheet'!$Q$20=""),IF($R$4="(nonblank)",--('Final Calculation Sheet'!$Q$20&lt;&gt;""),--ISNUMBER(SEARCH($R$4,'Final Calculation Sheet'!$Q$20)))))</f>
        <v/>
      </c>
      <c r="DX75">
        <f>IF($S$4="",1,IF($S$4="(blank)",--('Final Calculation Sheet'!$R$20=""),IF($S$4="(nonblank)",--('Final Calculation Sheet'!$R$20&lt;&gt;""),--ISNUMBER(SEARCH($S$4,'Final Calculation Sheet'!$R$20)))))</f>
        <v/>
      </c>
      <c r="DY75">
        <f>IF($T$4="",1,IF($T$4="(blank)",--('Final Calculation Sheet'!$S$20=""),IF($T$4="(nonblank)",--('Final Calculation Sheet'!$S$20&lt;&gt;""),--ISNUMBER(SEARCH($T$4,'Final Calculation Sheet'!$S$20)))))</f>
        <v/>
      </c>
      <c r="DZ75">
        <f>IF($U$4="",1,IF($U$4="(blank)",--('Final Calculation Sheet'!$T$20=""),IF($U$4="(nonblank)",--('Final Calculation Sheet'!$T$20&lt;&gt;""),--ISNUMBER(SEARCH($U$4,'Final Calculation Sheet'!$T$20)))))</f>
        <v/>
      </c>
      <c r="EA75">
        <f>IF($V$4="",1,IF($V$4="(blank)",--('Final Calculation Sheet'!$U$20=""),IF($V$4="(nonblank)",--('Final Calculation Sheet'!$U$20&lt;&gt;""),--ISNUMBER(SEARCH($V$4,'Final Calculation Sheet'!$U$20)))))</f>
        <v/>
      </c>
      <c r="EB75">
        <f>IF($W$4="",1,IF($W$4="(blank)",--('Final Calculation Sheet'!$V$20=""),IF($W$4="(nonblank)",--('Final Calculation Sheet'!$V$20&lt;&gt;""),--ISNUMBER(SEARCH($W$4,'Final Calculation Sheet'!$V$20)))))</f>
        <v/>
      </c>
      <c r="EC75">
        <f>IF($X$4="",1,IF($X$4="(blank)",--('Final Calculation Sheet'!$W$20=""),IF($X$4="(nonblank)",--('Final Calculation Sheet'!$W$20&lt;&gt;""),--ISNUMBER(SEARCH($X$4,'Final Calculation Sheet'!$W$20)))))</f>
        <v/>
      </c>
      <c r="ED75">
        <f>IF($Y$4="",1,IF($Y$4="(blank)",--('Final Calculation Sheet'!$X$20=""),IF($Y$4="(nonblank)",--('Final Calculation Sheet'!$X$20&lt;&gt;""),--ISNUMBER(SEARCH($Y$4,'Final Calculation Sheet'!$X$20)))))</f>
        <v/>
      </c>
      <c r="EE75">
        <f>IF($Z$4="",1,IF($Z$4="(blank)",--('Final Calculation Sheet'!$Y$20=""),IF($Z$4="(nonblank)",--('Final Calculation Sheet'!$Y$20&lt;&gt;""),--ISNUMBER(SEARCH($Z$4,'Final Calculation Sheet'!$Y$20)))))</f>
        <v/>
      </c>
      <c r="EF75">
        <f>IF($AA$4="",1,IF($AA$4="(blank)",--('Final Calculation Sheet'!$Z$20=""),IF($AA$4="(nonblank)",--('Final Calculation Sheet'!$Z$20&lt;&gt;""),--ISNUMBER(SEARCH($AA$4,'Final Calculation Sheet'!$Z$20)))))</f>
        <v/>
      </c>
      <c r="EG75">
        <f>IF($AB$4="",1,IF($AB$4="(blank)",--('Final Calculation Sheet'!$AA$20=""),IF($AB$4="(nonblank)",--('Final Calculation Sheet'!$AA$20&lt;&gt;""),--ISNUMBER(SEARCH($AB$4,'Final Calculation Sheet'!$AA$20)))))</f>
        <v/>
      </c>
      <c r="EH75">
        <f>IF($AC$4="",1,IF($AC$4="(blank)",--('Final Calculation Sheet'!$AB$20=""),IF($AC$4="(nonblank)",--('Final Calculation Sheet'!$AB$20&lt;&gt;""),--ISNUMBER(SEARCH($AC$4,'Final Calculation Sheet'!$AB$20)))))</f>
        <v/>
      </c>
      <c r="EI75">
        <f>IF($AD$4="",1,IF($AD$4="(blank)",--('Final Calculation Sheet'!$AC$20=""),IF($AD$4="(nonblank)",--('Final Calculation Sheet'!$AC$20&lt;&gt;""),--ISNUMBER(SEARCH($AD$4,'Final Calculation Sheet'!$AC$20)))))</f>
        <v/>
      </c>
      <c r="EJ75">
        <f>IF($AE$4="",1,IF($AE$4="(blank)",--('Final Calculation Sheet'!$AD$20=""),IF($AE$4="(nonblank)",--('Final Calculation Sheet'!$AD$20&lt;&gt;""),--ISNUMBER(SEARCH($AE$4,'Final Calculation Sheet'!$AD$20)))))</f>
        <v/>
      </c>
      <c r="EK75">
        <f>IF($AF$4="",1,IF($AF$4="(blank)",--(IF('Final Calculation Sheet'!$AD$20&lt;=5,"SETTLED","OUTSTANDING")=""),IF($AF$4="(nonblank)",--(IF('Final Calculation Sheet'!$AD$20&lt;=5,"SETTLED","OUTSTANDING")&lt;&gt;""),--ISNUMBER(SEARCH($AF$4,IF('Final Calculation Sheet'!$AD$20&lt;=5,"SETTLED","OUTSTANDING"))))))</f>
        <v/>
      </c>
      <c r="EL75">
        <f>IF($AG$4="",1,IF($AG$4="(blank)",--('Final Calculation Sheet'!$AF$20=""),IF($AG$4="(nonblank)",--('Final Calculation Sheet'!$AF$20&lt;&gt;""),--ISNUMBER(SEARCH($AG$4,'Final Calculation Sheet'!$AF$20)))))</f>
        <v/>
      </c>
      <c r="EM75">
        <f>IF($AH$4="",1,IF($AH$4="(blank)",--('Final Calculation Sheet'!$AG$20=""),IF($AH$4="(nonblank)",--('Final Calculation Sheet'!$AG$20&lt;&gt;""),--ISNUMBER(SEARCH($AH$4,'Final Calculation Sheet'!$AG$20)))))</f>
        <v/>
      </c>
      <c r="EN75">
        <f>IF($AI$4="",1,IF($AI$4="(blank)",--('Final Calculation Sheet'!$AH$20=""),IF($AI$4="(nonblank)",--('Final Calculation Sheet'!$AH$20&lt;&gt;""),--ISNUMBER(SEARCH($AI$4,'Final Calculation Sheet'!$AH$20)))))</f>
        <v/>
      </c>
    </row>
    <row r="76">
      <c r="AM76">
        <f>AM75+IF(AND(Lists!$O$23&lt;&gt;"",ISNUMBER(SEARCH($B$4,Lists!$O$23))),1,0)</f>
        <v/>
      </c>
      <c r="AN76">
        <f>IF(ROW()-56&gt;MAX($AM$57:$AM$95),"",INDEX(Lists!$O$4:$O$42,MATCH(ROW()-56,$AM$57:$AM$95,0)))</f>
        <v/>
      </c>
      <c r="AO76">
        <f>AO75+IF(AND(Lists!$T$23&lt;&gt;"",ISNUMBER(SEARCH($C$4,Lists!$T$23))),1,0)</f>
        <v/>
      </c>
      <c r="AP76">
        <f>IF(ROW()-56&gt;MAX($AO$57:$AO$95),"",INDEX(Lists!$T$4:$T$42,MATCH(ROW()-56,$AO$57:$AO$95,0)))</f>
        <v/>
      </c>
      <c r="AQ76">
        <f>AQ75+IF(AND(Lists!$Y$23&lt;&gt;"",ISNUMBER(SEARCH($D$4,Lists!$Y$23))),1,0)</f>
        <v/>
      </c>
      <c r="AR76">
        <f>IF(ROW()-56&gt;MAX($AQ$57:$AQ$95),"",INDEX(Lists!$Y$4:$Y$42,MATCH(ROW()-56,$AQ$57:$AQ$95,0)))</f>
        <v/>
      </c>
      <c r="AS76">
        <f>AS75+IF(AND(Lists!$AD$23&lt;&gt;"",ISNUMBER(SEARCH($E$4,Lists!$AD$23))),1,0)</f>
        <v/>
      </c>
      <c r="AT76">
        <f>IF(ROW()-56&gt;MAX($AS$57:$AS$95),"",INDEX(Lists!$AD$4:$AD$42,MATCH(ROW()-56,$AS$57:$AS$95,0)))</f>
        <v/>
      </c>
      <c r="AU76">
        <f>AU75+IF(AND(Lists!$AI$23&lt;&gt;"",ISNUMBER(SEARCH($F$4,Lists!$AI$23))),1,0)</f>
        <v/>
      </c>
      <c r="AV76">
        <f>IF(ROW()-56&gt;MAX($AU$57:$AU$95),"",INDEX(Lists!$AI$4:$AI$42,MATCH(ROW()-56,$AU$57:$AU$95,0)))</f>
        <v/>
      </c>
      <c r="AW76">
        <f>AW75+IF(AND(Lists!$AN$23&lt;&gt;"",ISNUMBER(SEARCH($G$4,Lists!$AN$23))),1,0)</f>
        <v/>
      </c>
      <c r="AX76">
        <f>IF(ROW()-56&gt;MAX($AW$57:$AW$95),"",INDEX(Lists!$AN$4:$AN$42,MATCH(ROW()-56,$AW$57:$AW$95,0)))</f>
        <v/>
      </c>
      <c r="AY76">
        <f>AY75+IF(AND(Lists!$AS$23&lt;&gt;"",ISNUMBER(SEARCH($H$4,Lists!$AS$23))),1,0)</f>
        <v/>
      </c>
      <c r="AZ76">
        <f>IF(ROW()-56&gt;MAX($AY$57:$AY$95),"",INDEX(Lists!$AS$4:$AS$42,MATCH(ROW()-56,$AY$57:$AY$95,0)))</f>
        <v/>
      </c>
      <c r="BA76">
        <f>BA75+IF(AND(Lists!$AX$23&lt;&gt;"",ISNUMBER(SEARCH($I$4,Lists!$AX$23))),1,0)</f>
        <v/>
      </c>
      <c r="BB76">
        <f>IF(ROW()-56&gt;MAX($BA$57:$BA$95),"",INDEX(Lists!$AX$4:$AX$42,MATCH(ROW()-56,$BA$57:$BA$95,0)))</f>
        <v/>
      </c>
      <c r="BC76">
        <f>BC75+IF(AND(Lists!$BC$23&lt;&gt;"",ISNUMBER(SEARCH($J$4,Lists!$BC$23))),1,0)</f>
        <v/>
      </c>
      <c r="BD76">
        <f>IF(ROW()-56&gt;MAX($BC$57:$BC$95),"",INDEX(Lists!$BC$4:$BC$42,MATCH(ROW()-56,$BC$57:$BC$95,0)))</f>
        <v/>
      </c>
      <c r="BE76">
        <f>BE75+IF(AND(Lists!$BH$23&lt;&gt;"",ISNUMBER(SEARCH($K$4,Lists!$BH$23))),1,0)</f>
        <v/>
      </c>
      <c r="BF76">
        <f>IF(ROW()-56&gt;MAX($BE$57:$BE$95),"",INDEX(Lists!$BH$4:$BH$42,MATCH(ROW()-56,$BE$57:$BE$95,0)))</f>
        <v/>
      </c>
      <c r="BG76">
        <f>BG75+IF(AND(Lists!$BM$23&lt;&gt;"",ISNUMBER(SEARCH($L$4,Lists!$BM$23))),1,0)</f>
        <v/>
      </c>
      <c r="BH76">
        <f>IF(ROW()-56&gt;MAX($BG$57:$BG$95),"",INDEX(Lists!$BM$4:$BM$42,MATCH(ROW()-56,$BG$57:$BG$95,0)))</f>
        <v/>
      </c>
      <c r="BI76">
        <f>BI75+IF(AND(Lists!$BR$23&lt;&gt;"",ISNUMBER(SEARCH($M$4,Lists!$BR$23))),1,0)</f>
        <v/>
      </c>
      <c r="BJ76">
        <f>IF(ROW()-56&gt;MAX($BI$57:$BI$95),"",INDEX(Lists!$BR$4:$BR$42,MATCH(ROW()-56,$BI$57:$BI$95,0)))</f>
        <v/>
      </c>
      <c r="BK76">
        <f>BK75+IF(AND(Lists!$BW$23&lt;&gt;"",ISNUMBER(SEARCH($N$4,Lists!$BW$23))),1,0)</f>
        <v/>
      </c>
      <c r="BL76">
        <f>IF(ROW()-56&gt;MAX($BK$57:$BK$95),"",INDEX(Lists!$BW$4:$BW$42,MATCH(ROW()-56,$BK$57:$BK$95,0)))</f>
        <v/>
      </c>
      <c r="BM76">
        <f>BM75+IF(AND(Lists!$CB$23&lt;&gt;"",ISNUMBER(SEARCH($O$4,Lists!$CB$23))),1,0)</f>
        <v/>
      </c>
      <c r="BN76">
        <f>IF(ROW()-56&gt;MAX($BM$57:$BM$95),"",INDEX(Lists!$CB$4:$CB$42,MATCH(ROW()-56,$BM$57:$BM$95,0)))</f>
        <v/>
      </c>
      <c r="BO76">
        <f>BO75+IF(AND(Lists!$CG$23&lt;&gt;"",ISNUMBER(SEARCH($P$4,Lists!$CG$23))),1,0)</f>
        <v/>
      </c>
      <c r="BP76">
        <f>IF(ROW()-56&gt;MAX($BO$57:$BO$95),"",INDEX(Lists!$CG$4:$CG$42,MATCH(ROW()-56,$BO$57:$BO$95,0)))</f>
        <v/>
      </c>
      <c r="BQ76">
        <f>BQ75+IF(AND(Lists!$CL$23&lt;&gt;"",ISNUMBER(SEARCH($Q$4,Lists!$CL$23))),1,0)</f>
        <v/>
      </c>
      <c r="BR76">
        <f>IF(ROW()-56&gt;MAX($BQ$57:$BQ$95),"",INDEX(Lists!$CL$4:$CL$42,MATCH(ROW()-56,$BQ$57:$BQ$95,0)))</f>
        <v/>
      </c>
      <c r="BS76">
        <f>BS75+IF(AND(Lists!$CQ$23&lt;&gt;"",ISNUMBER(SEARCH($R$4,Lists!$CQ$23))),1,0)</f>
        <v/>
      </c>
      <c r="BT76">
        <f>IF(ROW()-56&gt;MAX($BS$57:$BS$95),"",INDEX(Lists!$CQ$4:$CQ$42,MATCH(ROW()-56,$BS$57:$BS$95,0)))</f>
        <v/>
      </c>
      <c r="BU76">
        <f>BU75+IF(AND(Lists!$CV$23&lt;&gt;"",ISNUMBER(SEARCH($S$4,Lists!$CV$23))),1,0)</f>
        <v/>
      </c>
      <c r="BV76">
        <f>IF(ROW()-56&gt;MAX($BU$57:$BU$95),"",INDEX(Lists!$CV$4:$CV$42,MATCH(ROW()-56,$BU$57:$BU$95,0)))</f>
        <v/>
      </c>
      <c r="BW76">
        <f>BW75+IF(AND(Lists!$DA$23&lt;&gt;"",ISNUMBER(SEARCH($T$4,Lists!$DA$23))),1,0)</f>
        <v/>
      </c>
      <c r="BX76">
        <f>IF(ROW()-56&gt;MAX($BW$57:$BW$95),"",INDEX(Lists!$DA$4:$DA$42,MATCH(ROW()-56,$BW$57:$BW$95,0)))</f>
        <v/>
      </c>
      <c r="BY76">
        <f>BY75+IF(AND(Lists!$DF$23&lt;&gt;"",ISNUMBER(SEARCH($U$4,Lists!$DF$23))),1,0)</f>
        <v/>
      </c>
      <c r="BZ76">
        <f>IF(ROW()-56&gt;MAX($BY$57:$BY$95),"",INDEX(Lists!$DF$4:$DF$42,MATCH(ROW()-56,$BY$57:$BY$95,0)))</f>
        <v/>
      </c>
      <c r="CA76">
        <f>CA75+IF(AND(Lists!$DK$23&lt;&gt;"",ISNUMBER(SEARCH($V$4,Lists!$DK$23))),1,0)</f>
        <v/>
      </c>
      <c r="CB76">
        <f>IF(ROW()-56&gt;MAX($CA$57:$CA$95),"",INDEX(Lists!$DK$4:$DK$42,MATCH(ROW()-56,$CA$57:$CA$95,0)))</f>
        <v/>
      </c>
      <c r="CC76">
        <f>CC75+IF(AND(Lists!$DP$23&lt;&gt;"",ISNUMBER(SEARCH($W$4,Lists!$DP$23))),1,0)</f>
        <v/>
      </c>
      <c r="CD76">
        <f>IF(ROW()-56&gt;MAX($CC$57:$CC$95),"",INDEX(Lists!$DP$4:$DP$42,MATCH(ROW()-56,$CC$57:$CC$95,0)))</f>
        <v/>
      </c>
      <c r="CE76">
        <f>CE75+IF(AND(Lists!$DU$23&lt;&gt;"",ISNUMBER(SEARCH($X$4,Lists!$DU$23))),1,0)</f>
        <v/>
      </c>
      <c r="CF76">
        <f>IF(ROW()-56&gt;MAX($CE$57:$CE$95),"",INDEX(Lists!$DU$4:$DU$42,MATCH(ROW()-56,$CE$57:$CE$95,0)))</f>
        <v/>
      </c>
      <c r="CG76">
        <f>CG75+IF(AND(Lists!$DZ$23&lt;&gt;"",ISNUMBER(SEARCH($Y$4,Lists!$DZ$23))),1,0)</f>
        <v/>
      </c>
      <c r="CH76">
        <f>IF(ROW()-56&gt;MAX($CG$57:$CG$95),"",INDEX(Lists!$DZ$4:$DZ$42,MATCH(ROW()-56,$CG$57:$CG$95,0)))</f>
        <v/>
      </c>
      <c r="CI76">
        <f>CI75+IF(AND(Lists!$EE$23&lt;&gt;"",ISNUMBER(SEARCH($Z$4,Lists!$EE$23))),1,0)</f>
        <v/>
      </c>
      <c r="CJ76">
        <f>IF(ROW()-56&gt;MAX($CI$57:$CI$95),"",INDEX(Lists!$EE$4:$EE$42,MATCH(ROW()-56,$CI$57:$CI$95,0)))</f>
        <v/>
      </c>
      <c r="CK76">
        <f>CK75+IF(AND(Lists!$EJ$23&lt;&gt;"",ISNUMBER(SEARCH($AA$4,Lists!$EJ$23))),1,0)</f>
        <v/>
      </c>
      <c r="CL76">
        <f>IF(ROW()-56&gt;MAX($CK$57:$CK$95),"",INDEX(Lists!$EJ$4:$EJ$42,MATCH(ROW()-56,$CK$57:$CK$95,0)))</f>
        <v/>
      </c>
      <c r="CM76">
        <f>CM75+IF(AND(Lists!$EO$23&lt;&gt;"",ISNUMBER(SEARCH($AB$4,Lists!$EO$23))),1,0)</f>
        <v/>
      </c>
      <c r="CN76">
        <f>IF(ROW()-56&gt;MAX($CM$57:$CM$95),"",INDEX(Lists!$EO$4:$EO$42,MATCH(ROW()-56,$CM$57:$CM$95,0)))</f>
        <v/>
      </c>
      <c r="CO76">
        <f>CO75+IF(AND(Lists!$ET$23&lt;&gt;"",ISNUMBER(SEARCH($AC$4,Lists!$ET$23))),1,0)</f>
        <v/>
      </c>
      <c r="CP76">
        <f>IF(ROW()-56&gt;MAX($CO$57:$CO$95),"",INDEX(Lists!$ET$4:$ET$42,MATCH(ROW()-56,$CO$57:$CO$95,0)))</f>
        <v/>
      </c>
      <c r="CQ76">
        <f>CQ75+IF(AND(Lists!$EY$23&lt;&gt;"",ISNUMBER(SEARCH($AD$4,Lists!$EY$23))),1,0)</f>
        <v/>
      </c>
      <c r="CR76">
        <f>IF(ROW()-56&gt;MAX($CQ$57:$CQ$95),"",INDEX(Lists!$EY$4:$EY$42,MATCH(ROW()-56,$CQ$57:$CQ$95,0)))</f>
        <v/>
      </c>
      <c r="CS76">
        <f>CS75+IF(AND(Lists!$FD$23&lt;&gt;"",ISNUMBER(SEARCH($AE$4,Lists!$FD$23))),1,0)</f>
        <v/>
      </c>
      <c r="CT76">
        <f>IF(ROW()-56&gt;MAX($CS$57:$CS$95),"",INDEX(Lists!$FD$4:$FD$42,MATCH(ROW()-56,$CS$57:$CS$95,0)))</f>
        <v/>
      </c>
      <c r="CU76">
        <f>CU75+IF(AND(Lists!$FI$23&lt;&gt;"",ISNUMBER(SEARCH($AG$4,Lists!$FI$23))),1,0)</f>
        <v/>
      </c>
      <c r="CV76">
        <f>IF(ROW()-56&gt;MAX($CU$57:$CU$95),"",INDEX(Lists!$FI$4:$FI$42,MATCH(ROW()-56,$CU$57:$CU$95,0)))</f>
        <v/>
      </c>
      <c r="CW76">
        <f>CW75+IF(AND(Lists!$FN$23&lt;&gt;"",ISNUMBER(SEARCH($AH$4,Lists!$FN$23))),1,0)</f>
        <v/>
      </c>
      <c r="CX76">
        <f>IF(ROW()-56&gt;MAX($CW$57:$CW$95),"",INDEX(Lists!$FN$4:$FN$42,MATCH(ROW()-56,$CW$57:$CW$95,0)))</f>
        <v/>
      </c>
      <c r="CY76">
        <f>CY75+IF(AND(Lists!$FS$23&lt;&gt;"",ISNUMBER(SEARCH($AI$4,Lists!$FS$23))),1,0)</f>
        <v/>
      </c>
      <c r="CZ76">
        <f>IF(ROW()-56&gt;MAX($CY$57:$CY$95),"",INDEX(Lists!$FS$4:$FS$42,MATCH(ROW()-56,$CY$57:$CY$95,0)))</f>
        <v/>
      </c>
      <c r="DA76">
        <f>DA75+IF(AND(Lists!$FX$23&lt;&gt;"",ISNUMBER(SEARCH($AF$4,Lists!$FX$23))),1,0)</f>
        <v/>
      </c>
      <c r="DB76">
        <f>IF(ROW()-56&gt;MAX($DA$57:$DA$95),"",INDEX(Lists!$FX$4:$FX$42,MATCH(ROW()-56,$DA$57:$DA$95,0)))</f>
        <v/>
      </c>
      <c r="DG76">
        <f>IF($B$4="",1,IF($B$4="(blank)",--('Final Calculation Sheet'!$F$21=""),IF($B$4="(nonblank)",--('Final Calculation Sheet'!$F$21&lt;&gt;""),--ISNUMBER(SEARCH($B$4,'Final Calculation Sheet'!$F$21)))))</f>
        <v/>
      </c>
      <c r="DH76">
        <f>IF($C$4="",1,IF($C$4="(blank)",--('Final Calculation Sheet'!$G$21=""),IF($C$4="(nonblank)",--('Final Calculation Sheet'!$G$21&lt;&gt;""),--ISNUMBER(SEARCH($C$4,'Final Calculation Sheet'!$G$21)))))</f>
        <v/>
      </c>
      <c r="DI76">
        <f>IF($D$4="",1,IF($D$4="(blank)",--('Final Calculation Sheet'!$B$21=""),IF($D$4="(nonblank)",--('Final Calculation Sheet'!$B$21&lt;&gt;""),--ISNUMBER(SEARCH($D$4,'Final Calculation Sheet'!$B$21)))))</f>
        <v/>
      </c>
      <c r="DJ76">
        <f>IF($E$4="",1,IF($E$4="(blank)",--('Final Calculation Sheet'!$D$21=""),IF($E$4="(nonblank)",--('Final Calculation Sheet'!$D$21&lt;&gt;""),--ISNUMBER(SEARCH($E$4,'Final Calculation Sheet'!$D$21)))))</f>
        <v/>
      </c>
      <c r="DK76">
        <f>IF($F$4="",1,IF($F$4="(blank)",--('Final Calculation Sheet'!$A$21=""),IF($F$4="(nonblank)",--('Final Calculation Sheet'!$A$21&lt;&gt;""),--ISNUMBER(SEARCH($F$4,'Final Calculation Sheet'!$A$21)))))</f>
        <v/>
      </c>
      <c r="DL76">
        <f>IF($G$4="",1,IF($G$4="(blank)",--('Final Calculation Sheet'!$E$21=""),IF($G$4="(nonblank)",--('Final Calculation Sheet'!$E$21&lt;&gt;""),--ISNUMBER(SEARCH($G$4,'Final Calculation Sheet'!$E$21)))))</f>
        <v/>
      </c>
      <c r="DM76">
        <f>IF($H$4="",1,IF($H$4="(blank)",--('Final Calculation Sheet'!$C$21=""),IF($H$4="(nonblank)",--('Final Calculation Sheet'!$C$21&lt;&gt;""),--ISNUMBER(SEARCH($H$4,'Final Calculation Sheet'!$C$21)))))</f>
        <v/>
      </c>
      <c r="DN76">
        <f>IF($I$4="",1,IF($I$4="(blank)",--('Final Calculation Sheet'!$H$21=""),IF($I$4="(nonblank)",--('Final Calculation Sheet'!$H$21&lt;&gt;""),--ISNUMBER(SEARCH($I$4,'Final Calculation Sheet'!$H$21)))))</f>
        <v/>
      </c>
      <c r="DO76">
        <f>IF($J$4="",1,IF($J$4="(blank)",--('Final Calculation Sheet'!$I$21=""),IF($J$4="(nonblank)",--('Final Calculation Sheet'!$I$21&lt;&gt;""),--ISNUMBER(SEARCH($J$4,'Final Calculation Sheet'!$I$21)))))</f>
        <v/>
      </c>
      <c r="DP76">
        <f>IF($K$4="",1,IF($K$4="(blank)",--('Final Calculation Sheet'!$J$21=""),IF($K$4="(nonblank)",--('Final Calculation Sheet'!$J$21&lt;&gt;""),--ISNUMBER(SEARCH($K$4,'Final Calculation Sheet'!$J$21)))))</f>
        <v/>
      </c>
      <c r="DQ76">
        <f>IF($L$4="",1,IF($L$4="(blank)",--('Final Calculation Sheet'!$K$21=""),IF($L$4="(nonblank)",--('Final Calculation Sheet'!$K$21&lt;&gt;""),--ISNUMBER(SEARCH($L$4,'Final Calculation Sheet'!$K$21)))))</f>
        <v/>
      </c>
      <c r="DR76">
        <f>IF($M$4="",1,IF($M$4="(blank)",--('Final Calculation Sheet'!$L$21=""),IF($M$4="(nonblank)",--('Final Calculation Sheet'!$L$21&lt;&gt;""),--ISNUMBER(SEARCH($M$4,'Final Calculation Sheet'!$L$21)))))</f>
        <v/>
      </c>
      <c r="DS76">
        <f>IF($N$4="",1,IF($N$4="(blank)",--('Final Calculation Sheet'!$M$21=""),IF($N$4="(nonblank)",--('Final Calculation Sheet'!$M$21&lt;&gt;""),--ISNUMBER(SEARCH($N$4,'Final Calculation Sheet'!$M$21)))))</f>
        <v/>
      </c>
      <c r="DT76">
        <f>IF($O$4="",1,IF($O$4="(blank)",--('Final Calculation Sheet'!$N$21=""),IF($O$4="(nonblank)",--('Final Calculation Sheet'!$N$21&lt;&gt;""),--ISNUMBER(SEARCH($O$4,'Final Calculation Sheet'!$N$21)))))</f>
        <v/>
      </c>
      <c r="DU76">
        <f>IF($P$4="",1,IF($P$4="(blank)",--('Final Calculation Sheet'!$O$21=""),IF($P$4="(nonblank)",--('Final Calculation Sheet'!$O$21&lt;&gt;""),--ISNUMBER(SEARCH($P$4,'Final Calculation Sheet'!$O$21)))))</f>
        <v/>
      </c>
      <c r="DV76">
        <f>IF($Q$4="",1,IF($Q$4="(blank)",--('Final Calculation Sheet'!$P$21=""),IF($Q$4="(nonblank)",--('Final Calculation Sheet'!$P$21&lt;&gt;""),--ISNUMBER(SEARCH($Q$4,'Final Calculation Sheet'!$P$21)))))</f>
        <v/>
      </c>
      <c r="DW76">
        <f>IF($R$4="",1,IF($R$4="(blank)",--('Final Calculation Sheet'!$Q$21=""),IF($R$4="(nonblank)",--('Final Calculation Sheet'!$Q$21&lt;&gt;""),--ISNUMBER(SEARCH($R$4,'Final Calculation Sheet'!$Q$21)))))</f>
        <v/>
      </c>
      <c r="DX76">
        <f>IF($S$4="",1,IF($S$4="(blank)",--('Final Calculation Sheet'!$R$21=""),IF($S$4="(nonblank)",--('Final Calculation Sheet'!$R$21&lt;&gt;""),--ISNUMBER(SEARCH($S$4,'Final Calculation Sheet'!$R$21)))))</f>
        <v/>
      </c>
      <c r="DY76">
        <f>IF($T$4="",1,IF($T$4="(blank)",--('Final Calculation Sheet'!$S$21=""),IF($T$4="(nonblank)",--('Final Calculation Sheet'!$S$21&lt;&gt;""),--ISNUMBER(SEARCH($T$4,'Final Calculation Sheet'!$S$21)))))</f>
        <v/>
      </c>
      <c r="DZ76">
        <f>IF($U$4="",1,IF($U$4="(blank)",--('Final Calculation Sheet'!$T$21=""),IF($U$4="(nonblank)",--('Final Calculation Sheet'!$T$21&lt;&gt;""),--ISNUMBER(SEARCH($U$4,'Final Calculation Sheet'!$T$21)))))</f>
        <v/>
      </c>
      <c r="EA76">
        <f>IF($V$4="",1,IF($V$4="(blank)",--('Final Calculation Sheet'!$U$21=""),IF($V$4="(nonblank)",--('Final Calculation Sheet'!$U$21&lt;&gt;""),--ISNUMBER(SEARCH($V$4,'Final Calculation Sheet'!$U$21)))))</f>
        <v/>
      </c>
      <c r="EB76">
        <f>IF($W$4="",1,IF($W$4="(blank)",--('Final Calculation Sheet'!$V$21=""),IF($W$4="(nonblank)",--('Final Calculation Sheet'!$V$21&lt;&gt;""),--ISNUMBER(SEARCH($W$4,'Final Calculation Sheet'!$V$21)))))</f>
        <v/>
      </c>
      <c r="EC76">
        <f>IF($X$4="",1,IF($X$4="(blank)",--('Final Calculation Sheet'!$W$21=""),IF($X$4="(nonblank)",--('Final Calculation Sheet'!$W$21&lt;&gt;""),--ISNUMBER(SEARCH($X$4,'Final Calculation Sheet'!$W$21)))))</f>
        <v/>
      </c>
      <c r="ED76">
        <f>IF($Y$4="",1,IF($Y$4="(blank)",--('Final Calculation Sheet'!$X$21=""),IF($Y$4="(nonblank)",--('Final Calculation Sheet'!$X$21&lt;&gt;""),--ISNUMBER(SEARCH($Y$4,'Final Calculation Sheet'!$X$21)))))</f>
        <v/>
      </c>
      <c r="EE76">
        <f>IF($Z$4="",1,IF($Z$4="(blank)",--('Final Calculation Sheet'!$Y$21=""),IF($Z$4="(nonblank)",--('Final Calculation Sheet'!$Y$21&lt;&gt;""),--ISNUMBER(SEARCH($Z$4,'Final Calculation Sheet'!$Y$21)))))</f>
        <v/>
      </c>
      <c r="EF76">
        <f>IF($AA$4="",1,IF($AA$4="(blank)",--('Final Calculation Sheet'!$Z$21=""),IF($AA$4="(nonblank)",--('Final Calculation Sheet'!$Z$21&lt;&gt;""),--ISNUMBER(SEARCH($AA$4,'Final Calculation Sheet'!$Z$21)))))</f>
        <v/>
      </c>
      <c r="EG76">
        <f>IF($AB$4="",1,IF($AB$4="(blank)",--('Final Calculation Sheet'!$AA$21=""),IF($AB$4="(nonblank)",--('Final Calculation Sheet'!$AA$21&lt;&gt;""),--ISNUMBER(SEARCH($AB$4,'Final Calculation Sheet'!$AA$21)))))</f>
        <v/>
      </c>
      <c r="EH76">
        <f>IF($AC$4="",1,IF($AC$4="(blank)",--('Final Calculation Sheet'!$AB$21=""),IF($AC$4="(nonblank)",--('Final Calculation Sheet'!$AB$21&lt;&gt;""),--ISNUMBER(SEARCH($AC$4,'Final Calculation Sheet'!$AB$21)))))</f>
        <v/>
      </c>
      <c r="EI76">
        <f>IF($AD$4="",1,IF($AD$4="(blank)",--('Final Calculation Sheet'!$AC$21=""),IF($AD$4="(nonblank)",--('Final Calculation Sheet'!$AC$21&lt;&gt;""),--ISNUMBER(SEARCH($AD$4,'Final Calculation Sheet'!$AC$21)))))</f>
        <v/>
      </c>
      <c r="EJ76">
        <f>IF($AE$4="",1,IF($AE$4="(blank)",--('Final Calculation Sheet'!$AD$21=""),IF($AE$4="(nonblank)",--('Final Calculation Sheet'!$AD$21&lt;&gt;""),--ISNUMBER(SEARCH($AE$4,'Final Calculation Sheet'!$AD$21)))))</f>
        <v/>
      </c>
      <c r="EK76">
        <f>IF($AF$4="",1,IF($AF$4="(blank)",--(IF('Final Calculation Sheet'!$AD$21&lt;=5,"SETTLED","OUTSTANDING")=""),IF($AF$4="(nonblank)",--(IF('Final Calculation Sheet'!$AD$21&lt;=5,"SETTLED","OUTSTANDING")&lt;&gt;""),--ISNUMBER(SEARCH($AF$4,IF('Final Calculation Sheet'!$AD$21&lt;=5,"SETTLED","OUTSTANDING"))))))</f>
        <v/>
      </c>
      <c r="EL76">
        <f>IF($AG$4="",1,IF($AG$4="(blank)",--('Final Calculation Sheet'!$AF$21=""),IF($AG$4="(nonblank)",--('Final Calculation Sheet'!$AF$21&lt;&gt;""),--ISNUMBER(SEARCH($AG$4,'Final Calculation Sheet'!$AF$21)))))</f>
        <v/>
      </c>
      <c r="EM76">
        <f>IF($AH$4="",1,IF($AH$4="(blank)",--('Final Calculation Sheet'!$AG$21=""),IF($AH$4="(nonblank)",--('Final Calculation Sheet'!$AG$21&lt;&gt;""),--ISNUMBER(SEARCH($AH$4,'Final Calculation Sheet'!$AG$21)))))</f>
        <v/>
      </c>
      <c r="EN76">
        <f>IF($AI$4="",1,IF($AI$4="(blank)",--('Final Calculation Sheet'!$AH$21=""),IF($AI$4="(nonblank)",--('Final Calculation Sheet'!$AH$21&lt;&gt;""),--ISNUMBER(SEARCH($AI$4,'Final Calculation Sheet'!$AH$21)))))</f>
        <v/>
      </c>
    </row>
    <row r="77">
      <c r="AM77">
        <f>AM76+IF(AND(Lists!$O$24&lt;&gt;"",ISNUMBER(SEARCH($B$4,Lists!$O$24))),1,0)</f>
        <v/>
      </c>
      <c r="AN77">
        <f>IF(ROW()-56&gt;MAX($AM$57:$AM$95),"",INDEX(Lists!$O$4:$O$42,MATCH(ROW()-56,$AM$57:$AM$95,0)))</f>
        <v/>
      </c>
      <c r="AO77">
        <f>AO76+IF(AND(Lists!$T$24&lt;&gt;"",ISNUMBER(SEARCH($C$4,Lists!$T$24))),1,0)</f>
        <v/>
      </c>
      <c r="AP77">
        <f>IF(ROW()-56&gt;MAX($AO$57:$AO$95),"",INDEX(Lists!$T$4:$T$42,MATCH(ROW()-56,$AO$57:$AO$95,0)))</f>
        <v/>
      </c>
      <c r="AQ77">
        <f>AQ76+IF(AND(Lists!$Y$24&lt;&gt;"",ISNUMBER(SEARCH($D$4,Lists!$Y$24))),1,0)</f>
        <v/>
      </c>
      <c r="AR77">
        <f>IF(ROW()-56&gt;MAX($AQ$57:$AQ$95),"",INDEX(Lists!$Y$4:$Y$42,MATCH(ROW()-56,$AQ$57:$AQ$95,0)))</f>
        <v/>
      </c>
      <c r="AS77">
        <f>AS76+IF(AND(Lists!$AD$24&lt;&gt;"",ISNUMBER(SEARCH($E$4,Lists!$AD$24))),1,0)</f>
        <v/>
      </c>
      <c r="AT77">
        <f>IF(ROW()-56&gt;MAX($AS$57:$AS$95),"",INDEX(Lists!$AD$4:$AD$42,MATCH(ROW()-56,$AS$57:$AS$95,0)))</f>
        <v/>
      </c>
      <c r="AU77">
        <f>AU76+IF(AND(Lists!$AI$24&lt;&gt;"",ISNUMBER(SEARCH($F$4,Lists!$AI$24))),1,0)</f>
        <v/>
      </c>
      <c r="AV77">
        <f>IF(ROW()-56&gt;MAX($AU$57:$AU$95),"",INDEX(Lists!$AI$4:$AI$42,MATCH(ROW()-56,$AU$57:$AU$95,0)))</f>
        <v/>
      </c>
      <c r="AW77">
        <f>AW76+IF(AND(Lists!$AN$24&lt;&gt;"",ISNUMBER(SEARCH($G$4,Lists!$AN$24))),1,0)</f>
        <v/>
      </c>
      <c r="AX77">
        <f>IF(ROW()-56&gt;MAX($AW$57:$AW$95),"",INDEX(Lists!$AN$4:$AN$42,MATCH(ROW()-56,$AW$57:$AW$95,0)))</f>
        <v/>
      </c>
      <c r="AY77">
        <f>AY76+IF(AND(Lists!$AS$24&lt;&gt;"",ISNUMBER(SEARCH($H$4,Lists!$AS$24))),1,0)</f>
        <v/>
      </c>
      <c r="AZ77">
        <f>IF(ROW()-56&gt;MAX($AY$57:$AY$95),"",INDEX(Lists!$AS$4:$AS$42,MATCH(ROW()-56,$AY$57:$AY$95,0)))</f>
        <v/>
      </c>
      <c r="BA77">
        <f>BA76+IF(AND(Lists!$AX$24&lt;&gt;"",ISNUMBER(SEARCH($I$4,Lists!$AX$24))),1,0)</f>
        <v/>
      </c>
      <c r="BB77">
        <f>IF(ROW()-56&gt;MAX($BA$57:$BA$95),"",INDEX(Lists!$AX$4:$AX$42,MATCH(ROW()-56,$BA$57:$BA$95,0)))</f>
        <v/>
      </c>
      <c r="BC77">
        <f>BC76+IF(AND(Lists!$BC$24&lt;&gt;"",ISNUMBER(SEARCH($J$4,Lists!$BC$24))),1,0)</f>
        <v/>
      </c>
      <c r="BD77">
        <f>IF(ROW()-56&gt;MAX($BC$57:$BC$95),"",INDEX(Lists!$BC$4:$BC$42,MATCH(ROW()-56,$BC$57:$BC$95,0)))</f>
        <v/>
      </c>
      <c r="BE77">
        <f>BE76+IF(AND(Lists!$BH$24&lt;&gt;"",ISNUMBER(SEARCH($K$4,Lists!$BH$24))),1,0)</f>
        <v/>
      </c>
      <c r="BF77">
        <f>IF(ROW()-56&gt;MAX($BE$57:$BE$95),"",INDEX(Lists!$BH$4:$BH$42,MATCH(ROW()-56,$BE$57:$BE$95,0)))</f>
        <v/>
      </c>
      <c r="BG77">
        <f>BG76+IF(AND(Lists!$BM$24&lt;&gt;"",ISNUMBER(SEARCH($L$4,Lists!$BM$24))),1,0)</f>
        <v/>
      </c>
      <c r="BH77">
        <f>IF(ROW()-56&gt;MAX($BG$57:$BG$95),"",INDEX(Lists!$BM$4:$BM$42,MATCH(ROW()-56,$BG$57:$BG$95,0)))</f>
        <v/>
      </c>
      <c r="BI77">
        <f>BI76+IF(AND(Lists!$BR$24&lt;&gt;"",ISNUMBER(SEARCH($M$4,Lists!$BR$24))),1,0)</f>
        <v/>
      </c>
      <c r="BJ77">
        <f>IF(ROW()-56&gt;MAX($BI$57:$BI$95),"",INDEX(Lists!$BR$4:$BR$42,MATCH(ROW()-56,$BI$57:$BI$95,0)))</f>
        <v/>
      </c>
      <c r="BK77">
        <f>BK76+IF(AND(Lists!$BW$24&lt;&gt;"",ISNUMBER(SEARCH($N$4,Lists!$BW$24))),1,0)</f>
        <v/>
      </c>
      <c r="BL77">
        <f>IF(ROW()-56&gt;MAX($BK$57:$BK$95),"",INDEX(Lists!$BW$4:$BW$42,MATCH(ROW()-56,$BK$57:$BK$95,0)))</f>
        <v/>
      </c>
      <c r="BM77">
        <f>BM76+IF(AND(Lists!$CB$24&lt;&gt;"",ISNUMBER(SEARCH($O$4,Lists!$CB$24))),1,0)</f>
        <v/>
      </c>
      <c r="BN77">
        <f>IF(ROW()-56&gt;MAX($BM$57:$BM$95),"",INDEX(Lists!$CB$4:$CB$42,MATCH(ROW()-56,$BM$57:$BM$95,0)))</f>
        <v/>
      </c>
      <c r="BO77">
        <f>BO76+IF(AND(Lists!$CG$24&lt;&gt;"",ISNUMBER(SEARCH($P$4,Lists!$CG$24))),1,0)</f>
        <v/>
      </c>
      <c r="BP77">
        <f>IF(ROW()-56&gt;MAX($BO$57:$BO$95),"",INDEX(Lists!$CG$4:$CG$42,MATCH(ROW()-56,$BO$57:$BO$95,0)))</f>
        <v/>
      </c>
      <c r="BQ77">
        <f>BQ76+IF(AND(Lists!$CL$24&lt;&gt;"",ISNUMBER(SEARCH($Q$4,Lists!$CL$24))),1,0)</f>
        <v/>
      </c>
      <c r="BR77">
        <f>IF(ROW()-56&gt;MAX($BQ$57:$BQ$95),"",INDEX(Lists!$CL$4:$CL$42,MATCH(ROW()-56,$BQ$57:$BQ$95,0)))</f>
        <v/>
      </c>
      <c r="BS77">
        <f>BS76+IF(AND(Lists!$CQ$24&lt;&gt;"",ISNUMBER(SEARCH($R$4,Lists!$CQ$24))),1,0)</f>
        <v/>
      </c>
      <c r="BT77">
        <f>IF(ROW()-56&gt;MAX($BS$57:$BS$95),"",INDEX(Lists!$CQ$4:$CQ$42,MATCH(ROW()-56,$BS$57:$BS$95,0)))</f>
        <v/>
      </c>
      <c r="BU77">
        <f>BU76+IF(AND(Lists!$CV$24&lt;&gt;"",ISNUMBER(SEARCH($S$4,Lists!$CV$24))),1,0)</f>
        <v/>
      </c>
      <c r="BV77">
        <f>IF(ROW()-56&gt;MAX($BU$57:$BU$95),"",INDEX(Lists!$CV$4:$CV$42,MATCH(ROW()-56,$BU$57:$BU$95,0)))</f>
        <v/>
      </c>
      <c r="BW77">
        <f>BW76+IF(AND(Lists!$DA$24&lt;&gt;"",ISNUMBER(SEARCH($T$4,Lists!$DA$24))),1,0)</f>
        <v/>
      </c>
      <c r="BX77">
        <f>IF(ROW()-56&gt;MAX($BW$57:$BW$95),"",INDEX(Lists!$DA$4:$DA$42,MATCH(ROW()-56,$BW$57:$BW$95,0)))</f>
        <v/>
      </c>
      <c r="BY77">
        <f>BY76+IF(AND(Lists!$DF$24&lt;&gt;"",ISNUMBER(SEARCH($U$4,Lists!$DF$24))),1,0)</f>
        <v/>
      </c>
      <c r="BZ77">
        <f>IF(ROW()-56&gt;MAX($BY$57:$BY$95),"",INDEX(Lists!$DF$4:$DF$42,MATCH(ROW()-56,$BY$57:$BY$95,0)))</f>
        <v/>
      </c>
      <c r="CA77">
        <f>CA76+IF(AND(Lists!$DK$24&lt;&gt;"",ISNUMBER(SEARCH($V$4,Lists!$DK$24))),1,0)</f>
        <v/>
      </c>
      <c r="CB77">
        <f>IF(ROW()-56&gt;MAX($CA$57:$CA$95),"",INDEX(Lists!$DK$4:$DK$42,MATCH(ROW()-56,$CA$57:$CA$95,0)))</f>
        <v/>
      </c>
      <c r="CC77">
        <f>CC76+IF(AND(Lists!$DP$24&lt;&gt;"",ISNUMBER(SEARCH($W$4,Lists!$DP$24))),1,0)</f>
        <v/>
      </c>
      <c r="CD77">
        <f>IF(ROW()-56&gt;MAX($CC$57:$CC$95),"",INDEX(Lists!$DP$4:$DP$42,MATCH(ROW()-56,$CC$57:$CC$95,0)))</f>
        <v/>
      </c>
      <c r="CE77">
        <f>CE76+IF(AND(Lists!$DU$24&lt;&gt;"",ISNUMBER(SEARCH($X$4,Lists!$DU$24))),1,0)</f>
        <v/>
      </c>
      <c r="CF77">
        <f>IF(ROW()-56&gt;MAX($CE$57:$CE$95),"",INDEX(Lists!$DU$4:$DU$42,MATCH(ROW()-56,$CE$57:$CE$95,0)))</f>
        <v/>
      </c>
      <c r="CG77">
        <f>CG76+IF(AND(Lists!$DZ$24&lt;&gt;"",ISNUMBER(SEARCH($Y$4,Lists!$DZ$24))),1,0)</f>
        <v/>
      </c>
      <c r="CH77">
        <f>IF(ROW()-56&gt;MAX($CG$57:$CG$95),"",INDEX(Lists!$DZ$4:$DZ$42,MATCH(ROW()-56,$CG$57:$CG$95,0)))</f>
        <v/>
      </c>
      <c r="CI77">
        <f>CI76+IF(AND(Lists!$EE$24&lt;&gt;"",ISNUMBER(SEARCH($Z$4,Lists!$EE$24))),1,0)</f>
        <v/>
      </c>
      <c r="CJ77">
        <f>IF(ROW()-56&gt;MAX($CI$57:$CI$95),"",INDEX(Lists!$EE$4:$EE$42,MATCH(ROW()-56,$CI$57:$CI$95,0)))</f>
        <v/>
      </c>
      <c r="CK77">
        <f>CK76+IF(AND(Lists!$EJ$24&lt;&gt;"",ISNUMBER(SEARCH($AA$4,Lists!$EJ$24))),1,0)</f>
        <v/>
      </c>
      <c r="CL77">
        <f>IF(ROW()-56&gt;MAX($CK$57:$CK$95),"",INDEX(Lists!$EJ$4:$EJ$42,MATCH(ROW()-56,$CK$57:$CK$95,0)))</f>
        <v/>
      </c>
      <c r="CM77">
        <f>CM76+IF(AND(Lists!$EO$24&lt;&gt;"",ISNUMBER(SEARCH($AB$4,Lists!$EO$24))),1,0)</f>
        <v/>
      </c>
      <c r="CN77">
        <f>IF(ROW()-56&gt;MAX($CM$57:$CM$95),"",INDEX(Lists!$EO$4:$EO$42,MATCH(ROW()-56,$CM$57:$CM$95,0)))</f>
        <v/>
      </c>
      <c r="CO77">
        <f>CO76+IF(AND(Lists!$ET$24&lt;&gt;"",ISNUMBER(SEARCH($AC$4,Lists!$ET$24))),1,0)</f>
        <v/>
      </c>
      <c r="CP77">
        <f>IF(ROW()-56&gt;MAX($CO$57:$CO$95),"",INDEX(Lists!$ET$4:$ET$42,MATCH(ROW()-56,$CO$57:$CO$95,0)))</f>
        <v/>
      </c>
      <c r="CQ77">
        <f>CQ76+IF(AND(Lists!$EY$24&lt;&gt;"",ISNUMBER(SEARCH($AD$4,Lists!$EY$24))),1,0)</f>
        <v/>
      </c>
      <c r="CR77">
        <f>IF(ROW()-56&gt;MAX($CQ$57:$CQ$95),"",INDEX(Lists!$EY$4:$EY$42,MATCH(ROW()-56,$CQ$57:$CQ$95,0)))</f>
        <v/>
      </c>
      <c r="CS77">
        <f>CS76+IF(AND(Lists!$FD$24&lt;&gt;"",ISNUMBER(SEARCH($AE$4,Lists!$FD$24))),1,0)</f>
        <v/>
      </c>
      <c r="CT77">
        <f>IF(ROW()-56&gt;MAX($CS$57:$CS$95),"",INDEX(Lists!$FD$4:$FD$42,MATCH(ROW()-56,$CS$57:$CS$95,0)))</f>
        <v/>
      </c>
      <c r="CU77">
        <f>CU76+IF(AND(Lists!$FI$24&lt;&gt;"",ISNUMBER(SEARCH($AG$4,Lists!$FI$24))),1,0)</f>
        <v/>
      </c>
      <c r="CV77">
        <f>IF(ROW()-56&gt;MAX($CU$57:$CU$95),"",INDEX(Lists!$FI$4:$FI$42,MATCH(ROW()-56,$CU$57:$CU$95,0)))</f>
        <v/>
      </c>
      <c r="CW77">
        <f>CW76+IF(AND(Lists!$FN$24&lt;&gt;"",ISNUMBER(SEARCH($AH$4,Lists!$FN$24))),1,0)</f>
        <v/>
      </c>
      <c r="CX77">
        <f>IF(ROW()-56&gt;MAX($CW$57:$CW$95),"",INDEX(Lists!$FN$4:$FN$42,MATCH(ROW()-56,$CW$57:$CW$95,0)))</f>
        <v/>
      </c>
      <c r="CY77">
        <f>CY76+IF(AND(Lists!$FS$24&lt;&gt;"",ISNUMBER(SEARCH($AI$4,Lists!$FS$24))),1,0)</f>
        <v/>
      </c>
      <c r="CZ77">
        <f>IF(ROW()-56&gt;MAX($CY$57:$CY$95),"",INDEX(Lists!$FS$4:$FS$42,MATCH(ROW()-56,$CY$57:$CY$95,0)))</f>
        <v/>
      </c>
      <c r="DA77">
        <f>DA76+IF(AND(Lists!$FX$24&lt;&gt;"",ISNUMBER(SEARCH($AF$4,Lists!$FX$24))),1,0)</f>
        <v/>
      </c>
      <c r="DB77">
        <f>IF(ROW()-56&gt;MAX($DA$57:$DA$95),"",INDEX(Lists!$FX$4:$FX$42,MATCH(ROW()-56,$DA$57:$DA$95,0)))</f>
        <v/>
      </c>
      <c r="DG77">
        <f>IF($B$4="",1,IF($B$4="(blank)",--('Final Calculation Sheet'!$F$22=""),IF($B$4="(nonblank)",--('Final Calculation Sheet'!$F$22&lt;&gt;""),--ISNUMBER(SEARCH($B$4,'Final Calculation Sheet'!$F$22)))))</f>
        <v/>
      </c>
      <c r="DH77">
        <f>IF($C$4="",1,IF($C$4="(blank)",--('Final Calculation Sheet'!$G$22=""),IF($C$4="(nonblank)",--('Final Calculation Sheet'!$G$22&lt;&gt;""),--ISNUMBER(SEARCH($C$4,'Final Calculation Sheet'!$G$22)))))</f>
        <v/>
      </c>
      <c r="DI77">
        <f>IF($D$4="",1,IF($D$4="(blank)",--('Final Calculation Sheet'!$B$22=""),IF($D$4="(nonblank)",--('Final Calculation Sheet'!$B$22&lt;&gt;""),--ISNUMBER(SEARCH($D$4,'Final Calculation Sheet'!$B$22)))))</f>
        <v/>
      </c>
      <c r="DJ77">
        <f>IF($E$4="",1,IF($E$4="(blank)",--('Final Calculation Sheet'!$D$22=""),IF($E$4="(nonblank)",--('Final Calculation Sheet'!$D$22&lt;&gt;""),--ISNUMBER(SEARCH($E$4,'Final Calculation Sheet'!$D$22)))))</f>
        <v/>
      </c>
      <c r="DK77">
        <f>IF($F$4="",1,IF($F$4="(blank)",--('Final Calculation Sheet'!$A$22=""),IF($F$4="(nonblank)",--('Final Calculation Sheet'!$A$22&lt;&gt;""),--ISNUMBER(SEARCH($F$4,'Final Calculation Sheet'!$A$22)))))</f>
        <v/>
      </c>
      <c r="DL77">
        <f>IF($G$4="",1,IF($G$4="(blank)",--('Final Calculation Sheet'!$E$22=""),IF($G$4="(nonblank)",--('Final Calculation Sheet'!$E$22&lt;&gt;""),--ISNUMBER(SEARCH($G$4,'Final Calculation Sheet'!$E$22)))))</f>
        <v/>
      </c>
      <c r="DM77">
        <f>IF($H$4="",1,IF($H$4="(blank)",--('Final Calculation Sheet'!$C$22=""),IF($H$4="(nonblank)",--('Final Calculation Sheet'!$C$22&lt;&gt;""),--ISNUMBER(SEARCH($H$4,'Final Calculation Sheet'!$C$22)))))</f>
        <v/>
      </c>
      <c r="DN77">
        <f>IF($I$4="",1,IF($I$4="(blank)",--('Final Calculation Sheet'!$H$22=""),IF($I$4="(nonblank)",--('Final Calculation Sheet'!$H$22&lt;&gt;""),--ISNUMBER(SEARCH($I$4,'Final Calculation Sheet'!$H$22)))))</f>
        <v/>
      </c>
      <c r="DO77">
        <f>IF($J$4="",1,IF($J$4="(blank)",--('Final Calculation Sheet'!$I$22=""),IF($J$4="(nonblank)",--('Final Calculation Sheet'!$I$22&lt;&gt;""),--ISNUMBER(SEARCH($J$4,'Final Calculation Sheet'!$I$22)))))</f>
        <v/>
      </c>
      <c r="DP77">
        <f>IF($K$4="",1,IF($K$4="(blank)",--('Final Calculation Sheet'!$J$22=""),IF($K$4="(nonblank)",--('Final Calculation Sheet'!$J$22&lt;&gt;""),--ISNUMBER(SEARCH($K$4,'Final Calculation Sheet'!$J$22)))))</f>
        <v/>
      </c>
      <c r="DQ77">
        <f>IF($L$4="",1,IF($L$4="(blank)",--('Final Calculation Sheet'!$K$22=""),IF($L$4="(nonblank)",--('Final Calculation Sheet'!$K$22&lt;&gt;""),--ISNUMBER(SEARCH($L$4,'Final Calculation Sheet'!$K$22)))))</f>
        <v/>
      </c>
      <c r="DR77">
        <f>IF($M$4="",1,IF($M$4="(blank)",--('Final Calculation Sheet'!$L$22=""),IF($M$4="(nonblank)",--('Final Calculation Sheet'!$L$22&lt;&gt;""),--ISNUMBER(SEARCH($M$4,'Final Calculation Sheet'!$L$22)))))</f>
        <v/>
      </c>
      <c r="DS77">
        <f>IF($N$4="",1,IF($N$4="(blank)",--('Final Calculation Sheet'!$M$22=""),IF($N$4="(nonblank)",--('Final Calculation Sheet'!$M$22&lt;&gt;""),--ISNUMBER(SEARCH($N$4,'Final Calculation Sheet'!$M$22)))))</f>
        <v/>
      </c>
      <c r="DT77">
        <f>IF($O$4="",1,IF($O$4="(blank)",--('Final Calculation Sheet'!$N$22=""),IF($O$4="(nonblank)",--('Final Calculation Sheet'!$N$22&lt;&gt;""),--ISNUMBER(SEARCH($O$4,'Final Calculation Sheet'!$N$22)))))</f>
        <v/>
      </c>
      <c r="DU77">
        <f>IF($P$4="",1,IF($P$4="(blank)",--('Final Calculation Sheet'!$O$22=""),IF($P$4="(nonblank)",--('Final Calculation Sheet'!$O$22&lt;&gt;""),--ISNUMBER(SEARCH($P$4,'Final Calculation Sheet'!$O$22)))))</f>
        <v/>
      </c>
      <c r="DV77">
        <f>IF($Q$4="",1,IF($Q$4="(blank)",--('Final Calculation Sheet'!$P$22=""),IF($Q$4="(nonblank)",--('Final Calculation Sheet'!$P$22&lt;&gt;""),--ISNUMBER(SEARCH($Q$4,'Final Calculation Sheet'!$P$22)))))</f>
        <v/>
      </c>
      <c r="DW77">
        <f>IF($R$4="",1,IF($R$4="(blank)",--('Final Calculation Sheet'!$Q$22=""),IF($R$4="(nonblank)",--('Final Calculation Sheet'!$Q$22&lt;&gt;""),--ISNUMBER(SEARCH($R$4,'Final Calculation Sheet'!$Q$22)))))</f>
        <v/>
      </c>
      <c r="DX77">
        <f>IF($S$4="",1,IF($S$4="(blank)",--('Final Calculation Sheet'!$R$22=""),IF($S$4="(nonblank)",--('Final Calculation Sheet'!$R$22&lt;&gt;""),--ISNUMBER(SEARCH($S$4,'Final Calculation Sheet'!$R$22)))))</f>
        <v/>
      </c>
      <c r="DY77">
        <f>IF($T$4="",1,IF($T$4="(blank)",--('Final Calculation Sheet'!$S$22=""),IF($T$4="(nonblank)",--('Final Calculation Sheet'!$S$22&lt;&gt;""),--ISNUMBER(SEARCH($T$4,'Final Calculation Sheet'!$S$22)))))</f>
        <v/>
      </c>
      <c r="DZ77">
        <f>IF($U$4="",1,IF($U$4="(blank)",--('Final Calculation Sheet'!$T$22=""),IF($U$4="(nonblank)",--('Final Calculation Sheet'!$T$22&lt;&gt;""),--ISNUMBER(SEARCH($U$4,'Final Calculation Sheet'!$T$22)))))</f>
        <v/>
      </c>
      <c r="EA77">
        <f>IF($V$4="",1,IF($V$4="(blank)",--('Final Calculation Sheet'!$U$22=""),IF($V$4="(nonblank)",--('Final Calculation Sheet'!$U$22&lt;&gt;""),--ISNUMBER(SEARCH($V$4,'Final Calculation Sheet'!$U$22)))))</f>
        <v/>
      </c>
      <c r="EB77">
        <f>IF($W$4="",1,IF($W$4="(blank)",--('Final Calculation Sheet'!$V$22=""),IF($W$4="(nonblank)",--('Final Calculation Sheet'!$V$22&lt;&gt;""),--ISNUMBER(SEARCH($W$4,'Final Calculation Sheet'!$V$22)))))</f>
        <v/>
      </c>
      <c r="EC77">
        <f>IF($X$4="",1,IF($X$4="(blank)",--('Final Calculation Sheet'!$W$22=""),IF($X$4="(nonblank)",--('Final Calculation Sheet'!$W$22&lt;&gt;""),--ISNUMBER(SEARCH($X$4,'Final Calculation Sheet'!$W$22)))))</f>
        <v/>
      </c>
      <c r="ED77">
        <f>IF($Y$4="",1,IF($Y$4="(blank)",--('Final Calculation Sheet'!$X$22=""),IF($Y$4="(nonblank)",--('Final Calculation Sheet'!$X$22&lt;&gt;""),--ISNUMBER(SEARCH($Y$4,'Final Calculation Sheet'!$X$22)))))</f>
        <v/>
      </c>
      <c r="EE77">
        <f>IF($Z$4="",1,IF($Z$4="(blank)",--('Final Calculation Sheet'!$Y$22=""),IF($Z$4="(nonblank)",--('Final Calculation Sheet'!$Y$22&lt;&gt;""),--ISNUMBER(SEARCH($Z$4,'Final Calculation Sheet'!$Y$22)))))</f>
        <v/>
      </c>
      <c r="EF77">
        <f>IF($AA$4="",1,IF($AA$4="(blank)",--('Final Calculation Sheet'!$Z$22=""),IF($AA$4="(nonblank)",--('Final Calculation Sheet'!$Z$22&lt;&gt;""),--ISNUMBER(SEARCH($AA$4,'Final Calculation Sheet'!$Z$22)))))</f>
        <v/>
      </c>
      <c r="EG77">
        <f>IF($AB$4="",1,IF($AB$4="(blank)",--('Final Calculation Sheet'!$AA$22=""),IF($AB$4="(nonblank)",--('Final Calculation Sheet'!$AA$22&lt;&gt;""),--ISNUMBER(SEARCH($AB$4,'Final Calculation Sheet'!$AA$22)))))</f>
        <v/>
      </c>
      <c r="EH77">
        <f>IF($AC$4="",1,IF($AC$4="(blank)",--('Final Calculation Sheet'!$AB$22=""),IF($AC$4="(nonblank)",--('Final Calculation Sheet'!$AB$22&lt;&gt;""),--ISNUMBER(SEARCH($AC$4,'Final Calculation Sheet'!$AB$22)))))</f>
        <v/>
      </c>
      <c r="EI77">
        <f>IF($AD$4="",1,IF($AD$4="(blank)",--('Final Calculation Sheet'!$AC$22=""),IF($AD$4="(nonblank)",--('Final Calculation Sheet'!$AC$22&lt;&gt;""),--ISNUMBER(SEARCH($AD$4,'Final Calculation Sheet'!$AC$22)))))</f>
        <v/>
      </c>
      <c r="EJ77">
        <f>IF($AE$4="",1,IF($AE$4="(blank)",--('Final Calculation Sheet'!$AD$22=""),IF($AE$4="(nonblank)",--('Final Calculation Sheet'!$AD$22&lt;&gt;""),--ISNUMBER(SEARCH($AE$4,'Final Calculation Sheet'!$AD$22)))))</f>
        <v/>
      </c>
      <c r="EK77">
        <f>IF($AF$4="",1,IF($AF$4="(blank)",--(IF('Final Calculation Sheet'!$AD$22&lt;=5,"SETTLED","OUTSTANDING")=""),IF($AF$4="(nonblank)",--(IF('Final Calculation Sheet'!$AD$22&lt;=5,"SETTLED","OUTSTANDING")&lt;&gt;""),--ISNUMBER(SEARCH($AF$4,IF('Final Calculation Sheet'!$AD$22&lt;=5,"SETTLED","OUTSTANDING"))))))</f>
        <v/>
      </c>
      <c r="EL77">
        <f>IF($AG$4="",1,IF($AG$4="(blank)",--('Final Calculation Sheet'!$AF$22=""),IF($AG$4="(nonblank)",--('Final Calculation Sheet'!$AF$22&lt;&gt;""),--ISNUMBER(SEARCH($AG$4,'Final Calculation Sheet'!$AF$22)))))</f>
        <v/>
      </c>
      <c r="EM77">
        <f>IF($AH$4="",1,IF($AH$4="(blank)",--('Final Calculation Sheet'!$AG$22=""),IF($AH$4="(nonblank)",--('Final Calculation Sheet'!$AG$22&lt;&gt;""),--ISNUMBER(SEARCH($AH$4,'Final Calculation Sheet'!$AG$22)))))</f>
        <v/>
      </c>
      <c r="EN77">
        <f>IF($AI$4="",1,IF($AI$4="(blank)",--('Final Calculation Sheet'!$AH$22=""),IF($AI$4="(nonblank)",--('Final Calculation Sheet'!$AH$22&lt;&gt;""),--ISNUMBER(SEARCH($AI$4,'Final Calculation Sheet'!$AH$22)))))</f>
        <v/>
      </c>
    </row>
    <row r="78">
      <c r="AM78">
        <f>AM77+IF(AND(Lists!$O$25&lt;&gt;"",ISNUMBER(SEARCH($B$4,Lists!$O$25))),1,0)</f>
        <v/>
      </c>
      <c r="AN78">
        <f>IF(ROW()-56&gt;MAX($AM$57:$AM$95),"",INDEX(Lists!$O$4:$O$42,MATCH(ROW()-56,$AM$57:$AM$95,0)))</f>
        <v/>
      </c>
      <c r="AO78">
        <f>AO77+IF(AND(Lists!$T$25&lt;&gt;"",ISNUMBER(SEARCH($C$4,Lists!$T$25))),1,0)</f>
        <v/>
      </c>
      <c r="AP78">
        <f>IF(ROW()-56&gt;MAX($AO$57:$AO$95),"",INDEX(Lists!$T$4:$T$42,MATCH(ROW()-56,$AO$57:$AO$95,0)))</f>
        <v/>
      </c>
      <c r="AQ78">
        <f>AQ77+IF(AND(Lists!$Y$25&lt;&gt;"",ISNUMBER(SEARCH($D$4,Lists!$Y$25))),1,0)</f>
        <v/>
      </c>
      <c r="AR78">
        <f>IF(ROW()-56&gt;MAX($AQ$57:$AQ$95),"",INDEX(Lists!$Y$4:$Y$42,MATCH(ROW()-56,$AQ$57:$AQ$95,0)))</f>
        <v/>
      </c>
      <c r="AS78">
        <f>AS77+IF(AND(Lists!$AD$25&lt;&gt;"",ISNUMBER(SEARCH($E$4,Lists!$AD$25))),1,0)</f>
        <v/>
      </c>
      <c r="AT78">
        <f>IF(ROW()-56&gt;MAX($AS$57:$AS$95),"",INDEX(Lists!$AD$4:$AD$42,MATCH(ROW()-56,$AS$57:$AS$95,0)))</f>
        <v/>
      </c>
      <c r="AU78">
        <f>AU77+IF(AND(Lists!$AI$25&lt;&gt;"",ISNUMBER(SEARCH($F$4,Lists!$AI$25))),1,0)</f>
        <v/>
      </c>
      <c r="AV78">
        <f>IF(ROW()-56&gt;MAX($AU$57:$AU$95),"",INDEX(Lists!$AI$4:$AI$42,MATCH(ROW()-56,$AU$57:$AU$95,0)))</f>
        <v/>
      </c>
      <c r="AW78">
        <f>AW77+IF(AND(Lists!$AN$25&lt;&gt;"",ISNUMBER(SEARCH($G$4,Lists!$AN$25))),1,0)</f>
        <v/>
      </c>
      <c r="AX78">
        <f>IF(ROW()-56&gt;MAX($AW$57:$AW$95),"",INDEX(Lists!$AN$4:$AN$42,MATCH(ROW()-56,$AW$57:$AW$95,0)))</f>
        <v/>
      </c>
      <c r="AY78">
        <f>AY77+IF(AND(Lists!$AS$25&lt;&gt;"",ISNUMBER(SEARCH($H$4,Lists!$AS$25))),1,0)</f>
        <v/>
      </c>
      <c r="AZ78">
        <f>IF(ROW()-56&gt;MAX($AY$57:$AY$95),"",INDEX(Lists!$AS$4:$AS$42,MATCH(ROW()-56,$AY$57:$AY$95,0)))</f>
        <v/>
      </c>
      <c r="BA78">
        <f>BA77+IF(AND(Lists!$AX$25&lt;&gt;"",ISNUMBER(SEARCH($I$4,Lists!$AX$25))),1,0)</f>
        <v/>
      </c>
      <c r="BB78">
        <f>IF(ROW()-56&gt;MAX($BA$57:$BA$95),"",INDEX(Lists!$AX$4:$AX$42,MATCH(ROW()-56,$BA$57:$BA$95,0)))</f>
        <v/>
      </c>
      <c r="BC78">
        <f>BC77+IF(AND(Lists!$BC$25&lt;&gt;"",ISNUMBER(SEARCH($J$4,Lists!$BC$25))),1,0)</f>
        <v/>
      </c>
      <c r="BD78">
        <f>IF(ROW()-56&gt;MAX($BC$57:$BC$95),"",INDEX(Lists!$BC$4:$BC$42,MATCH(ROW()-56,$BC$57:$BC$95,0)))</f>
        <v/>
      </c>
      <c r="BE78">
        <f>BE77+IF(AND(Lists!$BH$25&lt;&gt;"",ISNUMBER(SEARCH($K$4,Lists!$BH$25))),1,0)</f>
        <v/>
      </c>
      <c r="BF78">
        <f>IF(ROW()-56&gt;MAX($BE$57:$BE$95),"",INDEX(Lists!$BH$4:$BH$42,MATCH(ROW()-56,$BE$57:$BE$95,0)))</f>
        <v/>
      </c>
      <c r="BG78">
        <f>BG77+IF(AND(Lists!$BM$25&lt;&gt;"",ISNUMBER(SEARCH($L$4,Lists!$BM$25))),1,0)</f>
        <v/>
      </c>
      <c r="BH78">
        <f>IF(ROW()-56&gt;MAX($BG$57:$BG$95),"",INDEX(Lists!$BM$4:$BM$42,MATCH(ROW()-56,$BG$57:$BG$95,0)))</f>
        <v/>
      </c>
      <c r="BI78">
        <f>BI77+IF(AND(Lists!$BR$25&lt;&gt;"",ISNUMBER(SEARCH($M$4,Lists!$BR$25))),1,0)</f>
        <v/>
      </c>
      <c r="BJ78">
        <f>IF(ROW()-56&gt;MAX($BI$57:$BI$95),"",INDEX(Lists!$BR$4:$BR$42,MATCH(ROW()-56,$BI$57:$BI$95,0)))</f>
        <v/>
      </c>
      <c r="BK78">
        <f>BK77+IF(AND(Lists!$BW$25&lt;&gt;"",ISNUMBER(SEARCH($N$4,Lists!$BW$25))),1,0)</f>
        <v/>
      </c>
      <c r="BL78">
        <f>IF(ROW()-56&gt;MAX($BK$57:$BK$95),"",INDEX(Lists!$BW$4:$BW$42,MATCH(ROW()-56,$BK$57:$BK$95,0)))</f>
        <v/>
      </c>
      <c r="BM78">
        <f>BM77+IF(AND(Lists!$CB$25&lt;&gt;"",ISNUMBER(SEARCH($O$4,Lists!$CB$25))),1,0)</f>
        <v/>
      </c>
      <c r="BN78">
        <f>IF(ROW()-56&gt;MAX($BM$57:$BM$95),"",INDEX(Lists!$CB$4:$CB$42,MATCH(ROW()-56,$BM$57:$BM$95,0)))</f>
        <v/>
      </c>
      <c r="BO78">
        <f>BO77+IF(AND(Lists!$CG$25&lt;&gt;"",ISNUMBER(SEARCH($P$4,Lists!$CG$25))),1,0)</f>
        <v/>
      </c>
      <c r="BP78">
        <f>IF(ROW()-56&gt;MAX($BO$57:$BO$95),"",INDEX(Lists!$CG$4:$CG$42,MATCH(ROW()-56,$BO$57:$BO$95,0)))</f>
        <v/>
      </c>
      <c r="BQ78">
        <f>BQ77+IF(AND(Lists!$CL$25&lt;&gt;"",ISNUMBER(SEARCH($Q$4,Lists!$CL$25))),1,0)</f>
        <v/>
      </c>
      <c r="BR78">
        <f>IF(ROW()-56&gt;MAX($BQ$57:$BQ$95),"",INDEX(Lists!$CL$4:$CL$42,MATCH(ROW()-56,$BQ$57:$BQ$95,0)))</f>
        <v/>
      </c>
      <c r="BS78">
        <f>BS77+IF(AND(Lists!$CQ$25&lt;&gt;"",ISNUMBER(SEARCH($R$4,Lists!$CQ$25))),1,0)</f>
        <v/>
      </c>
      <c r="BT78">
        <f>IF(ROW()-56&gt;MAX($BS$57:$BS$95),"",INDEX(Lists!$CQ$4:$CQ$42,MATCH(ROW()-56,$BS$57:$BS$95,0)))</f>
        <v/>
      </c>
      <c r="BU78">
        <f>BU77+IF(AND(Lists!$CV$25&lt;&gt;"",ISNUMBER(SEARCH($S$4,Lists!$CV$25))),1,0)</f>
        <v/>
      </c>
      <c r="BV78">
        <f>IF(ROW()-56&gt;MAX($BU$57:$BU$95),"",INDEX(Lists!$CV$4:$CV$42,MATCH(ROW()-56,$BU$57:$BU$95,0)))</f>
        <v/>
      </c>
      <c r="BW78">
        <f>BW77+IF(AND(Lists!$DA$25&lt;&gt;"",ISNUMBER(SEARCH($T$4,Lists!$DA$25))),1,0)</f>
        <v/>
      </c>
      <c r="BX78">
        <f>IF(ROW()-56&gt;MAX($BW$57:$BW$95),"",INDEX(Lists!$DA$4:$DA$42,MATCH(ROW()-56,$BW$57:$BW$95,0)))</f>
        <v/>
      </c>
      <c r="BY78">
        <f>BY77+IF(AND(Lists!$DF$25&lt;&gt;"",ISNUMBER(SEARCH($U$4,Lists!$DF$25))),1,0)</f>
        <v/>
      </c>
      <c r="BZ78">
        <f>IF(ROW()-56&gt;MAX($BY$57:$BY$95),"",INDEX(Lists!$DF$4:$DF$42,MATCH(ROW()-56,$BY$57:$BY$95,0)))</f>
        <v/>
      </c>
      <c r="CA78">
        <f>CA77+IF(AND(Lists!$DK$25&lt;&gt;"",ISNUMBER(SEARCH($V$4,Lists!$DK$25))),1,0)</f>
        <v/>
      </c>
      <c r="CB78">
        <f>IF(ROW()-56&gt;MAX($CA$57:$CA$95),"",INDEX(Lists!$DK$4:$DK$42,MATCH(ROW()-56,$CA$57:$CA$95,0)))</f>
        <v/>
      </c>
      <c r="CC78">
        <f>CC77+IF(AND(Lists!$DP$25&lt;&gt;"",ISNUMBER(SEARCH($W$4,Lists!$DP$25))),1,0)</f>
        <v/>
      </c>
      <c r="CD78">
        <f>IF(ROW()-56&gt;MAX($CC$57:$CC$95),"",INDEX(Lists!$DP$4:$DP$42,MATCH(ROW()-56,$CC$57:$CC$95,0)))</f>
        <v/>
      </c>
      <c r="CE78">
        <f>CE77+IF(AND(Lists!$DU$25&lt;&gt;"",ISNUMBER(SEARCH($X$4,Lists!$DU$25))),1,0)</f>
        <v/>
      </c>
      <c r="CF78">
        <f>IF(ROW()-56&gt;MAX($CE$57:$CE$95),"",INDEX(Lists!$DU$4:$DU$42,MATCH(ROW()-56,$CE$57:$CE$95,0)))</f>
        <v/>
      </c>
      <c r="CG78">
        <f>CG77+IF(AND(Lists!$DZ$25&lt;&gt;"",ISNUMBER(SEARCH($Y$4,Lists!$DZ$25))),1,0)</f>
        <v/>
      </c>
      <c r="CH78">
        <f>IF(ROW()-56&gt;MAX($CG$57:$CG$95),"",INDEX(Lists!$DZ$4:$DZ$42,MATCH(ROW()-56,$CG$57:$CG$95,0)))</f>
        <v/>
      </c>
      <c r="CI78">
        <f>CI77+IF(AND(Lists!$EE$25&lt;&gt;"",ISNUMBER(SEARCH($Z$4,Lists!$EE$25))),1,0)</f>
        <v/>
      </c>
      <c r="CJ78">
        <f>IF(ROW()-56&gt;MAX($CI$57:$CI$95),"",INDEX(Lists!$EE$4:$EE$42,MATCH(ROW()-56,$CI$57:$CI$95,0)))</f>
        <v/>
      </c>
      <c r="CK78">
        <f>CK77+IF(AND(Lists!$EJ$25&lt;&gt;"",ISNUMBER(SEARCH($AA$4,Lists!$EJ$25))),1,0)</f>
        <v/>
      </c>
      <c r="CL78">
        <f>IF(ROW()-56&gt;MAX($CK$57:$CK$95),"",INDEX(Lists!$EJ$4:$EJ$42,MATCH(ROW()-56,$CK$57:$CK$95,0)))</f>
        <v/>
      </c>
      <c r="CM78">
        <f>CM77+IF(AND(Lists!$EO$25&lt;&gt;"",ISNUMBER(SEARCH($AB$4,Lists!$EO$25))),1,0)</f>
        <v/>
      </c>
      <c r="CN78">
        <f>IF(ROW()-56&gt;MAX($CM$57:$CM$95),"",INDEX(Lists!$EO$4:$EO$42,MATCH(ROW()-56,$CM$57:$CM$95,0)))</f>
        <v/>
      </c>
      <c r="CO78">
        <f>CO77+IF(AND(Lists!$ET$25&lt;&gt;"",ISNUMBER(SEARCH($AC$4,Lists!$ET$25))),1,0)</f>
        <v/>
      </c>
      <c r="CP78">
        <f>IF(ROW()-56&gt;MAX($CO$57:$CO$95),"",INDEX(Lists!$ET$4:$ET$42,MATCH(ROW()-56,$CO$57:$CO$95,0)))</f>
        <v/>
      </c>
      <c r="CQ78">
        <f>CQ77+IF(AND(Lists!$EY$25&lt;&gt;"",ISNUMBER(SEARCH($AD$4,Lists!$EY$25))),1,0)</f>
        <v/>
      </c>
      <c r="CR78">
        <f>IF(ROW()-56&gt;MAX($CQ$57:$CQ$95),"",INDEX(Lists!$EY$4:$EY$42,MATCH(ROW()-56,$CQ$57:$CQ$95,0)))</f>
        <v/>
      </c>
      <c r="CS78">
        <f>CS77+IF(AND(Lists!$FD$25&lt;&gt;"",ISNUMBER(SEARCH($AE$4,Lists!$FD$25))),1,0)</f>
        <v/>
      </c>
      <c r="CT78">
        <f>IF(ROW()-56&gt;MAX($CS$57:$CS$95),"",INDEX(Lists!$FD$4:$FD$42,MATCH(ROW()-56,$CS$57:$CS$95,0)))</f>
        <v/>
      </c>
      <c r="CU78">
        <f>CU77+IF(AND(Lists!$FI$25&lt;&gt;"",ISNUMBER(SEARCH($AG$4,Lists!$FI$25))),1,0)</f>
        <v/>
      </c>
      <c r="CV78">
        <f>IF(ROW()-56&gt;MAX($CU$57:$CU$95),"",INDEX(Lists!$FI$4:$FI$42,MATCH(ROW()-56,$CU$57:$CU$95,0)))</f>
        <v/>
      </c>
      <c r="CW78">
        <f>CW77+IF(AND(Lists!$FN$25&lt;&gt;"",ISNUMBER(SEARCH($AH$4,Lists!$FN$25))),1,0)</f>
        <v/>
      </c>
      <c r="CX78">
        <f>IF(ROW()-56&gt;MAX($CW$57:$CW$95),"",INDEX(Lists!$FN$4:$FN$42,MATCH(ROW()-56,$CW$57:$CW$95,0)))</f>
        <v/>
      </c>
      <c r="CY78">
        <f>CY77+IF(AND(Lists!$FS$25&lt;&gt;"",ISNUMBER(SEARCH($AI$4,Lists!$FS$25))),1,0)</f>
        <v/>
      </c>
      <c r="CZ78">
        <f>IF(ROW()-56&gt;MAX($CY$57:$CY$95),"",INDEX(Lists!$FS$4:$FS$42,MATCH(ROW()-56,$CY$57:$CY$95,0)))</f>
        <v/>
      </c>
      <c r="DA78">
        <f>DA77+IF(AND(Lists!$FX$25&lt;&gt;"",ISNUMBER(SEARCH($AF$4,Lists!$FX$25))),1,0)</f>
        <v/>
      </c>
      <c r="DB78">
        <f>IF(ROW()-56&gt;MAX($DA$57:$DA$95),"",INDEX(Lists!$FX$4:$FX$42,MATCH(ROW()-56,$DA$57:$DA$95,0)))</f>
        <v/>
      </c>
      <c r="DG78">
        <f>IF($B$4="",1,IF($B$4="(blank)",--('Final Calculation Sheet'!$F$23=""),IF($B$4="(nonblank)",--('Final Calculation Sheet'!$F$23&lt;&gt;""),--ISNUMBER(SEARCH($B$4,'Final Calculation Sheet'!$F$23)))))</f>
        <v/>
      </c>
      <c r="DH78">
        <f>IF($C$4="",1,IF($C$4="(blank)",--('Final Calculation Sheet'!$G$23=""),IF($C$4="(nonblank)",--('Final Calculation Sheet'!$G$23&lt;&gt;""),--ISNUMBER(SEARCH($C$4,'Final Calculation Sheet'!$G$23)))))</f>
        <v/>
      </c>
      <c r="DI78">
        <f>IF($D$4="",1,IF($D$4="(blank)",--('Final Calculation Sheet'!$B$23=""),IF($D$4="(nonblank)",--('Final Calculation Sheet'!$B$23&lt;&gt;""),--ISNUMBER(SEARCH($D$4,'Final Calculation Sheet'!$B$23)))))</f>
        <v/>
      </c>
      <c r="DJ78">
        <f>IF($E$4="",1,IF($E$4="(blank)",--('Final Calculation Sheet'!$D$23=""),IF($E$4="(nonblank)",--('Final Calculation Sheet'!$D$23&lt;&gt;""),--ISNUMBER(SEARCH($E$4,'Final Calculation Sheet'!$D$23)))))</f>
        <v/>
      </c>
      <c r="DK78">
        <f>IF($F$4="",1,IF($F$4="(blank)",--('Final Calculation Sheet'!$A$23=""),IF($F$4="(nonblank)",--('Final Calculation Sheet'!$A$23&lt;&gt;""),--ISNUMBER(SEARCH($F$4,'Final Calculation Sheet'!$A$23)))))</f>
        <v/>
      </c>
      <c r="DL78">
        <f>IF($G$4="",1,IF($G$4="(blank)",--('Final Calculation Sheet'!$E$23=""),IF($G$4="(nonblank)",--('Final Calculation Sheet'!$E$23&lt;&gt;""),--ISNUMBER(SEARCH($G$4,'Final Calculation Sheet'!$E$23)))))</f>
        <v/>
      </c>
      <c r="DM78">
        <f>IF($H$4="",1,IF($H$4="(blank)",--('Final Calculation Sheet'!$C$23=""),IF($H$4="(nonblank)",--('Final Calculation Sheet'!$C$23&lt;&gt;""),--ISNUMBER(SEARCH($H$4,'Final Calculation Sheet'!$C$23)))))</f>
        <v/>
      </c>
      <c r="DN78">
        <f>IF($I$4="",1,IF($I$4="(blank)",--('Final Calculation Sheet'!$H$23=""),IF($I$4="(nonblank)",--('Final Calculation Sheet'!$H$23&lt;&gt;""),--ISNUMBER(SEARCH($I$4,'Final Calculation Sheet'!$H$23)))))</f>
        <v/>
      </c>
      <c r="DO78">
        <f>IF($J$4="",1,IF($J$4="(blank)",--('Final Calculation Sheet'!$I$23=""),IF($J$4="(nonblank)",--('Final Calculation Sheet'!$I$23&lt;&gt;""),--ISNUMBER(SEARCH($J$4,'Final Calculation Sheet'!$I$23)))))</f>
        <v/>
      </c>
      <c r="DP78">
        <f>IF($K$4="",1,IF($K$4="(blank)",--('Final Calculation Sheet'!$J$23=""),IF($K$4="(nonblank)",--('Final Calculation Sheet'!$J$23&lt;&gt;""),--ISNUMBER(SEARCH($K$4,'Final Calculation Sheet'!$J$23)))))</f>
        <v/>
      </c>
      <c r="DQ78">
        <f>IF($L$4="",1,IF($L$4="(blank)",--('Final Calculation Sheet'!$K$23=""),IF($L$4="(nonblank)",--('Final Calculation Sheet'!$K$23&lt;&gt;""),--ISNUMBER(SEARCH($L$4,'Final Calculation Sheet'!$K$23)))))</f>
        <v/>
      </c>
      <c r="DR78">
        <f>IF($M$4="",1,IF($M$4="(blank)",--('Final Calculation Sheet'!$L$23=""),IF($M$4="(nonblank)",--('Final Calculation Sheet'!$L$23&lt;&gt;""),--ISNUMBER(SEARCH($M$4,'Final Calculation Sheet'!$L$23)))))</f>
        <v/>
      </c>
      <c r="DS78">
        <f>IF($N$4="",1,IF($N$4="(blank)",--('Final Calculation Sheet'!$M$23=""),IF($N$4="(nonblank)",--('Final Calculation Sheet'!$M$23&lt;&gt;""),--ISNUMBER(SEARCH($N$4,'Final Calculation Sheet'!$M$23)))))</f>
        <v/>
      </c>
      <c r="DT78">
        <f>IF($O$4="",1,IF($O$4="(blank)",--('Final Calculation Sheet'!$N$23=""),IF($O$4="(nonblank)",--('Final Calculation Sheet'!$N$23&lt;&gt;""),--ISNUMBER(SEARCH($O$4,'Final Calculation Sheet'!$N$23)))))</f>
        <v/>
      </c>
      <c r="DU78">
        <f>IF($P$4="",1,IF($P$4="(blank)",--('Final Calculation Sheet'!$O$23=""),IF($P$4="(nonblank)",--('Final Calculation Sheet'!$O$23&lt;&gt;""),--ISNUMBER(SEARCH($P$4,'Final Calculation Sheet'!$O$23)))))</f>
        <v/>
      </c>
      <c r="DV78">
        <f>IF($Q$4="",1,IF($Q$4="(blank)",--('Final Calculation Sheet'!$P$23=""),IF($Q$4="(nonblank)",--('Final Calculation Sheet'!$P$23&lt;&gt;""),--ISNUMBER(SEARCH($Q$4,'Final Calculation Sheet'!$P$23)))))</f>
        <v/>
      </c>
      <c r="DW78">
        <f>IF($R$4="",1,IF($R$4="(blank)",--('Final Calculation Sheet'!$Q$23=""),IF($R$4="(nonblank)",--('Final Calculation Sheet'!$Q$23&lt;&gt;""),--ISNUMBER(SEARCH($R$4,'Final Calculation Sheet'!$Q$23)))))</f>
        <v/>
      </c>
      <c r="DX78">
        <f>IF($S$4="",1,IF($S$4="(blank)",--('Final Calculation Sheet'!$R$23=""),IF($S$4="(nonblank)",--('Final Calculation Sheet'!$R$23&lt;&gt;""),--ISNUMBER(SEARCH($S$4,'Final Calculation Sheet'!$R$23)))))</f>
        <v/>
      </c>
      <c r="DY78">
        <f>IF($T$4="",1,IF($T$4="(blank)",--('Final Calculation Sheet'!$S$23=""),IF($T$4="(nonblank)",--('Final Calculation Sheet'!$S$23&lt;&gt;""),--ISNUMBER(SEARCH($T$4,'Final Calculation Sheet'!$S$23)))))</f>
        <v/>
      </c>
      <c r="DZ78">
        <f>IF($U$4="",1,IF($U$4="(blank)",--('Final Calculation Sheet'!$T$23=""),IF($U$4="(nonblank)",--('Final Calculation Sheet'!$T$23&lt;&gt;""),--ISNUMBER(SEARCH($U$4,'Final Calculation Sheet'!$T$23)))))</f>
        <v/>
      </c>
      <c r="EA78">
        <f>IF($V$4="",1,IF($V$4="(blank)",--('Final Calculation Sheet'!$U$23=""),IF($V$4="(nonblank)",--('Final Calculation Sheet'!$U$23&lt;&gt;""),--ISNUMBER(SEARCH($V$4,'Final Calculation Sheet'!$U$23)))))</f>
        <v/>
      </c>
      <c r="EB78">
        <f>IF($W$4="",1,IF($W$4="(blank)",--('Final Calculation Sheet'!$V$23=""),IF($W$4="(nonblank)",--('Final Calculation Sheet'!$V$23&lt;&gt;""),--ISNUMBER(SEARCH($W$4,'Final Calculation Sheet'!$V$23)))))</f>
        <v/>
      </c>
      <c r="EC78">
        <f>IF($X$4="",1,IF($X$4="(blank)",--('Final Calculation Sheet'!$W$23=""),IF($X$4="(nonblank)",--('Final Calculation Sheet'!$W$23&lt;&gt;""),--ISNUMBER(SEARCH($X$4,'Final Calculation Sheet'!$W$23)))))</f>
        <v/>
      </c>
      <c r="ED78">
        <f>IF($Y$4="",1,IF($Y$4="(blank)",--('Final Calculation Sheet'!$X$23=""),IF($Y$4="(nonblank)",--('Final Calculation Sheet'!$X$23&lt;&gt;""),--ISNUMBER(SEARCH($Y$4,'Final Calculation Sheet'!$X$23)))))</f>
        <v/>
      </c>
      <c r="EE78">
        <f>IF($Z$4="",1,IF($Z$4="(blank)",--('Final Calculation Sheet'!$Y$23=""),IF($Z$4="(nonblank)",--('Final Calculation Sheet'!$Y$23&lt;&gt;""),--ISNUMBER(SEARCH($Z$4,'Final Calculation Sheet'!$Y$23)))))</f>
        <v/>
      </c>
      <c r="EF78">
        <f>IF($AA$4="",1,IF($AA$4="(blank)",--('Final Calculation Sheet'!$Z$23=""),IF($AA$4="(nonblank)",--('Final Calculation Sheet'!$Z$23&lt;&gt;""),--ISNUMBER(SEARCH($AA$4,'Final Calculation Sheet'!$Z$23)))))</f>
        <v/>
      </c>
      <c r="EG78">
        <f>IF($AB$4="",1,IF($AB$4="(blank)",--('Final Calculation Sheet'!$AA$23=""),IF($AB$4="(nonblank)",--('Final Calculation Sheet'!$AA$23&lt;&gt;""),--ISNUMBER(SEARCH($AB$4,'Final Calculation Sheet'!$AA$23)))))</f>
        <v/>
      </c>
      <c r="EH78">
        <f>IF($AC$4="",1,IF($AC$4="(blank)",--('Final Calculation Sheet'!$AB$23=""),IF($AC$4="(nonblank)",--('Final Calculation Sheet'!$AB$23&lt;&gt;""),--ISNUMBER(SEARCH($AC$4,'Final Calculation Sheet'!$AB$23)))))</f>
        <v/>
      </c>
      <c r="EI78">
        <f>IF($AD$4="",1,IF($AD$4="(blank)",--('Final Calculation Sheet'!$AC$23=""),IF($AD$4="(nonblank)",--('Final Calculation Sheet'!$AC$23&lt;&gt;""),--ISNUMBER(SEARCH($AD$4,'Final Calculation Sheet'!$AC$23)))))</f>
        <v/>
      </c>
      <c r="EJ78">
        <f>IF($AE$4="",1,IF($AE$4="(blank)",--('Final Calculation Sheet'!$AD$23=""),IF($AE$4="(nonblank)",--('Final Calculation Sheet'!$AD$23&lt;&gt;""),--ISNUMBER(SEARCH($AE$4,'Final Calculation Sheet'!$AD$23)))))</f>
        <v/>
      </c>
      <c r="EK78">
        <f>IF($AF$4="",1,IF($AF$4="(blank)",--(IF('Final Calculation Sheet'!$AD$23&lt;=5,"SETTLED","OUTSTANDING")=""),IF($AF$4="(nonblank)",--(IF('Final Calculation Sheet'!$AD$23&lt;=5,"SETTLED","OUTSTANDING")&lt;&gt;""),--ISNUMBER(SEARCH($AF$4,IF('Final Calculation Sheet'!$AD$23&lt;=5,"SETTLED","OUTSTANDING"))))))</f>
        <v/>
      </c>
      <c r="EL78">
        <f>IF($AG$4="",1,IF($AG$4="(blank)",--('Final Calculation Sheet'!$AF$23=""),IF($AG$4="(nonblank)",--('Final Calculation Sheet'!$AF$23&lt;&gt;""),--ISNUMBER(SEARCH($AG$4,'Final Calculation Sheet'!$AF$23)))))</f>
        <v/>
      </c>
      <c r="EM78">
        <f>IF($AH$4="",1,IF($AH$4="(blank)",--('Final Calculation Sheet'!$AG$23=""),IF($AH$4="(nonblank)",--('Final Calculation Sheet'!$AG$23&lt;&gt;""),--ISNUMBER(SEARCH($AH$4,'Final Calculation Sheet'!$AG$23)))))</f>
        <v/>
      </c>
      <c r="EN78">
        <f>IF($AI$4="",1,IF($AI$4="(blank)",--('Final Calculation Sheet'!$AH$23=""),IF($AI$4="(nonblank)",--('Final Calculation Sheet'!$AH$23&lt;&gt;""),--ISNUMBER(SEARCH($AI$4,'Final Calculation Sheet'!$AH$23)))))</f>
        <v/>
      </c>
    </row>
    <row r="79">
      <c r="AM79">
        <f>AM78+IF(AND(Lists!$O$26&lt;&gt;"",ISNUMBER(SEARCH($B$4,Lists!$O$26))),1,0)</f>
        <v/>
      </c>
      <c r="AN79">
        <f>IF(ROW()-56&gt;MAX($AM$57:$AM$95),"",INDEX(Lists!$O$4:$O$42,MATCH(ROW()-56,$AM$57:$AM$95,0)))</f>
        <v/>
      </c>
      <c r="AO79">
        <f>AO78+IF(AND(Lists!$T$26&lt;&gt;"",ISNUMBER(SEARCH($C$4,Lists!$T$26))),1,0)</f>
        <v/>
      </c>
      <c r="AP79">
        <f>IF(ROW()-56&gt;MAX($AO$57:$AO$95),"",INDEX(Lists!$T$4:$T$42,MATCH(ROW()-56,$AO$57:$AO$95,0)))</f>
        <v/>
      </c>
      <c r="AQ79">
        <f>AQ78+IF(AND(Lists!$Y$26&lt;&gt;"",ISNUMBER(SEARCH($D$4,Lists!$Y$26))),1,0)</f>
        <v/>
      </c>
      <c r="AR79">
        <f>IF(ROW()-56&gt;MAX($AQ$57:$AQ$95),"",INDEX(Lists!$Y$4:$Y$42,MATCH(ROW()-56,$AQ$57:$AQ$95,0)))</f>
        <v/>
      </c>
      <c r="AS79">
        <f>AS78+IF(AND(Lists!$AD$26&lt;&gt;"",ISNUMBER(SEARCH($E$4,Lists!$AD$26))),1,0)</f>
        <v/>
      </c>
      <c r="AT79">
        <f>IF(ROW()-56&gt;MAX($AS$57:$AS$95),"",INDEX(Lists!$AD$4:$AD$42,MATCH(ROW()-56,$AS$57:$AS$95,0)))</f>
        <v/>
      </c>
      <c r="AU79">
        <f>AU78+IF(AND(Lists!$AI$26&lt;&gt;"",ISNUMBER(SEARCH($F$4,Lists!$AI$26))),1,0)</f>
        <v/>
      </c>
      <c r="AV79">
        <f>IF(ROW()-56&gt;MAX($AU$57:$AU$95),"",INDEX(Lists!$AI$4:$AI$42,MATCH(ROW()-56,$AU$57:$AU$95,0)))</f>
        <v/>
      </c>
      <c r="AW79">
        <f>AW78+IF(AND(Lists!$AN$26&lt;&gt;"",ISNUMBER(SEARCH($G$4,Lists!$AN$26))),1,0)</f>
        <v/>
      </c>
      <c r="AX79">
        <f>IF(ROW()-56&gt;MAX($AW$57:$AW$95),"",INDEX(Lists!$AN$4:$AN$42,MATCH(ROW()-56,$AW$57:$AW$95,0)))</f>
        <v/>
      </c>
      <c r="AY79">
        <f>AY78+IF(AND(Lists!$AS$26&lt;&gt;"",ISNUMBER(SEARCH($H$4,Lists!$AS$26))),1,0)</f>
        <v/>
      </c>
      <c r="AZ79">
        <f>IF(ROW()-56&gt;MAX($AY$57:$AY$95),"",INDEX(Lists!$AS$4:$AS$42,MATCH(ROW()-56,$AY$57:$AY$95,0)))</f>
        <v/>
      </c>
      <c r="BA79">
        <f>BA78+IF(AND(Lists!$AX$26&lt;&gt;"",ISNUMBER(SEARCH($I$4,Lists!$AX$26))),1,0)</f>
        <v/>
      </c>
      <c r="BB79">
        <f>IF(ROW()-56&gt;MAX($BA$57:$BA$95),"",INDEX(Lists!$AX$4:$AX$42,MATCH(ROW()-56,$BA$57:$BA$95,0)))</f>
        <v/>
      </c>
      <c r="BC79">
        <f>BC78+IF(AND(Lists!$BC$26&lt;&gt;"",ISNUMBER(SEARCH($J$4,Lists!$BC$26))),1,0)</f>
        <v/>
      </c>
      <c r="BD79">
        <f>IF(ROW()-56&gt;MAX($BC$57:$BC$95),"",INDEX(Lists!$BC$4:$BC$42,MATCH(ROW()-56,$BC$57:$BC$95,0)))</f>
        <v/>
      </c>
      <c r="BE79">
        <f>BE78+IF(AND(Lists!$BH$26&lt;&gt;"",ISNUMBER(SEARCH($K$4,Lists!$BH$26))),1,0)</f>
        <v/>
      </c>
      <c r="BF79">
        <f>IF(ROW()-56&gt;MAX($BE$57:$BE$95),"",INDEX(Lists!$BH$4:$BH$42,MATCH(ROW()-56,$BE$57:$BE$95,0)))</f>
        <v/>
      </c>
      <c r="BG79">
        <f>BG78+IF(AND(Lists!$BM$26&lt;&gt;"",ISNUMBER(SEARCH($L$4,Lists!$BM$26))),1,0)</f>
        <v/>
      </c>
      <c r="BH79">
        <f>IF(ROW()-56&gt;MAX($BG$57:$BG$95),"",INDEX(Lists!$BM$4:$BM$42,MATCH(ROW()-56,$BG$57:$BG$95,0)))</f>
        <v/>
      </c>
      <c r="BI79">
        <f>BI78+IF(AND(Lists!$BR$26&lt;&gt;"",ISNUMBER(SEARCH($M$4,Lists!$BR$26))),1,0)</f>
        <v/>
      </c>
      <c r="BJ79">
        <f>IF(ROW()-56&gt;MAX($BI$57:$BI$95),"",INDEX(Lists!$BR$4:$BR$42,MATCH(ROW()-56,$BI$57:$BI$95,0)))</f>
        <v/>
      </c>
      <c r="BK79">
        <f>BK78+IF(AND(Lists!$BW$26&lt;&gt;"",ISNUMBER(SEARCH($N$4,Lists!$BW$26))),1,0)</f>
        <v/>
      </c>
      <c r="BL79">
        <f>IF(ROW()-56&gt;MAX($BK$57:$BK$95),"",INDEX(Lists!$BW$4:$BW$42,MATCH(ROW()-56,$BK$57:$BK$95,0)))</f>
        <v/>
      </c>
      <c r="BM79">
        <f>BM78+IF(AND(Lists!$CB$26&lt;&gt;"",ISNUMBER(SEARCH($O$4,Lists!$CB$26))),1,0)</f>
        <v/>
      </c>
      <c r="BN79">
        <f>IF(ROW()-56&gt;MAX($BM$57:$BM$95),"",INDEX(Lists!$CB$4:$CB$42,MATCH(ROW()-56,$BM$57:$BM$95,0)))</f>
        <v/>
      </c>
      <c r="BO79">
        <f>BO78+IF(AND(Lists!$CG$26&lt;&gt;"",ISNUMBER(SEARCH($P$4,Lists!$CG$26))),1,0)</f>
        <v/>
      </c>
      <c r="BP79">
        <f>IF(ROW()-56&gt;MAX($BO$57:$BO$95),"",INDEX(Lists!$CG$4:$CG$42,MATCH(ROW()-56,$BO$57:$BO$95,0)))</f>
        <v/>
      </c>
      <c r="BQ79">
        <f>BQ78+IF(AND(Lists!$CL$26&lt;&gt;"",ISNUMBER(SEARCH($Q$4,Lists!$CL$26))),1,0)</f>
        <v/>
      </c>
      <c r="BR79">
        <f>IF(ROW()-56&gt;MAX($BQ$57:$BQ$95),"",INDEX(Lists!$CL$4:$CL$42,MATCH(ROW()-56,$BQ$57:$BQ$95,0)))</f>
        <v/>
      </c>
      <c r="BS79">
        <f>BS78+IF(AND(Lists!$CQ$26&lt;&gt;"",ISNUMBER(SEARCH($R$4,Lists!$CQ$26))),1,0)</f>
        <v/>
      </c>
      <c r="BT79">
        <f>IF(ROW()-56&gt;MAX($BS$57:$BS$95),"",INDEX(Lists!$CQ$4:$CQ$42,MATCH(ROW()-56,$BS$57:$BS$95,0)))</f>
        <v/>
      </c>
      <c r="BU79">
        <f>BU78+IF(AND(Lists!$CV$26&lt;&gt;"",ISNUMBER(SEARCH($S$4,Lists!$CV$26))),1,0)</f>
        <v/>
      </c>
      <c r="BV79">
        <f>IF(ROW()-56&gt;MAX($BU$57:$BU$95),"",INDEX(Lists!$CV$4:$CV$42,MATCH(ROW()-56,$BU$57:$BU$95,0)))</f>
        <v/>
      </c>
      <c r="BW79">
        <f>BW78+IF(AND(Lists!$DA$26&lt;&gt;"",ISNUMBER(SEARCH($T$4,Lists!$DA$26))),1,0)</f>
        <v/>
      </c>
      <c r="BX79">
        <f>IF(ROW()-56&gt;MAX($BW$57:$BW$95),"",INDEX(Lists!$DA$4:$DA$42,MATCH(ROW()-56,$BW$57:$BW$95,0)))</f>
        <v/>
      </c>
      <c r="BY79">
        <f>BY78+IF(AND(Lists!$DF$26&lt;&gt;"",ISNUMBER(SEARCH($U$4,Lists!$DF$26))),1,0)</f>
        <v/>
      </c>
      <c r="BZ79">
        <f>IF(ROW()-56&gt;MAX($BY$57:$BY$95),"",INDEX(Lists!$DF$4:$DF$42,MATCH(ROW()-56,$BY$57:$BY$95,0)))</f>
        <v/>
      </c>
      <c r="CA79">
        <f>CA78+IF(AND(Lists!$DK$26&lt;&gt;"",ISNUMBER(SEARCH($V$4,Lists!$DK$26))),1,0)</f>
        <v/>
      </c>
      <c r="CB79">
        <f>IF(ROW()-56&gt;MAX($CA$57:$CA$95),"",INDEX(Lists!$DK$4:$DK$42,MATCH(ROW()-56,$CA$57:$CA$95,0)))</f>
        <v/>
      </c>
      <c r="CC79">
        <f>CC78+IF(AND(Lists!$DP$26&lt;&gt;"",ISNUMBER(SEARCH($W$4,Lists!$DP$26))),1,0)</f>
        <v/>
      </c>
      <c r="CD79">
        <f>IF(ROW()-56&gt;MAX($CC$57:$CC$95),"",INDEX(Lists!$DP$4:$DP$42,MATCH(ROW()-56,$CC$57:$CC$95,0)))</f>
        <v/>
      </c>
      <c r="CE79">
        <f>CE78+IF(AND(Lists!$DU$26&lt;&gt;"",ISNUMBER(SEARCH($X$4,Lists!$DU$26))),1,0)</f>
        <v/>
      </c>
      <c r="CF79">
        <f>IF(ROW()-56&gt;MAX($CE$57:$CE$95),"",INDEX(Lists!$DU$4:$DU$42,MATCH(ROW()-56,$CE$57:$CE$95,0)))</f>
        <v/>
      </c>
      <c r="CG79">
        <f>CG78+IF(AND(Lists!$DZ$26&lt;&gt;"",ISNUMBER(SEARCH($Y$4,Lists!$DZ$26))),1,0)</f>
        <v/>
      </c>
      <c r="CH79">
        <f>IF(ROW()-56&gt;MAX($CG$57:$CG$95),"",INDEX(Lists!$DZ$4:$DZ$42,MATCH(ROW()-56,$CG$57:$CG$95,0)))</f>
        <v/>
      </c>
      <c r="CI79">
        <f>CI78+IF(AND(Lists!$EE$26&lt;&gt;"",ISNUMBER(SEARCH($Z$4,Lists!$EE$26))),1,0)</f>
        <v/>
      </c>
      <c r="CJ79">
        <f>IF(ROW()-56&gt;MAX($CI$57:$CI$95),"",INDEX(Lists!$EE$4:$EE$42,MATCH(ROW()-56,$CI$57:$CI$95,0)))</f>
        <v/>
      </c>
      <c r="CK79">
        <f>CK78+IF(AND(Lists!$EJ$26&lt;&gt;"",ISNUMBER(SEARCH($AA$4,Lists!$EJ$26))),1,0)</f>
        <v/>
      </c>
      <c r="CL79">
        <f>IF(ROW()-56&gt;MAX($CK$57:$CK$95),"",INDEX(Lists!$EJ$4:$EJ$42,MATCH(ROW()-56,$CK$57:$CK$95,0)))</f>
        <v/>
      </c>
      <c r="CM79">
        <f>CM78+IF(AND(Lists!$EO$26&lt;&gt;"",ISNUMBER(SEARCH($AB$4,Lists!$EO$26))),1,0)</f>
        <v/>
      </c>
      <c r="CN79">
        <f>IF(ROW()-56&gt;MAX($CM$57:$CM$95),"",INDEX(Lists!$EO$4:$EO$42,MATCH(ROW()-56,$CM$57:$CM$95,0)))</f>
        <v/>
      </c>
      <c r="CO79">
        <f>CO78+IF(AND(Lists!$ET$26&lt;&gt;"",ISNUMBER(SEARCH($AC$4,Lists!$ET$26))),1,0)</f>
        <v/>
      </c>
      <c r="CP79">
        <f>IF(ROW()-56&gt;MAX($CO$57:$CO$95),"",INDEX(Lists!$ET$4:$ET$42,MATCH(ROW()-56,$CO$57:$CO$95,0)))</f>
        <v/>
      </c>
      <c r="CQ79">
        <f>CQ78+IF(AND(Lists!$EY$26&lt;&gt;"",ISNUMBER(SEARCH($AD$4,Lists!$EY$26))),1,0)</f>
        <v/>
      </c>
      <c r="CR79">
        <f>IF(ROW()-56&gt;MAX($CQ$57:$CQ$95),"",INDEX(Lists!$EY$4:$EY$42,MATCH(ROW()-56,$CQ$57:$CQ$95,0)))</f>
        <v/>
      </c>
      <c r="CS79">
        <f>CS78+IF(AND(Lists!$FD$26&lt;&gt;"",ISNUMBER(SEARCH($AE$4,Lists!$FD$26))),1,0)</f>
        <v/>
      </c>
      <c r="CT79">
        <f>IF(ROW()-56&gt;MAX($CS$57:$CS$95),"",INDEX(Lists!$FD$4:$FD$42,MATCH(ROW()-56,$CS$57:$CS$95,0)))</f>
        <v/>
      </c>
      <c r="CU79">
        <f>CU78+IF(AND(Lists!$FI$26&lt;&gt;"",ISNUMBER(SEARCH($AG$4,Lists!$FI$26))),1,0)</f>
        <v/>
      </c>
      <c r="CV79">
        <f>IF(ROW()-56&gt;MAX($CU$57:$CU$95),"",INDEX(Lists!$FI$4:$FI$42,MATCH(ROW()-56,$CU$57:$CU$95,0)))</f>
        <v/>
      </c>
      <c r="CW79">
        <f>CW78+IF(AND(Lists!$FN$26&lt;&gt;"",ISNUMBER(SEARCH($AH$4,Lists!$FN$26))),1,0)</f>
        <v/>
      </c>
      <c r="CX79">
        <f>IF(ROW()-56&gt;MAX($CW$57:$CW$95),"",INDEX(Lists!$FN$4:$FN$42,MATCH(ROW()-56,$CW$57:$CW$95,0)))</f>
        <v/>
      </c>
      <c r="CY79">
        <f>CY78+IF(AND(Lists!$FS$26&lt;&gt;"",ISNUMBER(SEARCH($AI$4,Lists!$FS$26))),1,0)</f>
        <v/>
      </c>
      <c r="CZ79">
        <f>IF(ROW()-56&gt;MAX($CY$57:$CY$95),"",INDEX(Lists!$FS$4:$FS$42,MATCH(ROW()-56,$CY$57:$CY$95,0)))</f>
        <v/>
      </c>
      <c r="DA79">
        <f>DA78+IF(AND(Lists!$FX$26&lt;&gt;"",ISNUMBER(SEARCH($AF$4,Lists!$FX$26))),1,0)</f>
        <v/>
      </c>
      <c r="DB79">
        <f>IF(ROW()-56&gt;MAX($DA$57:$DA$95),"",INDEX(Lists!$FX$4:$FX$42,MATCH(ROW()-56,$DA$57:$DA$95,0)))</f>
        <v/>
      </c>
      <c r="DG79">
        <f>IF($B$4="",1,IF($B$4="(blank)",--('Final Calculation Sheet'!$F$24=""),IF($B$4="(nonblank)",--('Final Calculation Sheet'!$F$24&lt;&gt;""),--ISNUMBER(SEARCH($B$4,'Final Calculation Sheet'!$F$24)))))</f>
        <v/>
      </c>
      <c r="DH79">
        <f>IF($C$4="",1,IF($C$4="(blank)",--('Final Calculation Sheet'!$G$24=""),IF($C$4="(nonblank)",--('Final Calculation Sheet'!$G$24&lt;&gt;""),--ISNUMBER(SEARCH($C$4,'Final Calculation Sheet'!$G$24)))))</f>
        <v/>
      </c>
      <c r="DI79">
        <f>IF($D$4="",1,IF($D$4="(blank)",--('Final Calculation Sheet'!$B$24=""),IF($D$4="(nonblank)",--('Final Calculation Sheet'!$B$24&lt;&gt;""),--ISNUMBER(SEARCH($D$4,'Final Calculation Sheet'!$B$24)))))</f>
        <v/>
      </c>
      <c r="DJ79">
        <f>IF($E$4="",1,IF($E$4="(blank)",--('Final Calculation Sheet'!$D$24=""),IF($E$4="(nonblank)",--('Final Calculation Sheet'!$D$24&lt;&gt;""),--ISNUMBER(SEARCH($E$4,'Final Calculation Sheet'!$D$24)))))</f>
        <v/>
      </c>
      <c r="DK79">
        <f>IF($F$4="",1,IF($F$4="(blank)",--('Final Calculation Sheet'!$A$24=""),IF($F$4="(nonblank)",--('Final Calculation Sheet'!$A$24&lt;&gt;""),--ISNUMBER(SEARCH($F$4,'Final Calculation Sheet'!$A$24)))))</f>
        <v/>
      </c>
      <c r="DL79">
        <f>IF($G$4="",1,IF($G$4="(blank)",--('Final Calculation Sheet'!$E$24=""),IF($G$4="(nonblank)",--('Final Calculation Sheet'!$E$24&lt;&gt;""),--ISNUMBER(SEARCH($G$4,'Final Calculation Sheet'!$E$24)))))</f>
        <v/>
      </c>
      <c r="DM79">
        <f>IF($H$4="",1,IF($H$4="(blank)",--('Final Calculation Sheet'!$C$24=""),IF($H$4="(nonblank)",--('Final Calculation Sheet'!$C$24&lt;&gt;""),--ISNUMBER(SEARCH($H$4,'Final Calculation Sheet'!$C$24)))))</f>
        <v/>
      </c>
      <c r="DN79">
        <f>IF($I$4="",1,IF($I$4="(blank)",--('Final Calculation Sheet'!$H$24=""),IF($I$4="(nonblank)",--('Final Calculation Sheet'!$H$24&lt;&gt;""),--ISNUMBER(SEARCH($I$4,'Final Calculation Sheet'!$H$24)))))</f>
        <v/>
      </c>
      <c r="DO79">
        <f>IF($J$4="",1,IF($J$4="(blank)",--('Final Calculation Sheet'!$I$24=""),IF($J$4="(nonblank)",--('Final Calculation Sheet'!$I$24&lt;&gt;""),--ISNUMBER(SEARCH($J$4,'Final Calculation Sheet'!$I$24)))))</f>
        <v/>
      </c>
      <c r="DP79">
        <f>IF($K$4="",1,IF($K$4="(blank)",--('Final Calculation Sheet'!$J$24=""),IF($K$4="(nonblank)",--('Final Calculation Sheet'!$J$24&lt;&gt;""),--ISNUMBER(SEARCH($K$4,'Final Calculation Sheet'!$J$24)))))</f>
        <v/>
      </c>
      <c r="DQ79">
        <f>IF($L$4="",1,IF($L$4="(blank)",--('Final Calculation Sheet'!$K$24=""),IF($L$4="(nonblank)",--('Final Calculation Sheet'!$K$24&lt;&gt;""),--ISNUMBER(SEARCH($L$4,'Final Calculation Sheet'!$K$24)))))</f>
        <v/>
      </c>
      <c r="DR79">
        <f>IF($M$4="",1,IF($M$4="(blank)",--('Final Calculation Sheet'!$L$24=""),IF($M$4="(nonblank)",--('Final Calculation Sheet'!$L$24&lt;&gt;""),--ISNUMBER(SEARCH($M$4,'Final Calculation Sheet'!$L$24)))))</f>
        <v/>
      </c>
      <c r="DS79">
        <f>IF($N$4="",1,IF($N$4="(blank)",--('Final Calculation Sheet'!$M$24=""),IF($N$4="(nonblank)",--('Final Calculation Sheet'!$M$24&lt;&gt;""),--ISNUMBER(SEARCH($N$4,'Final Calculation Sheet'!$M$24)))))</f>
        <v/>
      </c>
      <c r="DT79">
        <f>IF($O$4="",1,IF($O$4="(blank)",--('Final Calculation Sheet'!$N$24=""),IF($O$4="(nonblank)",--('Final Calculation Sheet'!$N$24&lt;&gt;""),--ISNUMBER(SEARCH($O$4,'Final Calculation Sheet'!$N$24)))))</f>
        <v/>
      </c>
      <c r="DU79">
        <f>IF($P$4="",1,IF($P$4="(blank)",--('Final Calculation Sheet'!$O$24=""),IF($P$4="(nonblank)",--('Final Calculation Sheet'!$O$24&lt;&gt;""),--ISNUMBER(SEARCH($P$4,'Final Calculation Sheet'!$O$24)))))</f>
        <v/>
      </c>
      <c r="DV79">
        <f>IF($Q$4="",1,IF($Q$4="(blank)",--('Final Calculation Sheet'!$P$24=""),IF($Q$4="(nonblank)",--('Final Calculation Sheet'!$P$24&lt;&gt;""),--ISNUMBER(SEARCH($Q$4,'Final Calculation Sheet'!$P$24)))))</f>
        <v/>
      </c>
      <c r="DW79">
        <f>IF($R$4="",1,IF($R$4="(blank)",--('Final Calculation Sheet'!$Q$24=""),IF($R$4="(nonblank)",--('Final Calculation Sheet'!$Q$24&lt;&gt;""),--ISNUMBER(SEARCH($R$4,'Final Calculation Sheet'!$Q$24)))))</f>
        <v/>
      </c>
      <c r="DX79">
        <f>IF($S$4="",1,IF($S$4="(blank)",--('Final Calculation Sheet'!$R$24=""),IF($S$4="(nonblank)",--('Final Calculation Sheet'!$R$24&lt;&gt;""),--ISNUMBER(SEARCH($S$4,'Final Calculation Sheet'!$R$24)))))</f>
        <v/>
      </c>
      <c r="DY79">
        <f>IF($T$4="",1,IF($T$4="(blank)",--('Final Calculation Sheet'!$S$24=""),IF($T$4="(nonblank)",--('Final Calculation Sheet'!$S$24&lt;&gt;""),--ISNUMBER(SEARCH($T$4,'Final Calculation Sheet'!$S$24)))))</f>
        <v/>
      </c>
      <c r="DZ79">
        <f>IF($U$4="",1,IF($U$4="(blank)",--('Final Calculation Sheet'!$T$24=""),IF($U$4="(nonblank)",--('Final Calculation Sheet'!$T$24&lt;&gt;""),--ISNUMBER(SEARCH($U$4,'Final Calculation Sheet'!$T$24)))))</f>
        <v/>
      </c>
      <c r="EA79">
        <f>IF($V$4="",1,IF($V$4="(blank)",--('Final Calculation Sheet'!$U$24=""),IF($V$4="(nonblank)",--('Final Calculation Sheet'!$U$24&lt;&gt;""),--ISNUMBER(SEARCH($V$4,'Final Calculation Sheet'!$U$24)))))</f>
        <v/>
      </c>
      <c r="EB79">
        <f>IF($W$4="",1,IF($W$4="(blank)",--('Final Calculation Sheet'!$V$24=""),IF($W$4="(nonblank)",--('Final Calculation Sheet'!$V$24&lt;&gt;""),--ISNUMBER(SEARCH($W$4,'Final Calculation Sheet'!$V$24)))))</f>
        <v/>
      </c>
      <c r="EC79">
        <f>IF($X$4="",1,IF($X$4="(blank)",--('Final Calculation Sheet'!$W$24=""),IF($X$4="(nonblank)",--('Final Calculation Sheet'!$W$24&lt;&gt;""),--ISNUMBER(SEARCH($X$4,'Final Calculation Sheet'!$W$24)))))</f>
        <v/>
      </c>
      <c r="ED79">
        <f>IF($Y$4="",1,IF($Y$4="(blank)",--('Final Calculation Sheet'!$X$24=""),IF($Y$4="(nonblank)",--('Final Calculation Sheet'!$X$24&lt;&gt;""),--ISNUMBER(SEARCH($Y$4,'Final Calculation Sheet'!$X$24)))))</f>
        <v/>
      </c>
      <c r="EE79">
        <f>IF($Z$4="",1,IF($Z$4="(blank)",--('Final Calculation Sheet'!$Y$24=""),IF($Z$4="(nonblank)",--('Final Calculation Sheet'!$Y$24&lt;&gt;""),--ISNUMBER(SEARCH($Z$4,'Final Calculation Sheet'!$Y$24)))))</f>
        <v/>
      </c>
      <c r="EF79">
        <f>IF($AA$4="",1,IF($AA$4="(blank)",--('Final Calculation Sheet'!$Z$24=""),IF($AA$4="(nonblank)",--('Final Calculation Sheet'!$Z$24&lt;&gt;""),--ISNUMBER(SEARCH($AA$4,'Final Calculation Sheet'!$Z$24)))))</f>
        <v/>
      </c>
      <c r="EG79">
        <f>IF($AB$4="",1,IF($AB$4="(blank)",--('Final Calculation Sheet'!$AA$24=""),IF($AB$4="(nonblank)",--('Final Calculation Sheet'!$AA$24&lt;&gt;""),--ISNUMBER(SEARCH($AB$4,'Final Calculation Sheet'!$AA$24)))))</f>
        <v/>
      </c>
      <c r="EH79">
        <f>IF($AC$4="",1,IF($AC$4="(blank)",--('Final Calculation Sheet'!$AB$24=""),IF($AC$4="(nonblank)",--('Final Calculation Sheet'!$AB$24&lt;&gt;""),--ISNUMBER(SEARCH($AC$4,'Final Calculation Sheet'!$AB$24)))))</f>
        <v/>
      </c>
      <c r="EI79">
        <f>IF($AD$4="",1,IF($AD$4="(blank)",--('Final Calculation Sheet'!$AC$24=""),IF($AD$4="(nonblank)",--('Final Calculation Sheet'!$AC$24&lt;&gt;""),--ISNUMBER(SEARCH($AD$4,'Final Calculation Sheet'!$AC$24)))))</f>
        <v/>
      </c>
      <c r="EJ79">
        <f>IF($AE$4="",1,IF($AE$4="(blank)",--('Final Calculation Sheet'!$AD$24=""),IF($AE$4="(nonblank)",--('Final Calculation Sheet'!$AD$24&lt;&gt;""),--ISNUMBER(SEARCH($AE$4,'Final Calculation Sheet'!$AD$24)))))</f>
        <v/>
      </c>
      <c r="EK79">
        <f>IF($AF$4="",1,IF($AF$4="(blank)",--(IF('Final Calculation Sheet'!$AD$24&lt;=5,"SETTLED","OUTSTANDING")=""),IF($AF$4="(nonblank)",--(IF('Final Calculation Sheet'!$AD$24&lt;=5,"SETTLED","OUTSTANDING")&lt;&gt;""),--ISNUMBER(SEARCH($AF$4,IF('Final Calculation Sheet'!$AD$24&lt;=5,"SETTLED","OUTSTANDING"))))))</f>
        <v/>
      </c>
      <c r="EL79">
        <f>IF($AG$4="",1,IF($AG$4="(blank)",--('Final Calculation Sheet'!$AF$24=""),IF($AG$4="(nonblank)",--('Final Calculation Sheet'!$AF$24&lt;&gt;""),--ISNUMBER(SEARCH($AG$4,'Final Calculation Sheet'!$AF$24)))))</f>
        <v/>
      </c>
      <c r="EM79">
        <f>IF($AH$4="",1,IF($AH$4="(blank)",--('Final Calculation Sheet'!$AG$24=""),IF($AH$4="(nonblank)",--('Final Calculation Sheet'!$AG$24&lt;&gt;""),--ISNUMBER(SEARCH($AH$4,'Final Calculation Sheet'!$AG$24)))))</f>
        <v/>
      </c>
      <c r="EN79">
        <f>IF($AI$4="",1,IF($AI$4="(blank)",--('Final Calculation Sheet'!$AH$24=""),IF($AI$4="(nonblank)",--('Final Calculation Sheet'!$AH$24&lt;&gt;""),--ISNUMBER(SEARCH($AI$4,'Final Calculation Sheet'!$AH$24)))))</f>
        <v/>
      </c>
    </row>
    <row r="80">
      <c r="AM80">
        <f>AM79+IF(AND(Lists!$O$27&lt;&gt;"",ISNUMBER(SEARCH($B$4,Lists!$O$27))),1,0)</f>
        <v/>
      </c>
      <c r="AN80">
        <f>IF(ROW()-56&gt;MAX($AM$57:$AM$95),"",INDEX(Lists!$O$4:$O$42,MATCH(ROW()-56,$AM$57:$AM$95,0)))</f>
        <v/>
      </c>
      <c r="AO80">
        <f>AO79+IF(AND(Lists!$T$27&lt;&gt;"",ISNUMBER(SEARCH($C$4,Lists!$T$27))),1,0)</f>
        <v/>
      </c>
      <c r="AP80">
        <f>IF(ROW()-56&gt;MAX($AO$57:$AO$95),"",INDEX(Lists!$T$4:$T$42,MATCH(ROW()-56,$AO$57:$AO$95,0)))</f>
        <v/>
      </c>
      <c r="AQ80">
        <f>AQ79+IF(AND(Lists!$Y$27&lt;&gt;"",ISNUMBER(SEARCH($D$4,Lists!$Y$27))),1,0)</f>
        <v/>
      </c>
      <c r="AR80">
        <f>IF(ROW()-56&gt;MAX($AQ$57:$AQ$95),"",INDEX(Lists!$Y$4:$Y$42,MATCH(ROW()-56,$AQ$57:$AQ$95,0)))</f>
        <v/>
      </c>
      <c r="AS80">
        <f>AS79+IF(AND(Lists!$AD$27&lt;&gt;"",ISNUMBER(SEARCH($E$4,Lists!$AD$27))),1,0)</f>
        <v/>
      </c>
      <c r="AT80">
        <f>IF(ROW()-56&gt;MAX($AS$57:$AS$95),"",INDEX(Lists!$AD$4:$AD$42,MATCH(ROW()-56,$AS$57:$AS$95,0)))</f>
        <v/>
      </c>
      <c r="AU80">
        <f>AU79+IF(AND(Lists!$AI$27&lt;&gt;"",ISNUMBER(SEARCH($F$4,Lists!$AI$27))),1,0)</f>
        <v/>
      </c>
      <c r="AV80">
        <f>IF(ROW()-56&gt;MAX($AU$57:$AU$95),"",INDEX(Lists!$AI$4:$AI$42,MATCH(ROW()-56,$AU$57:$AU$95,0)))</f>
        <v/>
      </c>
      <c r="AW80">
        <f>AW79+IF(AND(Lists!$AN$27&lt;&gt;"",ISNUMBER(SEARCH($G$4,Lists!$AN$27))),1,0)</f>
        <v/>
      </c>
      <c r="AX80">
        <f>IF(ROW()-56&gt;MAX($AW$57:$AW$95),"",INDEX(Lists!$AN$4:$AN$42,MATCH(ROW()-56,$AW$57:$AW$95,0)))</f>
        <v/>
      </c>
      <c r="AY80">
        <f>AY79+IF(AND(Lists!$AS$27&lt;&gt;"",ISNUMBER(SEARCH($H$4,Lists!$AS$27))),1,0)</f>
        <v/>
      </c>
      <c r="AZ80">
        <f>IF(ROW()-56&gt;MAX($AY$57:$AY$95),"",INDEX(Lists!$AS$4:$AS$42,MATCH(ROW()-56,$AY$57:$AY$95,0)))</f>
        <v/>
      </c>
      <c r="BA80">
        <f>BA79+IF(AND(Lists!$AX$27&lt;&gt;"",ISNUMBER(SEARCH($I$4,Lists!$AX$27))),1,0)</f>
        <v/>
      </c>
      <c r="BB80">
        <f>IF(ROW()-56&gt;MAX($BA$57:$BA$95),"",INDEX(Lists!$AX$4:$AX$42,MATCH(ROW()-56,$BA$57:$BA$95,0)))</f>
        <v/>
      </c>
      <c r="BC80">
        <f>BC79+IF(AND(Lists!$BC$27&lt;&gt;"",ISNUMBER(SEARCH($J$4,Lists!$BC$27))),1,0)</f>
        <v/>
      </c>
      <c r="BD80">
        <f>IF(ROW()-56&gt;MAX($BC$57:$BC$95),"",INDEX(Lists!$BC$4:$BC$42,MATCH(ROW()-56,$BC$57:$BC$95,0)))</f>
        <v/>
      </c>
      <c r="BE80">
        <f>BE79+IF(AND(Lists!$BH$27&lt;&gt;"",ISNUMBER(SEARCH($K$4,Lists!$BH$27))),1,0)</f>
        <v/>
      </c>
      <c r="BF80">
        <f>IF(ROW()-56&gt;MAX($BE$57:$BE$95),"",INDEX(Lists!$BH$4:$BH$42,MATCH(ROW()-56,$BE$57:$BE$95,0)))</f>
        <v/>
      </c>
      <c r="BG80">
        <f>BG79+IF(AND(Lists!$BM$27&lt;&gt;"",ISNUMBER(SEARCH($L$4,Lists!$BM$27))),1,0)</f>
        <v/>
      </c>
      <c r="BH80">
        <f>IF(ROW()-56&gt;MAX($BG$57:$BG$95),"",INDEX(Lists!$BM$4:$BM$42,MATCH(ROW()-56,$BG$57:$BG$95,0)))</f>
        <v/>
      </c>
      <c r="BI80">
        <f>BI79+IF(AND(Lists!$BR$27&lt;&gt;"",ISNUMBER(SEARCH($M$4,Lists!$BR$27))),1,0)</f>
        <v/>
      </c>
      <c r="BJ80">
        <f>IF(ROW()-56&gt;MAX($BI$57:$BI$95),"",INDEX(Lists!$BR$4:$BR$42,MATCH(ROW()-56,$BI$57:$BI$95,0)))</f>
        <v/>
      </c>
      <c r="BK80">
        <f>BK79+IF(AND(Lists!$BW$27&lt;&gt;"",ISNUMBER(SEARCH($N$4,Lists!$BW$27))),1,0)</f>
        <v/>
      </c>
      <c r="BL80">
        <f>IF(ROW()-56&gt;MAX($BK$57:$BK$95),"",INDEX(Lists!$BW$4:$BW$42,MATCH(ROW()-56,$BK$57:$BK$95,0)))</f>
        <v/>
      </c>
      <c r="BM80">
        <f>BM79+IF(AND(Lists!$CB$27&lt;&gt;"",ISNUMBER(SEARCH($O$4,Lists!$CB$27))),1,0)</f>
        <v/>
      </c>
      <c r="BN80">
        <f>IF(ROW()-56&gt;MAX($BM$57:$BM$95),"",INDEX(Lists!$CB$4:$CB$42,MATCH(ROW()-56,$BM$57:$BM$95,0)))</f>
        <v/>
      </c>
      <c r="BO80">
        <f>BO79+IF(AND(Lists!$CG$27&lt;&gt;"",ISNUMBER(SEARCH($P$4,Lists!$CG$27))),1,0)</f>
        <v/>
      </c>
      <c r="BP80">
        <f>IF(ROW()-56&gt;MAX($BO$57:$BO$95),"",INDEX(Lists!$CG$4:$CG$42,MATCH(ROW()-56,$BO$57:$BO$95,0)))</f>
        <v/>
      </c>
      <c r="BQ80">
        <f>BQ79+IF(AND(Lists!$CL$27&lt;&gt;"",ISNUMBER(SEARCH($Q$4,Lists!$CL$27))),1,0)</f>
        <v/>
      </c>
      <c r="BR80">
        <f>IF(ROW()-56&gt;MAX($BQ$57:$BQ$95),"",INDEX(Lists!$CL$4:$CL$42,MATCH(ROW()-56,$BQ$57:$BQ$95,0)))</f>
        <v/>
      </c>
      <c r="BS80">
        <f>BS79+IF(AND(Lists!$CQ$27&lt;&gt;"",ISNUMBER(SEARCH($R$4,Lists!$CQ$27))),1,0)</f>
        <v/>
      </c>
      <c r="BT80">
        <f>IF(ROW()-56&gt;MAX($BS$57:$BS$95),"",INDEX(Lists!$CQ$4:$CQ$42,MATCH(ROW()-56,$BS$57:$BS$95,0)))</f>
        <v/>
      </c>
      <c r="BU80">
        <f>BU79+IF(AND(Lists!$CV$27&lt;&gt;"",ISNUMBER(SEARCH($S$4,Lists!$CV$27))),1,0)</f>
        <v/>
      </c>
      <c r="BV80">
        <f>IF(ROW()-56&gt;MAX($BU$57:$BU$95),"",INDEX(Lists!$CV$4:$CV$42,MATCH(ROW()-56,$BU$57:$BU$95,0)))</f>
        <v/>
      </c>
      <c r="BW80">
        <f>BW79+IF(AND(Lists!$DA$27&lt;&gt;"",ISNUMBER(SEARCH($T$4,Lists!$DA$27))),1,0)</f>
        <v/>
      </c>
      <c r="BX80">
        <f>IF(ROW()-56&gt;MAX($BW$57:$BW$95),"",INDEX(Lists!$DA$4:$DA$42,MATCH(ROW()-56,$BW$57:$BW$95,0)))</f>
        <v/>
      </c>
      <c r="BY80">
        <f>BY79+IF(AND(Lists!$DF$27&lt;&gt;"",ISNUMBER(SEARCH($U$4,Lists!$DF$27))),1,0)</f>
        <v/>
      </c>
      <c r="BZ80">
        <f>IF(ROW()-56&gt;MAX($BY$57:$BY$95),"",INDEX(Lists!$DF$4:$DF$42,MATCH(ROW()-56,$BY$57:$BY$95,0)))</f>
        <v/>
      </c>
      <c r="CA80">
        <f>CA79+IF(AND(Lists!$DK$27&lt;&gt;"",ISNUMBER(SEARCH($V$4,Lists!$DK$27))),1,0)</f>
        <v/>
      </c>
      <c r="CB80">
        <f>IF(ROW()-56&gt;MAX($CA$57:$CA$95),"",INDEX(Lists!$DK$4:$DK$42,MATCH(ROW()-56,$CA$57:$CA$95,0)))</f>
        <v/>
      </c>
      <c r="CC80">
        <f>CC79+IF(AND(Lists!$DP$27&lt;&gt;"",ISNUMBER(SEARCH($W$4,Lists!$DP$27))),1,0)</f>
        <v/>
      </c>
      <c r="CD80">
        <f>IF(ROW()-56&gt;MAX($CC$57:$CC$95),"",INDEX(Lists!$DP$4:$DP$42,MATCH(ROW()-56,$CC$57:$CC$95,0)))</f>
        <v/>
      </c>
      <c r="CE80">
        <f>CE79+IF(AND(Lists!$DU$27&lt;&gt;"",ISNUMBER(SEARCH($X$4,Lists!$DU$27))),1,0)</f>
        <v/>
      </c>
      <c r="CF80">
        <f>IF(ROW()-56&gt;MAX($CE$57:$CE$95),"",INDEX(Lists!$DU$4:$DU$42,MATCH(ROW()-56,$CE$57:$CE$95,0)))</f>
        <v/>
      </c>
      <c r="CG80">
        <f>CG79+IF(AND(Lists!$DZ$27&lt;&gt;"",ISNUMBER(SEARCH($Y$4,Lists!$DZ$27))),1,0)</f>
        <v/>
      </c>
      <c r="CH80">
        <f>IF(ROW()-56&gt;MAX($CG$57:$CG$95),"",INDEX(Lists!$DZ$4:$DZ$42,MATCH(ROW()-56,$CG$57:$CG$95,0)))</f>
        <v/>
      </c>
      <c r="CI80">
        <f>CI79+IF(AND(Lists!$EE$27&lt;&gt;"",ISNUMBER(SEARCH($Z$4,Lists!$EE$27))),1,0)</f>
        <v/>
      </c>
      <c r="CJ80">
        <f>IF(ROW()-56&gt;MAX($CI$57:$CI$95),"",INDEX(Lists!$EE$4:$EE$42,MATCH(ROW()-56,$CI$57:$CI$95,0)))</f>
        <v/>
      </c>
      <c r="CK80">
        <f>CK79+IF(AND(Lists!$EJ$27&lt;&gt;"",ISNUMBER(SEARCH($AA$4,Lists!$EJ$27))),1,0)</f>
        <v/>
      </c>
      <c r="CL80">
        <f>IF(ROW()-56&gt;MAX($CK$57:$CK$95),"",INDEX(Lists!$EJ$4:$EJ$42,MATCH(ROW()-56,$CK$57:$CK$95,0)))</f>
        <v/>
      </c>
      <c r="CM80">
        <f>CM79+IF(AND(Lists!$EO$27&lt;&gt;"",ISNUMBER(SEARCH($AB$4,Lists!$EO$27))),1,0)</f>
        <v/>
      </c>
      <c r="CN80">
        <f>IF(ROW()-56&gt;MAX($CM$57:$CM$95),"",INDEX(Lists!$EO$4:$EO$42,MATCH(ROW()-56,$CM$57:$CM$95,0)))</f>
        <v/>
      </c>
      <c r="CO80">
        <f>CO79+IF(AND(Lists!$ET$27&lt;&gt;"",ISNUMBER(SEARCH($AC$4,Lists!$ET$27))),1,0)</f>
        <v/>
      </c>
      <c r="CP80">
        <f>IF(ROW()-56&gt;MAX($CO$57:$CO$95),"",INDEX(Lists!$ET$4:$ET$42,MATCH(ROW()-56,$CO$57:$CO$95,0)))</f>
        <v/>
      </c>
      <c r="CQ80">
        <f>CQ79+IF(AND(Lists!$EY$27&lt;&gt;"",ISNUMBER(SEARCH($AD$4,Lists!$EY$27))),1,0)</f>
        <v/>
      </c>
      <c r="CR80">
        <f>IF(ROW()-56&gt;MAX($CQ$57:$CQ$95),"",INDEX(Lists!$EY$4:$EY$42,MATCH(ROW()-56,$CQ$57:$CQ$95,0)))</f>
        <v/>
      </c>
      <c r="CS80">
        <f>CS79+IF(AND(Lists!$FD$27&lt;&gt;"",ISNUMBER(SEARCH($AE$4,Lists!$FD$27))),1,0)</f>
        <v/>
      </c>
      <c r="CT80">
        <f>IF(ROW()-56&gt;MAX($CS$57:$CS$95),"",INDEX(Lists!$FD$4:$FD$42,MATCH(ROW()-56,$CS$57:$CS$95,0)))</f>
        <v/>
      </c>
      <c r="CU80">
        <f>CU79+IF(AND(Lists!$FI$27&lt;&gt;"",ISNUMBER(SEARCH($AG$4,Lists!$FI$27))),1,0)</f>
        <v/>
      </c>
      <c r="CV80">
        <f>IF(ROW()-56&gt;MAX($CU$57:$CU$95),"",INDEX(Lists!$FI$4:$FI$42,MATCH(ROW()-56,$CU$57:$CU$95,0)))</f>
        <v/>
      </c>
      <c r="CW80">
        <f>CW79+IF(AND(Lists!$FN$27&lt;&gt;"",ISNUMBER(SEARCH($AH$4,Lists!$FN$27))),1,0)</f>
        <v/>
      </c>
      <c r="CX80">
        <f>IF(ROW()-56&gt;MAX($CW$57:$CW$95),"",INDEX(Lists!$FN$4:$FN$42,MATCH(ROW()-56,$CW$57:$CW$95,0)))</f>
        <v/>
      </c>
      <c r="CY80">
        <f>CY79+IF(AND(Lists!$FS$27&lt;&gt;"",ISNUMBER(SEARCH($AI$4,Lists!$FS$27))),1,0)</f>
        <v/>
      </c>
      <c r="CZ80">
        <f>IF(ROW()-56&gt;MAX($CY$57:$CY$95),"",INDEX(Lists!$FS$4:$FS$42,MATCH(ROW()-56,$CY$57:$CY$95,0)))</f>
        <v/>
      </c>
      <c r="DA80">
        <f>DA79+IF(AND(Lists!$FX$27&lt;&gt;"",ISNUMBER(SEARCH($AF$4,Lists!$FX$27))),1,0)</f>
        <v/>
      </c>
      <c r="DB80">
        <f>IF(ROW()-56&gt;MAX($DA$57:$DA$95),"",INDEX(Lists!$FX$4:$FX$42,MATCH(ROW()-56,$DA$57:$DA$95,0)))</f>
        <v/>
      </c>
      <c r="DG80">
        <f>IF($B$4="",1,IF($B$4="(blank)",--('Final Calculation Sheet'!$F$25=""),IF($B$4="(nonblank)",--('Final Calculation Sheet'!$F$25&lt;&gt;""),--ISNUMBER(SEARCH($B$4,'Final Calculation Sheet'!$F$25)))))</f>
        <v/>
      </c>
      <c r="DH80">
        <f>IF($C$4="",1,IF($C$4="(blank)",--('Final Calculation Sheet'!$G$25=""),IF($C$4="(nonblank)",--('Final Calculation Sheet'!$G$25&lt;&gt;""),--ISNUMBER(SEARCH($C$4,'Final Calculation Sheet'!$G$25)))))</f>
        <v/>
      </c>
      <c r="DI80">
        <f>IF($D$4="",1,IF($D$4="(blank)",--('Final Calculation Sheet'!$B$25=""),IF($D$4="(nonblank)",--('Final Calculation Sheet'!$B$25&lt;&gt;""),--ISNUMBER(SEARCH($D$4,'Final Calculation Sheet'!$B$25)))))</f>
        <v/>
      </c>
      <c r="DJ80">
        <f>IF($E$4="",1,IF($E$4="(blank)",--('Final Calculation Sheet'!$D$25=""),IF($E$4="(nonblank)",--('Final Calculation Sheet'!$D$25&lt;&gt;""),--ISNUMBER(SEARCH($E$4,'Final Calculation Sheet'!$D$25)))))</f>
        <v/>
      </c>
      <c r="DK80">
        <f>IF($F$4="",1,IF($F$4="(blank)",--('Final Calculation Sheet'!$A$25=""),IF($F$4="(nonblank)",--('Final Calculation Sheet'!$A$25&lt;&gt;""),--ISNUMBER(SEARCH($F$4,'Final Calculation Sheet'!$A$25)))))</f>
        <v/>
      </c>
      <c r="DL80">
        <f>IF($G$4="",1,IF($G$4="(blank)",--('Final Calculation Sheet'!$E$25=""),IF($G$4="(nonblank)",--('Final Calculation Sheet'!$E$25&lt;&gt;""),--ISNUMBER(SEARCH($G$4,'Final Calculation Sheet'!$E$25)))))</f>
        <v/>
      </c>
      <c r="DM80">
        <f>IF($H$4="",1,IF($H$4="(blank)",--('Final Calculation Sheet'!$C$25=""),IF($H$4="(nonblank)",--('Final Calculation Sheet'!$C$25&lt;&gt;""),--ISNUMBER(SEARCH($H$4,'Final Calculation Sheet'!$C$25)))))</f>
        <v/>
      </c>
      <c r="DN80">
        <f>IF($I$4="",1,IF($I$4="(blank)",--('Final Calculation Sheet'!$H$25=""),IF($I$4="(nonblank)",--('Final Calculation Sheet'!$H$25&lt;&gt;""),--ISNUMBER(SEARCH($I$4,'Final Calculation Sheet'!$H$25)))))</f>
        <v/>
      </c>
      <c r="DO80">
        <f>IF($J$4="",1,IF($J$4="(blank)",--('Final Calculation Sheet'!$I$25=""),IF($J$4="(nonblank)",--('Final Calculation Sheet'!$I$25&lt;&gt;""),--ISNUMBER(SEARCH($J$4,'Final Calculation Sheet'!$I$25)))))</f>
        <v/>
      </c>
      <c r="DP80">
        <f>IF($K$4="",1,IF($K$4="(blank)",--('Final Calculation Sheet'!$J$25=""),IF($K$4="(nonblank)",--('Final Calculation Sheet'!$J$25&lt;&gt;""),--ISNUMBER(SEARCH($K$4,'Final Calculation Sheet'!$J$25)))))</f>
        <v/>
      </c>
      <c r="DQ80">
        <f>IF($L$4="",1,IF($L$4="(blank)",--('Final Calculation Sheet'!$K$25=""),IF($L$4="(nonblank)",--('Final Calculation Sheet'!$K$25&lt;&gt;""),--ISNUMBER(SEARCH($L$4,'Final Calculation Sheet'!$K$25)))))</f>
        <v/>
      </c>
      <c r="DR80">
        <f>IF($M$4="",1,IF($M$4="(blank)",--('Final Calculation Sheet'!$L$25=""),IF($M$4="(nonblank)",--('Final Calculation Sheet'!$L$25&lt;&gt;""),--ISNUMBER(SEARCH($M$4,'Final Calculation Sheet'!$L$25)))))</f>
        <v/>
      </c>
      <c r="DS80">
        <f>IF($N$4="",1,IF($N$4="(blank)",--('Final Calculation Sheet'!$M$25=""),IF($N$4="(nonblank)",--('Final Calculation Sheet'!$M$25&lt;&gt;""),--ISNUMBER(SEARCH($N$4,'Final Calculation Sheet'!$M$25)))))</f>
        <v/>
      </c>
      <c r="DT80">
        <f>IF($O$4="",1,IF($O$4="(blank)",--('Final Calculation Sheet'!$N$25=""),IF($O$4="(nonblank)",--('Final Calculation Sheet'!$N$25&lt;&gt;""),--ISNUMBER(SEARCH($O$4,'Final Calculation Sheet'!$N$25)))))</f>
        <v/>
      </c>
      <c r="DU80">
        <f>IF($P$4="",1,IF($P$4="(blank)",--('Final Calculation Sheet'!$O$25=""),IF($P$4="(nonblank)",--('Final Calculation Sheet'!$O$25&lt;&gt;""),--ISNUMBER(SEARCH($P$4,'Final Calculation Sheet'!$O$25)))))</f>
        <v/>
      </c>
      <c r="DV80">
        <f>IF($Q$4="",1,IF($Q$4="(blank)",--('Final Calculation Sheet'!$P$25=""),IF($Q$4="(nonblank)",--('Final Calculation Sheet'!$P$25&lt;&gt;""),--ISNUMBER(SEARCH($Q$4,'Final Calculation Sheet'!$P$25)))))</f>
        <v/>
      </c>
      <c r="DW80">
        <f>IF($R$4="",1,IF($R$4="(blank)",--('Final Calculation Sheet'!$Q$25=""),IF($R$4="(nonblank)",--('Final Calculation Sheet'!$Q$25&lt;&gt;""),--ISNUMBER(SEARCH($R$4,'Final Calculation Sheet'!$Q$25)))))</f>
        <v/>
      </c>
      <c r="DX80">
        <f>IF($S$4="",1,IF($S$4="(blank)",--('Final Calculation Sheet'!$R$25=""),IF($S$4="(nonblank)",--('Final Calculation Sheet'!$R$25&lt;&gt;""),--ISNUMBER(SEARCH($S$4,'Final Calculation Sheet'!$R$25)))))</f>
        <v/>
      </c>
      <c r="DY80">
        <f>IF($T$4="",1,IF($T$4="(blank)",--('Final Calculation Sheet'!$S$25=""),IF($T$4="(nonblank)",--('Final Calculation Sheet'!$S$25&lt;&gt;""),--ISNUMBER(SEARCH($T$4,'Final Calculation Sheet'!$S$25)))))</f>
        <v/>
      </c>
      <c r="DZ80">
        <f>IF($U$4="",1,IF($U$4="(blank)",--('Final Calculation Sheet'!$T$25=""),IF($U$4="(nonblank)",--('Final Calculation Sheet'!$T$25&lt;&gt;""),--ISNUMBER(SEARCH($U$4,'Final Calculation Sheet'!$T$25)))))</f>
        <v/>
      </c>
      <c r="EA80">
        <f>IF($V$4="",1,IF($V$4="(blank)",--('Final Calculation Sheet'!$U$25=""),IF($V$4="(nonblank)",--('Final Calculation Sheet'!$U$25&lt;&gt;""),--ISNUMBER(SEARCH($V$4,'Final Calculation Sheet'!$U$25)))))</f>
        <v/>
      </c>
      <c r="EB80">
        <f>IF($W$4="",1,IF($W$4="(blank)",--('Final Calculation Sheet'!$V$25=""),IF($W$4="(nonblank)",--('Final Calculation Sheet'!$V$25&lt;&gt;""),--ISNUMBER(SEARCH($W$4,'Final Calculation Sheet'!$V$25)))))</f>
        <v/>
      </c>
      <c r="EC80">
        <f>IF($X$4="",1,IF($X$4="(blank)",--('Final Calculation Sheet'!$W$25=""),IF($X$4="(nonblank)",--('Final Calculation Sheet'!$W$25&lt;&gt;""),--ISNUMBER(SEARCH($X$4,'Final Calculation Sheet'!$W$25)))))</f>
        <v/>
      </c>
      <c r="ED80">
        <f>IF($Y$4="",1,IF($Y$4="(blank)",--('Final Calculation Sheet'!$X$25=""),IF($Y$4="(nonblank)",--('Final Calculation Sheet'!$X$25&lt;&gt;""),--ISNUMBER(SEARCH($Y$4,'Final Calculation Sheet'!$X$25)))))</f>
        <v/>
      </c>
      <c r="EE80">
        <f>IF($Z$4="",1,IF($Z$4="(blank)",--('Final Calculation Sheet'!$Y$25=""),IF($Z$4="(nonblank)",--('Final Calculation Sheet'!$Y$25&lt;&gt;""),--ISNUMBER(SEARCH($Z$4,'Final Calculation Sheet'!$Y$25)))))</f>
        <v/>
      </c>
      <c r="EF80">
        <f>IF($AA$4="",1,IF($AA$4="(blank)",--('Final Calculation Sheet'!$Z$25=""),IF($AA$4="(nonblank)",--('Final Calculation Sheet'!$Z$25&lt;&gt;""),--ISNUMBER(SEARCH($AA$4,'Final Calculation Sheet'!$Z$25)))))</f>
        <v/>
      </c>
      <c r="EG80">
        <f>IF($AB$4="",1,IF($AB$4="(blank)",--('Final Calculation Sheet'!$AA$25=""),IF($AB$4="(nonblank)",--('Final Calculation Sheet'!$AA$25&lt;&gt;""),--ISNUMBER(SEARCH($AB$4,'Final Calculation Sheet'!$AA$25)))))</f>
        <v/>
      </c>
      <c r="EH80">
        <f>IF($AC$4="",1,IF($AC$4="(blank)",--('Final Calculation Sheet'!$AB$25=""),IF($AC$4="(nonblank)",--('Final Calculation Sheet'!$AB$25&lt;&gt;""),--ISNUMBER(SEARCH($AC$4,'Final Calculation Sheet'!$AB$25)))))</f>
        <v/>
      </c>
      <c r="EI80">
        <f>IF($AD$4="",1,IF($AD$4="(blank)",--('Final Calculation Sheet'!$AC$25=""),IF($AD$4="(nonblank)",--('Final Calculation Sheet'!$AC$25&lt;&gt;""),--ISNUMBER(SEARCH($AD$4,'Final Calculation Sheet'!$AC$25)))))</f>
        <v/>
      </c>
      <c r="EJ80">
        <f>IF($AE$4="",1,IF($AE$4="(blank)",--('Final Calculation Sheet'!$AD$25=""),IF($AE$4="(nonblank)",--('Final Calculation Sheet'!$AD$25&lt;&gt;""),--ISNUMBER(SEARCH($AE$4,'Final Calculation Sheet'!$AD$25)))))</f>
        <v/>
      </c>
      <c r="EK80">
        <f>IF($AF$4="",1,IF($AF$4="(blank)",--(IF('Final Calculation Sheet'!$AD$25&lt;=5,"SETTLED","OUTSTANDING")=""),IF($AF$4="(nonblank)",--(IF('Final Calculation Sheet'!$AD$25&lt;=5,"SETTLED","OUTSTANDING")&lt;&gt;""),--ISNUMBER(SEARCH($AF$4,IF('Final Calculation Sheet'!$AD$25&lt;=5,"SETTLED","OUTSTANDING"))))))</f>
        <v/>
      </c>
      <c r="EL80">
        <f>IF($AG$4="",1,IF($AG$4="(blank)",--('Final Calculation Sheet'!$AF$25=""),IF($AG$4="(nonblank)",--('Final Calculation Sheet'!$AF$25&lt;&gt;""),--ISNUMBER(SEARCH($AG$4,'Final Calculation Sheet'!$AF$25)))))</f>
        <v/>
      </c>
      <c r="EM80">
        <f>IF($AH$4="",1,IF($AH$4="(blank)",--('Final Calculation Sheet'!$AG$25=""),IF($AH$4="(nonblank)",--('Final Calculation Sheet'!$AG$25&lt;&gt;""),--ISNUMBER(SEARCH($AH$4,'Final Calculation Sheet'!$AG$25)))))</f>
        <v/>
      </c>
      <c r="EN80">
        <f>IF($AI$4="",1,IF($AI$4="(blank)",--('Final Calculation Sheet'!$AH$25=""),IF($AI$4="(nonblank)",--('Final Calculation Sheet'!$AH$25&lt;&gt;""),--ISNUMBER(SEARCH($AI$4,'Final Calculation Sheet'!$AH$25)))))</f>
        <v/>
      </c>
    </row>
    <row r="81">
      <c r="AM81">
        <f>AM80+IF(AND(Lists!$O$28&lt;&gt;"",ISNUMBER(SEARCH($B$4,Lists!$O$28))),1,0)</f>
        <v/>
      </c>
      <c r="AN81">
        <f>IF(ROW()-56&gt;MAX($AM$57:$AM$95),"",INDEX(Lists!$O$4:$O$42,MATCH(ROW()-56,$AM$57:$AM$95,0)))</f>
        <v/>
      </c>
      <c r="AO81">
        <f>AO80+IF(AND(Lists!$T$28&lt;&gt;"",ISNUMBER(SEARCH($C$4,Lists!$T$28))),1,0)</f>
        <v/>
      </c>
      <c r="AP81">
        <f>IF(ROW()-56&gt;MAX($AO$57:$AO$95),"",INDEX(Lists!$T$4:$T$42,MATCH(ROW()-56,$AO$57:$AO$95,0)))</f>
        <v/>
      </c>
      <c r="AQ81">
        <f>AQ80+IF(AND(Lists!$Y$28&lt;&gt;"",ISNUMBER(SEARCH($D$4,Lists!$Y$28))),1,0)</f>
        <v/>
      </c>
      <c r="AR81">
        <f>IF(ROW()-56&gt;MAX($AQ$57:$AQ$95),"",INDEX(Lists!$Y$4:$Y$42,MATCH(ROW()-56,$AQ$57:$AQ$95,0)))</f>
        <v/>
      </c>
      <c r="AS81">
        <f>AS80+IF(AND(Lists!$AD$28&lt;&gt;"",ISNUMBER(SEARCH($E$4,Lists!$AD$28))),1,0)</f>
        <v/>
      </c>
      <c r="AT81">
        <f>IF(ROW()-56&gt;MAX($AS$57:$AS$95),"",INDEX(Lists!$AD$4:$AD$42,MATCH(ROW()-56,$AS$57:$AS$95,0)))</f>
        <v/>
      </c>
      <c r="AU81">
        <f>AU80+IF(AND(Lists!$AI$28&lt;&gt;"",ISNUMBER(SEARCH($F$4,Lists!$AI$28))),1,0)</f>
        <v/>
      </c>
      <c r="AV81">
        <f>IF(ROW()-56&gt;MAX($AU$57:$AU$95),"",INDEX(Lists!$AI$4:$AI$42,MATCH(ROW()-56,$AU$57:$AU$95,0)))</f>
        <v/>
      </c>
      <c r="AW81">
        <f>AW80+IF(AND(Lists!$AN$28&lt;&gt;"",ISNUMBER(SEARCH($G$4,Lists!$AN$28))),1,0)</f>
        <v/>
      </c>
      <c r="AX81">
        <f>IF(ROW()-56&gt;MAX($AW$57:$AW$95),"",INDEX(Lists!$AN$4:$AN$42,MATCH(ROW()-56,$AW$57:$AW$95,0)))</f>
        <v/>
      </c>
      <c r="AY81">
        <f>AY80+IF(AND(Lists!$AS$28&lt;&gt;"",ISNUMBER(SEARCH($H$4,Lists!$AS$28))),1,0)</f>
        <v/>
      </c>
      <c r="AZ81">
        <f>IF(ROW()-56&gt;MAX($AY$57:$AY$95),"",INDEX(Lists!$AS$4:$AS$42,MATCH(ROW()-56,$AY$57:$AY$95,0)))</f>
        <v/>
      </c>
      <c r="BA81">
        <f>BA80+IF(AND(Lists!$AX$28&lt;&gt;"",ISNUMBER(SEARCH($I$4,Lists!$AX$28))),1,0)</f>
        <v/>
      </c>
      <c r="BB81">
        <f>IF(ROW()-56&gt;MAX($BA$57:$BA$95),"",INDEX(Lists!$AX$4:$AX$42,MATCH(ROW()-56,$BA$57:$BA$95,0)))</f>
        <v/>
      </c>
      <c r="BC81">
        <f>BC80+IF(AND(Lists!$BC$28&lt;&gt;"",ISNUMBER(SEARCH($J$4,Lists!$BC$28))),1,0)</f>
        <v/>
      </c>
      <c r="BD81">
        <f>IF(ROW()-56&gt;MAX($BC$57:$BC$95),"",INDEX(Lists!$BC$4:$BC$42,MATCH(ROW()-56,$BC$57:$BC$95,0)))</f>
        <v/>
      </c>
      <c r="BE81">
        <f>BE80+IF(AND(Lists!$BH$28&lt;&gt;"",ISNUMBER(SEARCH($K$4,Lists!$BH$28))),1,0)</f>
        <v/>
      </c>
      <c r="BF81">
        <f>IF(ROW()-56&gt;MAX($BE$57:$BE$95),"",INDEX(Lists!$BH$4:$BH$42,MATCH(ROW()-56,$BE$57:$BE$95,0)))</f>
        <v/>
      </c>
      <c r="BG81">
        <f>BG80+IF(AND(Lists!$BM$28&lt;&gt;"",ISNUMBER(SEARCH($L$4,Lists!$BM$28))),1,0)</f>
        <v/>
      </c>
      <c r="BH81">
        <f>IF(ROW()-56&gt;MAX($BG$57:$BG$95),"",INDEX(Lists!$BM$4:$BM$42,MATCH(ROW()-56,$BG$57:$BG$95,0)))</f>
        <v/>
      </c>
      <c r="BI81">
        <f>BI80+IF(AND(Lists!$BR$28&lt;&gt;"",ISNUMBER(SEARCH($M$4,Lists!$BR$28))),1,0)</f>
        <v/>
      </c>
      <c r="BJ81">
        <f>IF(ROW()-56&gt;MAX($BI$57:$BI$95),"",INDEX(Lists!$BR$4:$BR$42,MATCH(ROW()-56,$BI$57:$BI$95,0)))</f>
        <v/>
      </c>
      <c r="BK81">
        <f>BK80+IF(AND(Lists!$BW$28&lt;&gt;"",ISNUMBER(SEARCH($N$4,Lists!$BW$28))),1,0)</f>
        <v/>
      </c>
      <c r="BL81">
        <f>IF(ROW()-56&gt;MAX($BK$57:$BK$95),"",INDEX(Lists!$BW$4:$BW$42,MATCH(ROW()-56,$BK$57:$BK$95,0)))</f>
        <v/>
      </c>
      <c r="BM81">
        <f>BM80+IF(AND(Lists!$CB$28&lt;&gt;"",ISNUMBER(SEARCH($O$4,Lists!$CB$28))),1,0)</f>
        <v/>
      </c>
      <c r="BN81">
        <f>IF(ROW()-56&gt;MAX($BM$57:$BM$95),"",INDEX(Lists!$CB$4:$CB$42,MATCH(ROW()-56,$BM$57:$BM$95,0)))</f>
        <v/>
      </c>
      <c r="BO81">
        <f>BO80+IF(AND(Lists!$CG$28&lt;&gt;"",ISNUMBER(SEARCH($P$4,Lists!$CG$28))),1,0)</f>
        <v/>
      </c>
      <c r="BP81">
        <f>IF(ROW()-56&gt;MAX($BO$57:$BO$95),"",INDEX(Lists!$CG$4:$CG$42,MATCH(ROW()-56,$BO$57:$BO$95,0)))</f>
        <v/>
      </c>
      <c r="BQ81">
        <f>BQ80+IF(AND(Lists!$CL$28&lt;&gt;"",ISNUMBER(SEARCH($Q$4,Lists!$CL$28))),1,0)</f>
        <v/>
      </c>
      <c r="BR81">
        <f>IF(ROW()-56&gt;MAX($BQ$57:$BQ$95),"",INDEX(Lists!$CL$4:$CL$42,MATCH(ROW()-56,$BQ$57:$BQ$95,0)))</f>
        <v/>
      </c>
      <c r="BS81">
        <f>BS80+IF(AND(Lists!$CQ$28&lt;&gt;"",ISNUMBER(SEARCH($R$4,Lists!$CQ$28))),1,0)</f>
        <v/>
      </c>
      <c r="BT81">
        <f>IF(ROW()-56&gt;MAX($BS$57:$BS$95),"",INDEX(Lists!$CQ$4:$CQ$42,MATCH(ROW()-56,$BS$57:$BS$95,0)))</f>
        <v/>
      </c>
      <c r="BU81">
        <f>BU80+IF(AND(Lists!$CV$28&lt;&gt;"",ISNUMBER(SEARCH($S$4,Lists!$CV$28))),1,0)</f>
        <v/>
      </c>
      <c r="BV81">
        <f>IF(ROW()-56&gt;MAX($BU$57:$BU$95),"",INDEX(Lists!$CV$4:$CV$42,MATCH(ROW()-56,$BU$57:$BU$95,0)))</f>
        <v/>
      </c>
      <c r="BW81">
        <f>BW80+IF(AND(Lists!$DA$28&lt;&gt;"",ISNUMBER(SEARCH($T$4,Lists!$DA$28))),1,0)</f>
        <v/>
      </c>
      <c r="BX81">
        <f>IF(ROW()-56&gt;MAX($BW$57:$BW$95),"",INDEX(Lists!$DA$4:$DA$42,MATCH(ROW()-56,$BW$57:$BW$95,0)))</f>
        <v/>
      </c>
      <c r="BY81">
        <f>BY80+IF(AND(Lists!$DF$28&lt;&gt;"",ISNUMBER(SEARCH($U$4,Lists!$DF$28))),1,0)</f>
        <v/>
      </c>
      <c r="BZ81">
        <f>IF(ROW()-56&gt;MAX($BY$57:$BY$95),"",INDEX(Lists!$DF$4:$DF$42,MATCH(ROW()-56,$BY$57:$BY$95,0)))</f>
        <v/>
      </c>
      <c r="CA81">
        <f>CA80+IF(AND(Lists!$DK$28&lt;&gt;"",ISNUMBER(SEARCH($V$4,Lists!$DK$28))),1,0)</f>
        <v/>
      </c>
      <c r="CB81">
        <f>IF(ROW()-56&gt;MAX($CA$57:$CA$95),"",INDEX(Lists!$DK$4:$DK$42,MATCH(ROW()-56,$CA$57:$CA$95,0)))</f>
        <v/>
      </c>
      <c r="CC81">
        <f>CC80+IF(AND(Lists!$DP$28&lt;&gt;"",ISNUMBER(SEARCH($W$4,Lists!$DP$28))),1,0)</f>
        <v/>
      </c>
      <c r="CD81">
        <f>IF(ROW()-56&gt;MAX($CC$57:$CC$95),"",INDEX(Lists!$DP$4:$DP$42,MATCH(ROW()-56,$CC$57:$CC$95,0)))</f>
        <v/>
      </c>
      <c r="CE81">
        <f>CE80+IF(AND(Lists!$DU$28&lt;&gt;"",ISNUMBER(SEARCH($X$4,Lists!$DU$28))),1,0)</f>
        <v/>
      </c>
      <c r="CF81">
        <f>IF(ROW()-56&gt;MAX($CE$57:$CE$95),"",INDEX(Lists!$DU$4:$DU$42,MATCH(ROW()-56,$CE$57:$CE$95,0)))</f>
        <v/>
      </c>
      <c r="CG81">
        <f>CG80+IF(AND(Lists!$DZ$28&lt;&gt;"",ISNUMBER(SEARCH($Y$4,Lists!$DZ$28))),1,0)</f>
        <v/>
      </c>
      <c r="CH81">
        <f>IF(ROW()-56&gt;MAX($CG$57:$CG$95),"",INDEX(Lists!$DZ$4:$DZ$42,MATCH(ROW()-56,$CG$57:$CG$95,0)))</f>
        <v/>
      </c>
      <c r="CI81">
        <f>CI80+IF(AND(Lists!$EE$28&lt;&gt;"",ISNUMBER(SEARCH($Z$4,Lists!$EE$28))),1,0)</f>
        <v/>
      </c>
      <c r="CJ81">
        <f>IF(ROW()-56&gt;MAX($CI$57:$CI$95),"",INDEX(Lists!$EE$4:$EE$42,MATCH(ROW()-56,$CI$57:$CI$95,0)))</f>
        <v/>
      </c>
      <c r="CK81">
        <f>CK80+IF(AND(Lists!$EJ$28&lt;&gt;"",ISNUMBER(SEARCH($AA$4,Lists!$EJ$28))),1,0)</f>
        <v/>
      </c>
      <c r="CL81">
        <f>IF(ROW()-56&gt;MAX($CK$57:$CK$95),"",INDEX(Lists!$EJ$4:$EJ$42,MATCH(ROW()-56,$CK$57:$CK$95,0)))</f>
        <v/>
      </c>
      <c r="CM81">
        <f>CM80+IF(AND(Lists!$EO$28&lt;&gt;"",ISNUMBER(SEARCH($AB$4,Lists!$EO$28))),1,0)</f>
        <v/>
      </c>
      <c r="CN81">
        <f>IF(ROW()-56&gt;MAX($CM$57:$CM$95),"",INDEX(Lists!$EO$4:$EO$42,MATCH(ROW()-56,$CM$57:$CM$95,0)))</f>
        <v/>
      </c>
      <c r="CO81">
        <f>CO80+IF(AND(Lists!$ET$28&lt;&gt;"",ISNUMBER(SEARCH($AC$4,Lists!$ET$28))),1,0)</f>
        <v/>
      </c>
      <c r="CP81">
        <f>IF(ROW()-56&gt;MAX($CO$57:$CO$95),"",INDEX(Lists!$ET$4:$ET$42,MATCH(ROW()-56,$CO$57:$CO$95,0)))</f>
        <v/>
      </c>
      <c r="CQ81">
        <f>CQ80+IF(AND(Lists!$EY$28&lt;&gt;"",ISNUMBER(SEARCH($AD$4,Lists!$EY$28))),1,0)</f>
        <v/>
      </c>
      <c r="CR81">
        <f>IF(ROW()-56&gt;MAX($CQ$57:$CQ$95),"",INDEX(Lists!$EY$4:$EY$42,MATCH(ROW()-56,$CQ$57:$CQ$95,0)))</f>
        <v/>
      </c>
      <c r="CS81">
        <f>CS80+IF(AND(Lists!$FD$28&lt;&gt;"",ISNUMBER(SEARCH($AE$4,Lists!$FD$28))),1,0)</f>
        <v/>
      </c>
      <c r="CT81">
        <f>IF(ROW()-56&gt;MAX($CS$57:$CS$95),"",INDEX(Lists!$FD$4:$FD$42,MATCH(ROW()-56,$CS$57:$CS$95,0)))</f>
        <v/>
      </c>
      <c r="CU81">
        <f>CU80+IF(AND(Lists!$FI$28&lt;&gt;"",ISNUMBER(SEARCH($AG$4,Lists!$FI$28))),1,0)</f>
        <v/>
      </c>
      <c r="CV81">
        <f>IF(ROW()-56&gt;MAX($CU$57:$CU$95),"",INDEX(Lists!$FI$4:$FI$42,MATCH(ROW()-56,$CU$57:$CU$95,0)))</f>
        <v/>
      </c>
      <c r="CW81">
        <f>CW80+IF(AND(Lists!$FN$28&lt;&gt;"",ISNUMBER(SEARCH($AH$4,Lists!$FN$28))),1,0)</f>
        <v/>
      </c>
      <c r="CX81">
        <f>IF(ROW()-56&gt;MAX($CW$57:$CW$95),"",INDEX(Lists!$FN$4:$FN$42,MATCH(ROW()-56,$CW$57:$CW$95,0)))</f>
        <v/>
      </c>
      <c r="CY81">
        <f>CY80+IF(AND(Lists!$FS$28&lt;&gt;"",ISNUMBER(SEARCH($AI$4,Lists!$FS$28))),1,0)</f>
        <v/>
      </c>
      <c r="CZ81">
        <f>IF(ROW()-56&gt;MAX($CY$57:$CY$95),"",INDEX(Lists!$FS$4:$FS$42,MATCH(ROW()-56,$CY$57:$CY$95,0)))</f>
        <v/>
      </c>
      <c r="DA81">
        <f>DA80+IF(AND(Lists!$FX$28&lt;&gt;"",ISNUMBER(SEARCH($AF$4,Lists!$FX$28))),1,0)</f>
        <v/>
      </c>
      <c r="DB81">
        <f>IF(ROW()-56&gt;MAX($DA$57:$DA$95),"",INDEX(Lists!$FX$4:$FX$42,MATCH(ROW()-56,$DA$57:$DA$95,0)))</f>
        <v/>
      </c>
      <c r="DG81">
        <f>IF($B$4="",1,IF($B$4="(blank)",--('Final Calculation Sheet'!$F$26=""),IF($B$4="(nonblank)",--('Final Calculation Sheet'!$F$26&lt;&gt;""),--ISNUMBER(SEARCH($B$4,'Final Calculation Sheet'!$F$26)))))</f>
        <v/>
      </c>
      <c r="DH81">
        <f>IF($C$4="",1,IF($C$4="(blank)",--('Final Calculation Sheet'!$G$26=""),IF($C$4="(nonblank)",--('Final Calculation Sheet'!$G$26&lt;&gt;""),--ISNUMBER(SEARCH($C$4,'Final Calculation Sheet'!$G$26)))))</f>
        <v/>
      </c>
      <c r="DI81">
        <f>IF($D$4="",1,IF($D$4="(blank)",--('Final Calculation Sheet'!$B$26=""),IF($D$4="(nonblank)",--('Final Calculation Sheet'!$B$26&lt;&gt;""),--ISNUMBER(SEARCH($D$4,'Final Calculation Sheet'!$B$26)))))</f>
        <v/>
      </c>
      <c r="DJ81">
        <f>IF($E$4="",1,IF($E$4="(blank)",--('Final Calculation Sheet'!$D$26=""),IF($E$4="(nonblank)",--('Final Calculation Sheet'!$D$26&lt;&gt;""),--ISNUMBER(SEARCH($E$4,'Final Calculation Sheet'!$D$26)))))</f>
        <v/>
      </c>
      <c r="DK81">
        <f>IF($F$4="",1,IF($F$4="(blank)",--('Final Calculation Sheet'!$A$26=""),IF($F$4="(nonblank)",--('Final Calculation Sheet'!$A$26&lt;&gt;""),--ISNUMBER(SEARCH($F$4,'Final Calculation Sheet'!$A$26)))))</f>
        <v/>
      </c>
      <c r="DL81">
        <f>IF($G$4="",1,IF($G$4="(blank)",--('Final Calculation Sheet'!$E$26=""),IF($G$4="(nonblank)",--('Final Calculation Sheet'!$E$26&lt;&gt;""),--ISNUMBER(SEARCH($G$4,'Final Calculation Sheet'!$E$26)))))</f>
        <v/>
      </c>
      <c r="DM81">
        <f>IF($H$4="",1,IF($H$4="(blank)",--('Final Calculation Sheet'!$C$26=""),IF($H$4="(nonblank)",--('Final Calculation Sheet'!$C$26&lt;&gt;""),--ISNUMBER(SEARCH($H$4,'Final Calculation Sheet'!$C$26)))))</f>
        <v/>
      </c>
      <c r="DN81">
        <f>IF($I$4="",1,IF($I$4="(blank)",--('Final Calculation Sheet'!$H$26=""),IF($I$4="(nonblank)",--('Final Calculation Sheet'!$H$26&lt;&gt;""),--ISNUMBER(SEARCH($I$4,'Final Calculation Sheet'!$H$26)))))</f>
        <v/>
      </c>
      <c r="DO81">
        <f>IF($J$4="",1,IF($J$4="(blank)",--('Final Calculation Sheet'!$I$26=""),IF($J$4="(nonblank)",--('Final Calculation Sheet'!$I$26&lt;&gt;""),--ISNUMBER(SEARCH($J$4,'Final Calculation Sheet'!$I$26)))))</f>
        <v/>
      </c>
      <c r="DP81">
        <f>IF($K$4="",1,IF($K$4="(blank)",--('Final Calculation Sheet'!$J$26=""),IF($K$4="(nonblank)",--('Final Calculation Sheet'!$J$26&lt;&gt;""),--ISNUMBER(SEARCH($K$4,'Final Calculation Sheet'!$J$26)))))</f>
        <v/>
      </c>
      <c r="DQ81">
        <f>IF($L$4="",1,IF($L$4="(blank)",--('Final Calculation Sheet'!$K$26=""),IF($L$4="(nonblank)",--('Final Calculation Sheet'!$K$26&lt;&gt;""),--ISNUMBER(SEARCH($L$4,'Final Calculation Sheet'!$K$26)))))</f>
        <v/>
      </c>
      <c r="DR81">
        <f>IF($M$4="",1,IF($M$4="(blank)",--('Final Calculation Sheet'!$L$26=""),IF($M$4="(nonblank)",--('Final Calculation Sheet'!$L$26&lt;&gt;""),--ISNUMBER(SEARCH($M$4,'Final Calculation Sheet'!$L$26)))))</f>
        <v/>
      </c>
      <c r="DS81">
        <f>IF($N$4="",1,IF($N$4="(blank)",--('Final Calculation Sheet'!$M$26=""),IF($N$4="(nonblank)",--('Final Calculation Sheet'!$M$26&lt;&gt;""),--ISNUMBER(SEARCH($N$4,'Final Calculation Sheet'!$M$26)))))</f>
        <v/>
      </c>
      <c r="DT81">
        <f>IF($O$4="",1,IF($O$4="(blank)",--('Final Calculation Sheet'!$N$26=""),IF($O$4="(nonblank)",--('Final Calculation Sheet'!$N$26&lt;&gt;""),--ISNUMBER(SEARCH($O$4,'Final Calculation Sheet'!$N$26)))))</f>
        <v/>
      </c>
      <c r="DU81">
        <f>IF($P$4="",1,IF($P$4="(blank)",--('Final Calculation Sheet'!$O$26=""),IF($P$4="(nonblank)",--('Final Calculation Sheet'!$O$26&lt;&gt;""),--ISNUMBER(SEARCH($P$4,'Final Calculation Sheet'!$O$26)))))</f>
        <v/>
      </c>
      <c r="DV81">
        <f>IF($Q$4="",1,IF($Q$4="(blank)",--('Final Calculation Sheet'!$P$26=""),IF($Q$4="(nonblank)",--('Final Calculation Sheet'!$P$26&lt;&gt;""),--ISNUMBER(SEARCH($Q$4,'Final Calculation Sheet'!$P$26)))))</f>
        <v/>
      </c>
      <c r="DW81">
        <f>IF($R$4="",1,IF($R$4="(blank)",--('Final Calculation Sheet'!$Q$26=""),IF($R$4="(nonblank)",--('Final Calculation Sheet'!$Q$26&lt;&gt;""),--ISNUMBER(SEARCH($R$4,'Final Calculation Sheet'!$Q$26)))))</f>
        <v/>
      </c>
      <c r="DX81">
        <f>IF($S$4="",1,IF($S$4="(blank)",--('Final Calculation Sheet'!$R$26=""),IF($S$4="(nonblank)",--('Final Calculation Sheet'!$R$26&lt;&gt;""),--ISNUMBER(SEARCH($S$4,'Final Calculation Sheet'!$R$26)))))</f>
        <v/>
      </c>
      <c r="DY81">
        <f>IF($T$4="",1,IF($T$4="(blank)",--('Final Calculation Sheet'!$S$26=""),IF($T$4="(nonblank)",--('Final Calculation Sheet'!$S$26&lt;&gt;""),--ISNUMBER(SEARCH($T$4,'Final Calculation Sheet'!$S$26)))))</f>
        <v/>
      </c>
      <c r="DZ81">
        <f>IF($U$4="",1,IF($U$4="(blank)",--('Final Calculation Sheet'!$T$26=""),IF($U$4="(nonblank)",--('Final Calculation Sheet'!$T$26&lt;&gt;""),--ISNUMBER(SEARCH($U$4,'Final Calculation Sheet'!$T$26)))))</f>
        <v/>
      </c>
      <c r="EA81">
        <f>IF($V$4="",1,IF($V$4="(blank)",--('Final Calculation Sheet'!$U$26=""),IF($V$4="(nonblank)",--('Final Calculation Sheet'!$U$26&lt;&gt;""),--ISNUMBER(SEARCH($V$4,'Final Calculation Sheet'!$U$26)))))</f>
        <v/>
      </c>
      <c r="EB81">
        <f>IF($W$4="",1,IF($W$4="(blank)",--('Final Calculation Sheet'!$V$26=""),IF($W$4="(nonblank)",--('Final Calculation Sheet'!$V$26&lt;&gt;""),--ISNUMBER(SEARCH($W$4,'Final Calculation Sheet'!$V$26)))))</f>
        <v/>
      </c>
      <c r="EC81">
        <f>IF($X$4="",1,IF($X$4="(blank)",--('Final Calculation Sheet'!$W$26=""),IF($X$4="(nonblank)",--('Final Calculation Sheet'!$W$26&lt;&gt;""),--ISNUMBER(SEARCH($X$4,'Final Calculation Sheet'!$W$26)))))</f>
        <v/>
      </c>
      <c r="ED81">
        <f>IF($Y$4="",1,IF($Y$4="(blank)",--('Final Calculation Sheet'!$X$26=""),IF($Y$4="(nonblank)",--('Final Calculation Sheet'!$X$26&lt;&gt;""),--ISNUMBER(SEARCH($Y$4,'Final Calculation Sheet'!$X$26)))))</f>
        <v/>
      </c>
      <c r="EE81">
        <f>IF($Z$4="",1,IF($Z$4="(blank)",--('Final Calculation Sheet'!$Y$26=""),IF($Z$4="(nonblank)",--('Final Calculation Sheet'!$Y$26&lt;&gt;""),--ISNUMBER(SEARCH($Z$4,'Final Calculation Sheet'!$Y$26)))))</f>
        <v/>
      </c>
      <c r="EF81">
        <f>IF($AA$4="",1,IF($AA$4="(blank)",--('Final Calculation Sheet'!$Z$26=""),IF($AA$4="(nonblank)",--('Final Calculation Sheet'!$Z$26&lt;&gt;""),--ISNUMBER(SEARCH($AA$4,'Final Calculation Sheet'!$Z$26)))))</f>
        <v/>
      </c>
      <c r="EG81">
        <f>IF($AB$4="",1,IF($AB$4="(blank)",--('Final Calculation Sheet'!$AA$26=""),IF($AB$4="(nonblank)",--('Final Calculation Sheet'!$AA$26&lt;&gt;""),--ISNUMBER(SEARCH($AB$4,'Final Calculation Sheet'!$AA$26)))))</f>
        <v/>
      </c>
      <c r="EH81">
        <f>IF($AC$4="",1,IF($AC$4="(blank)",--('Final Calculation Sheet'!$AB$26=""),IF($AC$4="(nonblank)",--('Final Calculation Sheet'!$AB$26&lt;&gt;""),--ISNUMBER(SEARCH($AC$4,'Final Calculation Sheet'!$AB$26)))))</f>
        <v/>
      </c>
      <c r="EI81">
        <f>IF($AD$4="",1,IF($AD$4="(blank)",--('Final Calculation Sheet'!$AC$26=""),IF($AD$4="(nonblank)",--('Final Calculation Sheet'!$AC$26&lt;&gt;""),--ISNUMBER(SEARCH($AD$4,'Final Calculation Sheet'!$AC$26)))))</f>
        <v/>
      </c>
      <c r="EJ81">
        <f>IF($AE$4="",1,IF($AE$4="(blank)",--('Final Calculation Sheet'!$AD$26=""),IF($AE$4="(nonblank)",--('Final Calculation Sheet'!$AD$26&lt;&gt;""),--ISNUMBER(SEARCH($AE$4,'Final Calculation Sheet'!$AD$26)))))</f>
        <v/>
      </c>
      <c r="EK81">
        <f>IF($AF$4="",1,IF($AF$4="(blank)",--(IF('Final Calculation Sheet'!$AD$26&lt;=5,"SETTLED","OUTSTANDING")=""),IF($AF$4="(nonblank)",--(IF('Final Calculation Sheet'!$AD$26&lt;=5,"SETTLED","OUTSTANDING")&lt;&gt;""),--ISNUMBER(SEARCH($AF$4,IF('Final Calculation Sheet'!$AD$26&lt;=5,"SETTLED","OUTSTANDING"))))))</f>
        <v/>
      </c>
      <c r="EL81">
        <f>IF($AG$4="",1,IF($AG$4="(blank)",--('Final Calculation Sheet'!$AF$26=""),IF($AG$4="(nonblank)",--('Final Calculation Sheet'!$AF$26&lt;&gt;""),--ISNUMBER(SEARCH($AG$4,'Final Calculation Sheet'!$AF$26)))))</f>
        <v/>
      </c>
      <c r="EM81">
        <f>IF($AH$4="",1,IF($AH$4="(blank)",--('Final Calculation Sheet'!$AG$26=""),IF($AH$4="(nonblank)",--('Final Calculation Sheet'!$AG$26&lt;&gt;""),--ISNUMBER(SEARCH($AH$4,'Final Calculation Sheet'!$AG$26)))))</f>
        <v/>
      </c>
      <c r="EN81">
        <f>IF($AI$4="",1,IF($AI$4="(blank)",--('Final Calculation Sheet'!$AH$26=""),IF($AI$4="(nonblank)",--('Final Calculation Sheet'!$AH$26&lt;&gt;""),--ISNUMBER(SEARCH($AI$4,'Final Calculation Sheet'!$AH$26)))))</f>
        <v/>
      </c>
    </row>
    <row r="82">
      <c r="AM82">
        <f>AM81+IF(AND(Lists!$O$29&lt;&gt;"",ISNUMBER(SEARCH($B$4,Lists!$O$29))),1,0)</f>
        <v/>
      </c>
      <c r="AN82">
        <f>IF(ROW()-56&gt;MAX($AM$57:$AM$95),"",INDEX(Lists!$O$4:$O$42,MATCH(ROW()-56,$AM$57:$AM$95,0)))</f>
        <v/>
      </c>
      <c r="AO82">
        <f>AO81+IF(AND(Lists!$T$29&lt;&gt;"",ISNUMBER(SEARCH($C$4,Lists!$T$29))),1,0)</f>
        <v/>
      </c>
      <c r="AP82">
        <f>IF(ROW()-56&gt;MAX($AO$57:$AO$95),"",INDEX(Lists!$T$4:$T$42,MATCH(ROW()-56,$AO$57:$AO$95,0)))</f>
        <v/>
      </c>
      <c r="AQ82">
        <f>AQ81+IF(AND(Lists!$Y$29&lt;&gt;"",ISNUMBER(SEARCH($D$4,Lists!$Y$29))),1,0)</f>
        <v/>
      </c>
      <c r="AR82">
        <f>IF(ROW()-56&gt;MAX($AQ$57:$AQ$95),"",INDEX(Lists!$Y$4:$Y$42,MATCH(ROW()-56,$AQ$57:$AQ$95,0)))</f>
        <v/>
      </c>
      <c r="AS82">
        <f>AS81+IF(AND(Lists!$AD$29&lt;&gt;"",ISNUMBER(SEARCH($E$4,Lists!$AD$29))),1,0)</f>
        <v/>
      </c>
      <c r="AT82">
        <f>IF(ROW()-56&gt;MAX($AS$57:$AS$95),"",INDEX(Lists!$AD$4:$AD$42,MATCH(ROW()-56,$AS$57:$AS$95,0)))</f>
        <v/>
      </c>
      <c r="AU82">
        <f>AU81+IF(AND(Lists!$AI$29&lt;&gt;"",ISNUMBER(SEARCH($F$4,Lists!$AI$29))),1,0)</f>
        <v/>
      </c>
      <c r="AV82">
        <f>IF(ROW()-56&gt;MAX($AU$57:$AU$95),"",INDEX(Lists!$AI$4:$AI$42,MATCH(ROW()-56,$AU$57:$AU$95,0)))</f>
        <v/>
      </c>
      <c r="AW82">
        <f>AW81+IF(AND(Lists!$AN$29&lt;&gt;"",ISNUMBER(SEARCH($G$4,Lists!$AN$29))),1,0)</f>
        <v/>
      </c>
      <c r="AX82">
        <f>IF(ROW()-56&gt;MAX($AW$57:$AW$95),"",INDEX(Lists!$AN$4:$AN$42,MATCH(ROW()-56,$AW$57:$AW$95,0)))</f>
        <v/>
      </c>
      <c r="AY82">
        <f>AY81+IF(AND(Lists!$AS$29&lt;&gt;"",ISNUMBER(SEARCH($H$4,Lists!$AS$29))),1,0)</f>
        <v/>
      </c>
      <c r="AZ82">
        <f>IF(ROW()-56&gt;MAX($AY$57:$AY$95),"",INDEX(Lists!$AS$4:$AS$42,MATCH(ROW()-56,$AY$57:$AY$95,0)))</f>
        <v/>
      </c>
      <c r="BA82">
        <f>BA81+IF(AND(Lists!$AX$29&lt;&gt;"",ISNUMBER(SEARCH($I$4,Lists!$AX$29))),1,0)</f>
        <v/>
      </c>
      <c r="BB82">
        <f>IF(ROW()-56&gt;MAX($BA$57:$BA$95),"",INDEX(Lists!$AX$4:$AX$42,MATCH(ROW()-56,$BA$57:$BA$95,0)))</f>
        <v/>
      </c>
      <c r="BC82">
        <f>BC81+IF(AND(Lists!$BC$29&lt;&gt;"",ISNUMBER(SEARCH($J$4,Lists!$BC$29))),1,0)</f>
        <v/>
      </c>
      <c r="BD82">
        <f>IF(ROW()-56&gt;MAX($BC$57:$BC$95),"",INDEX(Lists!$BC$4:$BC$42,MATCH(ROW()-56,$BC$57:$BC$95,0)))</f>
        <v/>
      </c>
      <c r="BE82">
        <f>BE81+IF(AND(Lists!$BH$29&lt;&gt;"",ISNUMBER(SEARCH($K$4,Lists!$BH$29))),1,0)</f>
        <v/>
      </c>
      <c r="BF82">
        <f>IF(ROW()-56&gt;MAX($BE$57:$BE$95),"",INDEX(Lists!$BH$4:$BH$42,MATCH(ROW()-56,$BE$57:$BE$95,0)))</f>
        <v/>
      </c>
      <c r="BG82">
        <f>BG81+IF(AND(Lists!$BM$29&lt;&gt;"",ISNUMBER(SEARCH($L$4,Lists!$BM$29))),1,0)</f>
        <v/>
      </c>
      <c r="BH82">
        <f>IF(ROW()-56&gt;MAX($BG$57:$BG$95),"",INDEX(Lists!$BM$4:$BM$42,MATCH(ROW()-56,$BG$57:$BG$95,0)))</f>
        <v/>
      </c>
      <c r="BI82">
        <f>BI81+IF(AND(Lists!$BR$29&lt;&gt;"",ISNUMBER(SEARCH($M$4,Lists!$BR$29))),1,0)</f>
        <v/>
      </c>
      <c r="BJ82">
        <f>IF(ROW()-56&gt;MAX($BI$57:$BI$95),"",INDEX(Lists!$BR$4:$BR$42,MATCH(ROW()-56,$BI$57:$BI$95,0)))</f>
        <v/>
      </c>
      <c r="BK82">
        <f>BK81+IF(AND(Lists!$BW$29&lt;&gt;"",ISNUMBER(SEARCH($N$4,Lists!$BW$29))),1,0)</f>
        <v/>
      </c>
      <c r="BL82">
        <f>IF(ROW()-56&gt;MAX($BK$57:$BK$95),"",INDEX(Lists!$BW$4:$BW$42,MATCH(ROW()-56,$BK$57:$BK$95,0)))</f>
        <v/>
      </c>
      <c r="BM82">
        <f>BM81+IF(AND(Lists!$CB$29&lt;&gt;"",ISNUMBER(SEARCH($O$4,Lists!$CB$29))),1,0)</f>
        <v/>
      </c>
      <c r="BN82">
        <f>IF(ROW()-56&gt;MAX($BM$57:$BM$95),"",INDEX(Lists!$CB$4:$CB$42,MATCH(ROW()-56,$BM$57:$BM$95,0)))</f>
        <v/>
      </c>
      <c r="BO82">
        <f>BO81+IF(AND(Lists!$CG$29&lt;&gt;"",ISNUMBER(SEARCH($P$4,Lists!$CG$29))),1,0)</f>
        <v/>
      </c>
      <c r="BP82">
        <f>IF(ROW()-56&gt;MAX($BO$57:$BO$95),"",INDEX(Lists!$CG$4:$CG$42,MATCH(ROW()-56,$BO$57:$BO$95,0)))</f>
        <v/>
      </c>
      <c r="BQ82">
        <f>BQ81+IF(AND(Lists!$CL$29&lt;&gt;"",ISNUMBER(SEARCH($Q$4,Lists!$CL$29))),1,0)</f>
        <v/>
      </c>
      <c r="BR82">
        <f>IF(ROW()-56&gt;MAX($BQ$57:$BQ$95),"",INDEX(Lists!$CL$4:$CL$42,MATCH(ROW()-56,$BQ$57:$BQ$95,0)))</f>
        <v/>
      </c>
      <c r="BS82">
        <f>BS81+IF(AND(Lists!$CQ$29&lt;&gt;"",ISNUMBER(SEARCH($R$4,Lists!$CQ$29))),1,0)</f>
        <v/>
      </c>
      <c r="BT82">
        <f>IF(ROW()-56&gt;MAX($BS$57:$BS$95),"",INDEX(Lists!$CQ$4:$CQ$42,MATCH(ROW()-56,$BS$57:$BS$95,0)))</f>
        <v/>
      </c>
      <c r="BU82">
        <f>BU81+IF(AND(Lists!$CV$29&lt;&gt;"",ISNUMBER(SEARCH($S$4,Lists!$CV$29))),1,0)</f>
        <v/>
      </c>
      <c r="BV82">
        <f>IF(ROW()-56&gt;MAX($BU$57:$BU$95),"",INDEX(Lists!$CV$4:$CV$42,MATCH(ROW()-56,$BU$57:$BU$95,0)))</f>
        <v/>
      </c>
      <c r="BW82">
        <f>BW81+IF(AND(Lists!$DA$29&lt;&gt;"",ISNUMBER(SEARCH($T$4,Lists!$DA$29))),1,0)</f>
        <v/>
      </c>
      <c r="BX82">
        <f>IF(ROW()-56&gt;MAX($BW$57:$BW$95),"",INDEX(Lists!$DA$4:$DA$42,MATCH(ROW()-56,$BW$57:$BW$95,0)))</f>
        <v/>
      </c>
      <c r="BY82">
        <f>BY81+IF(AND(Lists!$DF$29&lt;&gt;"",ISNUMBER(SEARCH($U$4,Lists!$DF$29))),1,0)</f>
        <v/>
      </c>
      <c r="BZ82">
        <f>IF(ROW()-56&gt;MAX($BY$57:$BY$95),"",INDEX(Lists!$DF$4:$DF$42,MATCH(ROW()-56,$BY$57:$BY$95,0)))</f>
        <v/>
      </c>
      <c r="CA82">
        <f>CA81+IF(AND(Lists!$DK$29&lt;&gt;"",ISNUMBER(SEARCH($V$4,Lists!$DK$29))),1,0)</f>
        <v/>
      </c>
      <c r="CB82">
        <f>IF(ROW()-56&gt;MAX($CA$57:$CA$95),"",INDEX(Lists!$DK$4:$DK$42,MATCH(ROW()-56,$CA$57:$CA$95,0)))</f>
        <v/>
      </c>
      <c r="CC82">
        <f>CC81+IF(AND(Lists!$DP$29&lt;&gt;"",ISNUMBER(SEARCH($W$4,Lists!$DP$29))),1,0)</f>
        <v/>
      </c>
      <c r="CD82">
        <f>IF(ROW()-56&gt;MAX($CC$57:$CC$95),"",INDEX(Lists!$DP$4:$DP$42,MATCH(ROW()-56,$CC$57:$CC$95,0)))</f>
        <v/>
      </c>
      <c r="CE82">
        <f>CE81+IF(AND(Lists!$DU$29&lt;&gt;"",ISNUMBER(SEARCH($X$4,Lists!$DU$29))),1,0)</f>
        <v/>
      </c>
      <c r="CF82">
        <f>IF(ROW()-56&gt;MAX($CE$57:$CE$95),"",INDEX(Lists!$DU$4:$DU$42,MATCH(ROW()-56,$CE$57:$CE$95,0)))</f>
        <v/>
      </c>
      <c r="CG82">
        <f>CG81+IF(AND(Lists!$DZ$29&lt;&gt;"",ISNUMBER(SEARCH($Y$4,Lists!$DZ$29))),1,0)</f>
        <v/>
      </c>
      <c r="CH82">
        <f>IF(ROW()-56&gt;MAX($CG$57:$CG$95),"",INDEX(Lists!$DZ$4:$DZ$42,MATCH(ROW()-56,$CG$57:$CG$95,0)))</f>
        <v/>
      </c>
      <c r="CI82">
        <f>CI81+IF(AND(Lists!$EE$29&lt;&gt;"",ISNUMBER(SEARCH($Z$4,Lists!$EE$29))),1,0)</f>
        <v/>
      </c>
      <c r="CJ82">
        <f>IF(ROW()-56&gt;MAX($CI$57:$CI$95),"",INDEX(Lists!$EE$4:$EE$42,MATCH(ROW()-56,$CI$57:$CI$95,0)))</f>
        <v/>
      </c>
      <c r="CK82">
        <f>CK81+IF(AND(Lists!$EJ$29&lt;&gt;"",ISNUMBER(SEARCH($AA$4,Lists!$EJ$29))),1,0)</f>
        <v/>
      </c>
      <c r="CL82">
        <f>IF(ROW()-56&gt;MAX($CK$57:$CK$95),"",INDEX(Lists!$EJ$4:$EJ$42,MATCH(ROW()-56,$CK$57:$CK$95,0)))</f>
        <v/>
      </c>
      <c r="CM82">
        <f>CM81+IF(AND(Lists!$EO$29&lt;&gt;"",ISNUMBER(SEARCH($AB$4,Lists!$EO$29))),1,0)</f>
        <v/>
      </c>
      <c r="CN82">
        <f>IF(ROW()-56&gt;MAX($CM$57:$CM$95),"",INDEX(Lists!$EO$4:$EO$42,MATCH(ROW()-56,$CM$57:$CM$95,0)))</f>
        <v/>
      </c>
      <c r="CO82">
        <f>CO81+IF(AND(Lists!$ET$29&lt;&gt;"",ISNUMBER(SEARCH($AC$4,Lists!$ET$29))),1,0)</f>
        <v/>
      </c>
      <c r="CP82">
        <f>IF(ROW()-56&gt;MAX($CO$57:$CO$95),"",INDEX(Lists!$ET$4:$ET$42,MATCH(ROW()-56,$CO$57:$CO$95,0)))</f>
        <v/>
      </c>
      <c r="CQ82">
        <f>CQ81+IF(AND(Lists!$EY$29&lt;&gt;"",ISNUMBER(SEARCH($AD$4,Lists!$EY$29))),1,0)</f>
        <v/>
      </c>
      <c r="CR82">
        <f>IF(ROW()-56&gt;MAX($CQ$57:$CQ$95),"",INDEX(Lists!$EY$4:$EY$42,MATCH(ROW()-56,$CQ$57:$CQ$95,0)))</f>
        <v/>
      </c>
      <c r="CS82">
        <f>CS81+IF(AND(Lists!$FD$29&lt;&gt;"",ISNUMBER(SEARCH($AE$4,Lists!$FD$29))),1,0)</f>
        <v/>
      </c>
      <c r="CT82">
        <f>IF(ROW()-56&gt;MAX($CS$57:$CS$95),"",INDEX(Lists!$FD$4:$FD$42,MATCH(ROW()-56,$CS$57:$CS$95,0)))</f>
        <v/>
      </c>
      <c r="CU82">
        <f>CU81+IF(AND(Lists!$FI$29&lt;&gt;"",ISNUMBER(SEARCH($AG$4,Lists!$FI$29))),1,0)</f>
        <v/>
      </c>
      <c r="CV82">
        <f>IF(ROW()-56&gt;MAX($CU$57:$CU$95),"",INDEX(Lists!$FI$4:$FI$42,MATCH(ROW()-56,$CU$57:$CU$95,0)))</f>
        <v/>
      </c>
      <c r="CW82">
        <f>CW81+IF(AND(Lists!$FN$29&lt;&gt;"",ISNUMBER(SEARCH($AH$4,Lists!$FN$29))),1,0)</f>
        <v/>
      </c>
      <c r="CX82">
        <f>IF(ROW()-56&gt;MAX($CW$57:$CW$95),"",INDEX(Lists!$FN$4:$FN$42,MATCH(ROW()-56,$CW$57:$CW$95,0)))</f>
        <v/>
      </c>
      <c r="CY82">
        <f>CY81+IF(AND(Lists!$FS$29&lt;&gt;"",ISNUMBER(SEARCH($AI$4,Lists!$FS$29))),1,0)</f>
        <v/>
      </c>
      <c r="CZ82">
        <f>IF(ROW()-56&gt;MAX($CY$57:$CY$95),"",INDEX(Lists!$FS$4:$FS$42,MATCH(ROW()-56,$CY$57:$CY$95,0)))</f>
        <v/>
      </c>
      <c r="DA82">
        <f>DA81+IF(AND(Lists!$FX$29&lt;&gt;"",ISNUMBER(SEARCH($AF$4,Lists!$FX$29))),1,0)</f>
        <v/>
      </c>
      <c r="DB82">
        <f>IF(ROW()-56&gt;MAX($DA$57:$DA$95),"",INDEX(Lists!$FX$4:$FX$42,MATCH(ROW()-56,$DA$57:$DA$95,0)))</f>
        <v/>
      </c>
      <c r="DG82">
        <f>IF($B$4="",1,IF($B$4="(blank)",--('Final Calculation Sheet'!$F$27=""),IF($B$4="(nonblank)",--('Final Calculation Sheet'!$F$27&lt;&gt;""),--ISNUMBER(SEARCH($B$4,'Final Calculation Sheet'!$F$27)))))</f>
        <v/>
      </c>
      <c r="DH82">
        <f>IF($C$4="",1,IF($C$4="(blank)",--('Final Calculation Sheet'!$G$27=""),IF($C$4="(nonblank)",--('Final Calculation Sheet'!$G$27&lt;&gt;""),--ISNUMBER(SEARCH($C$4,'Final Calculation Sheet'!$G$27)))))</f>
        <v/>
      </c>
      <c r="DI82">
        <f>IF($D$4="",1,IF($D$4="(blank)",--('Final Calculation Sheet'!$B$27=""),IF($D$4="(nonblank)",--('Final Calculation Sheet'!$B$27&lt;&gt;""),--ISNUMBER(SEARCH($D$4,'Final Calculation Sheet'!$B$27)))))</f>
        <v/>
      </c>
      <c r="DJ82">
        <f>IF($E$4="",1,IF($E$4="(blank)",--('Final Calculation Sheet'!$D$27=""),IF($E$4="(nonblank)",--('Final Calculation Sheet'!$D$27&lt;&gt;""),--ISNUMBER(SEARCH($E$4,'Final Calculation Sheet'!$D$27)))))</f>
        <v/>
      </c>
      <c r="DK82">
        <f>IF($F$4="",1,IF($F$4="(blank)",--('Final Calculation Sheet'!$A$27=""),IF($F$4="(nonblank)",--('Final Calculation Sheet'!$A$27&lt;&gt;""),--ISNUMBER(SEARCH($F$4,'Final Calculation Sheet'!$A$27)))))</f>
        <v/>
      </c>
      <c r="DL82">
        <f>IF($G$4="",1,IF($G$4="(blank)",--('Final Calculation Sheet'!$E$27=""),IF($G$4="(nonblank)",--('Final Calculation Sheet'!$E$27&lt;&gt;""),--ISNUMBER(SEARCH($G$4,'Final Calculation Sheet'!$E$27)))))</f>
        <v/>
      </c>
      <c r="DM82">
        <f>IF($H$4="",1,IF($H$4="(blank)",--('Final Calculation Sheet'!$C$27=""),IF($H$4="(nonblank)",--('Final Calculation Sheet'!$C$27&lt;&gt;""),--ISNUMBER(SEARCH($H$4,'Final Calculation Sheet'!$C$27)))))</f>
        <v/>
      </c>
      <c r="DN82">
        <f>IF($I$4="",1,IF($I$4="(blank)",--('Final Calculation Sheet'!$H$27=""),IF($I$4="(nonblank)",--('Final Calculation Sheet'!$H$27&lt;&gt;""),--ISNUMBER(SEARCH($I$4,'Final Calculation Sheet'!$H$27)))))</f>
        <v/>
      </c>
      <c r="DO82">
        <f>IF($J$4="",1,IF($J$4="(blank)",--('Final Calculation Sheet'!$I$27=""),IF($J$4="(nonblank)",--('Final Calculation Sheet'!$I$27&lt;&gt;""),--ISNUMBER(SEARCH($J$4,'Final Calculation Sheet'!$I$27)))))</f>
        <v/>
      </c>
      <c r="DP82">
        <f>IF($K$4="",1,IF($K$4="(blank)",--('Final Calculation Sheet'!$J$27=""),IF($K$4="(nonblank)",--('Final Calculation Sheet'!$J$27&lt;&gt;""),--ISNUMBER(SEARCH($K$4,'Final Calculation Sheet'!$J$27)))))</f>
        <v/>
      </c>
      <c r="DQ82">
        <f>IF($L$4="",1,IF($L$4="(blank)",--('Final Calculation Sheet'!$K$27=""),IF($L$4="(nonblank)",--('Final Calculation Sheet'!$K$27&lt;&gt;""),--ISNUMBER(SEARCH($L$4,'Final Calculation Sheet'!$K$27)))))</f>
        <v/>
      </c>
      <c r="DR82">
        <f>IF($M$4="",1,IF($M$4="(blank)",--('Final Calculation Sheet'!$L$27=""),IF($M$4="(nonblank)",--('Final Calculation Sheet'!$L$27&lt;&gt;""),--ISNUMBER(SEARCH($M$4,'Final Calculation Sheet'!$L$27)))))</f>
        <v/>
      </c>
      <c r="DS82">
        <f>IF($N$4="",1,IF($N$4="(blank)",--('Final Calculation Sheet'!$M$27=""),IF($N$4="(nonblank)",--('Final Calculation Sheet'!$M$27&lt;&gt;""),--ISNUMBER(SEARCH($N$4,'Final Calculation Sheet'!$M$27)))))</f>
        <v/>
      </c>
      <c r="DT82">
        <f>IF($O$4="",1,IF($O$4="(blank)",--('Final Calculation Sheet'!$N$27=""),IF($O$4="(nonblank)",--('Final Calculation Sheet'!$N$27&lt;&gt;""),--ISNUMBER(SEARCH($O$4,'Final Calculation Sheet'!$N$27)))))</f>
        <v/>
      </c>
      <c r="DU82">
        <f>IF($P$4="",1,IF($P$4="(blank)",--('Final Calculation Sheet'!$O$27=""),IF($P$4="(nonblank)",--('Final Calculation Sheet'!$O$27&lt;&gt;""),--ISNUMBER(SEARCH($P$4,'Final Calculation Sheet'!$O$27)))))</f>
        <v/>
      </c>
      <c r="DV82">
        <f>IF($Q$4="",1,IF($Q$4="(blank)",--('Final Calculation Sheet'!$P$27=""),IF($Q$4="(nonblank)",--('Final Calculation Sheet'!$P$27&lt;&gt;""),--ISNUMBER(SEARCH($Q$4,'Final Calculation Sheet'!$P$27)))))</f>
        <v/>
      </c>
      <c r="DW82">
        <f>IF($R$4="",1,IF($R$4="(blank)",--('Final Calculation Sheet'!$Q$27=""),IF($R$4="(nonblank)",--('Final Calculation Sheet'!$Q$27&lt;&gt;""),--ISNUMBER(SEARCH($R$4,'Final Calculation Sheet'!$Q$27)))))</f>
        <v/>
      </c>
      <c r="DX82">
        <f>IF($S$4="",1,IF($S$4="(blank)",--('Final Calculation Sheet'!$R$27=""),IF($S$4="(nonblank)",--('Final Calculation Sheet'!$R$27&lt;&gt;""),--ISNUMBER(SEARCH($S$4,'Final Calculation Sheet'!$R$27)))))</f>
        <v/>
      </c>
      <c r="DY82">
        <f>IF($T$4="",1,IF($T$4="(blank)",--('Final Calculation Sheet'!$S$27=""),IF($T$4="(nonblank)",--('Final Calculation Sheet'!$S$27&lt;&gt;""),--ISNUMBER(SEARCH($T$4,'Final Calculation Sheet'!$S$27)))))</f>
        <v/>
      </c>
      <c r="DZ82">
        <f>IF($U$4="",1,IF($U$4="(blank)",--('Final Calculation Sheet'!$T$27=""),IF($U$4="(nonblank)",--('Final Calculation Sheet'!$T$27&lt;&gt;""),--ISNUMBER(SEARCH($U$4,'Final Calculation Sheet'!$T$27)))))</f>
        <v/>
      </c>
      <c r="EA82">
        <f>IF($V$4="",1,IF($V$4="(blank)",--('Final Calculation Sheet'!$U$27=""),IF($V$4="(nonblank)",--('Final Calculation Sheet'!$U$27&lt;&gt;""),--ISNUMBER(SEARCH($V$4,'Final Calculation Sheet'!$U$27)))))</f>
        <v/>
      </c>
      <c r="EB82">
        <f>IF($W$4="",1,IF($W$4="(blank)",--('Final Calculation Sheet'!$V$27=""),IF($W$4="(nonblank)",--('Final Calculation Sheet'!$V$27&lt;&gt;""),--ISNUMBER(SEARCH($W$4,'Final Calculation Sheet'!$V$27)))))</f>
        <v/>
      </c>
      <c r="EC82">
        <f>IF($X$4="",1,IF($X$4="(blank)",--('Final Calculation Sheet'!$W$27=""),IF($X$4="(nonblank)",--('Final Calculation Sheet'!$W$27&lt;&gt;""),--ISNUMBER(SEARCH($X$4,'Final Calculation Sheet'!$W$27)))))</f>
        <v/>
      </c>
      <c r="ED82">
        <f>IF($Y$4="",1,IF($Y$4="(blank)",--('Final Calculation Sheet'!$X$27=""),IF($Y$4="(nonblank)",--('Final Calculation Sheet'!$X$27&lt;&gt;""),--ISNUMBER(SEARCH($Y$4,'Final Calculation Sheet'!$X$27)))))</f>
        <v/>
      </c>
      <c r="EE82">
        <f>IF($Z$4="",1,IF($Z$4="(blank)",--('Final Calculation Sheet'!$Y$27=""),IF($Z$4="(nonblank)",--('Final Calculation Sheet'!$Y$27&lt;&gt;""),--ISNUMBER(SEARCH($Z$4,'Final Calculation Sheet'!$Y$27)))))</f>
        <v/>
      </c>
      <c r="EF82">
        <f>IF($AA$4="",1,IF($AA$4="(blank)",--('Final Calculation Sheet'!$Z$27=""),IF($AA$4="(nonblank)",--('Final Calculation Sheet'!$Z$27&lt;&gt;""),--ISNUMBER(SEARCH($AA$4,'Final Calculation Sheet'!$Z$27)))))</f>
        <v/>
      </c>
      <c r="EG82">
        <f>IF($AB$4="",1,IF($AB$4="(blank)",--('Final Calculation Sheet'!$AA$27=""),IF($AB$4="(nonblank)",--('Final Calculation Sheet'!$AA$27&lt;&gt;""),--ISNUMBER(SEARCH($AB$4,'Final Calculation Sheet'!$AA$27)))))</f>
        <v/>
      </c>
      <c r="EH82">
        <f>IF($AC$4="",1,IF($AC$4="(blank)",--('Final Calculation Sheet'!$AB$27=""),IF($AC$4="(nonblank)",--('Final Calculation Sheet'!$AB$27&lt;&gt;""),--ISNUMBER(SEARCH($AC$4,'Final Calculation Sheet'!$AB$27)))))</f>
        <v/>
      </c>
      <c r="EI82">
        <f>IF($AD$4="",1,IF($AD$4="(blank)",--('Final Calculation Sheet'!$AC$27=""),IF($AD$4="(nonblank)",--('Final Calculation Sheet'!$AC$27&lt;&gt;""),--ISNUMBER(SEARCH($AD$4,'Final Calculation Sheet'!$AC$27)))))</f>
        <v/>
      </c>
      <c r="EJ82">
        <f>IF($AE$4="",1,IF($AE$4="(blank)",--('Final Calculation Sheet'!$AD$27=""),IF($AE$4="(nonblank)",--('Final Calculation Sheet'!$AD$27&lt;&gt;""),--ISNUMBER(SEARCH($AE$4,'Final Calculation Sheet'!$AD$27)))))</f>
        <v/>
      </c>
      <c r="EK82">
        <f>IF($AF$4="",1,IF($AF$4="(blank)",--(IF('Final Calculation Sheet'!$AD$27&lt;=5,"SETTLED","OUTSTANDING")=""),IF($AF$4="(nonblank)",--(IF('Final Calculation Sheet'!$AD$27&lt;=5,"SETTLED","OUTSTANDING")&lt;&gt;""),--ISNUMBER(SEARCH($AF$4,IF('Final Calculation Sheet'!$AD$27&lt;=5,"SETTLED","OUTSTANDING"))))))</f>
        <v/>
      </c>
      <c r="EL82">
        <f>IF($AG$4="",1,IF($AG$4="(blank)",--('Final Calculation Sheet'!$AF$27=""),IF($AG$4="(nonblank)",--('Final Calculation Sheet'!$AF$27&lt;&gt;""),--ISNUMBER(SEARCH($AG$4,'Final Calculation Sheet'!$AF$27)))))</f>
        <v/>
      </c>
      <c r="EM82">
        <f>IF($AH$4="",1,IF($AH$4="(blank)",--('Final Calculation Sheet'!$AG$27=""),IF($AH$4="(nonblank)",--('Final Calculation Sheet'!$AG$27&lt;&gt;""),--ISNUMBER(SEARCH($AH$4,'Final Calculation Sheet'!$AG$27)))))</f>
        <v/>
      </c>
      <c r="EN82">
        <f>IF($AI$4="",1,IF($AI$4="(blank)",--('Final Calculation Sheet'!$AH$27=""),IF($AI$4="(nonblank)",--('Final Calculation Sheet'!$AH$27&lt;&gt;""),--ISNUMBER(SEARCH($AI$4,'Final Calculation Sheet'!$AH$27)))))</f>
        <v/>
      </c>
    </row>
    <row r="83">
      <c r="AM83">
        <f>AM82+IF(AND(Lists!$O$30&lt;&gt;"",ISNUMBER(SEARCH($B$4,Lists!$O$30))),1,0)</f>
        <v/>
      </c>
      <c r="AN83">
        <f>IF(ROW()-56&gt;MAX($AM$57:$AM$95),"",INDEX(Lists!$O$4:$O$42,MATCH(ROW()-56,$AM$57:$AM$95,0)))</f>
        <v/>
      </c>
      <c r="AO83">
        <f>AO82+IF(AND(Lists!$T$30&lt;&gt;"",ISNUMBER(SEARCH($C$4,Lists!$T$30))),1,0)</f>
        <v/>
      </c>
      <c r="AP83">
        <f>IF(ROW()-56&gt;MAX($AO$57:$AO$95),"",INDEX(Lists!$T$4:$T$42,MATCH(ROW()-56,$AO$57:$AO$95,0)))</f>
        <v/>
      </c>
      <c r="AQ83">
        <f>AQ82+IF(AND(Lists!$Y$30&lt;&gt;"",ISNUMBER(SEARCH($D$4,Lists!$Y$30))),1,0)</f>
        <v/>
      </c>
      <c r="AR83">
        <f>IF(ROW()-56&gt;MAX($AQ$57:$AQ$95),"",INDEX(Lists!$Y$4:$Y$42,MATCH(ROW()-56,$AQ$57:$AQ$95,0)))</f>
        <v/>
      </c>
      <c r="AS83">
        <f>AS82+IF(AND(Lists!$AD$30&lt;&gt;"",ISNUMBER(SEARCH($E$4,Lists!$AD$30))),1,0)</f>
        <v/>
      </c>
      <c r="AT83">
        <f>IF(ROW()-56&gt;MAX($AS$57:$AS$95),"",INDEX(Lists!$AD$4:$AD$42,MATCH(ROW()-56,$AS$57:$AS$95,0)))</f>
        <v/>
      </c>
      <c r="AU83">
        <f>AU82+IF(AND(Lists!$AI$30&lt;&gt;"",ISNUMBER(SEARCH($F$4,Lists!$AI$30))),1,0)</f>
        <v/>
      </c>
      <c r="AV83">
        <f>IF(ROW()-56&gt;MAX($AU$57:$AU$95),"",INDEX(Lists!$AI$4:$AI$42,MATCH(ROW()-56,$AU$57:$AU$95,0)))</f>
        <v/>
      </c>
      <c r="AW83">
        <f>AW82+IF(AND(Lists!$AN$30&lt;&gt;"",ISNUMBER(SEARCH($G$4,Lists!$AN$30))),1,0)</f>
        <v/>
      </c>
      <c r="AX83">
        <f>IF(ROW()-56&gt;MAX($AW$57:$AW$95),"",INDEX(Lists!$AN$4:$AN$42,MATCH(ROW()-56,$AW$57:$AW$95,0)))</f>
        <v/>
      </c>
      <c r="AY83">
        <f>AY82+IF(AND(Lists!$AS$30&lt;&gt;"",ISNUMBER(SEARCH($H$4,Lists!$AS$30))),1,0)</f>
        <v/>
      </c>
      <c r="AZ83">
        <f>IF(ROW()-56&gt;MAX($AY$57:$AY$95),"",INDEX(Lists!$AS$4:$AS$42,MATCH(ROW()-56,$AY$57:$AY$95,0)))</f>
        <v/>
      </c>
      <c r="BA83">
        <f>BA82+IF(AND(Lists!$AX$30&lt;&gt;"",ISNUMBER(SEARCH($I$4,Lists!$AX$30))),1,0)</f>
        <v/>
      </c>
      <c r="BB83">
        <f>IF(ROW()-56&gt;MAX($BA$57:$BA$95),"",INDEX(Lists!$AX$4:$AX$42,MATCH(ROW()-56,$BA$57:$BA$95,0)))</f>
        <v/>
      </c>
      <c r="BC83">
        <f>BC82+IF(AND(Lists!$BC$30&lt;&gt;"",ISNUMBER(SEARCH($J$4,Lists!$BC$30))),1,0)</f>
        <v/>
      </c>
      <c r="BD83">
        <f>IF(ROW()-56&gt;MAX($BC$57:$BC$95),"",INDEX(Lists!$BC$4:$BC$42,MATCH(ROW()-56,$BC$57:$BC$95,0)))</f>
        <v/>
      </c>
      <c r="BE83">
        <f>BE82+IF(AND(Lists!$BH$30&lt;&gt;"",ISNUMBER(SEARCH($K$4,Lists!$BH$30))),1,0)</f>
        <v/>
      </c>
      <c r="BF83">
        <f>IF(ROW()-56&gt;MAX($BE$57:$BE$95),"",INDEX(Lists!$BH$4:$BH$42,MATCH(ROW()-56,$BE$57:$BE$95,0)))</f>
        <v/>
      </c>
      <c r="BG83">
        <f>BG82+IF(AND(Lists!$BM$30&lt;&gt;"",ISNUMBER(SEARCH($L$4,Lists!$BM$30))),1,0)</f>
        <v/>
      </c>
      <c r="BH83">
        <f>IF(ROW()-56&gt;MAX($BG$57:$BG$95),"",INDEX(Lists!$BM$4:$BM$42,MATCH(ROW()-56,$BG$57:$BG$95,0)))</f>
        <v/>
      </c>
      <c r="BI83">
        <f>BI82+IF(AND(Lists!$BR$30&lt;&gt;"",ISNUMBER(SEARCH($M$4,Lists!$BR$30))),1,0)</f>
        <v/>
      </c>
      <c r="BJ83">
        <f>IF(ROW()-56&gt;MAX($BI$57:$BI$95),"",INDEX(Lists!$BR$4:$BR$42,MATCH(ROW()-56,$BI$57:$BI$95,0)))</f>
        <v/>
      </c>
      <c r="BK83">
        <f>BK82+IF(AND(Lists!$BW$30&lt;&gt;"",ISNUMBER(SEARCH($N$4,Lists!$BW$30))),1,0)</f>
        <v/>
      </c>
      <c r="BL83">
        <f>IF(ROW()-56&gt;MAX($BK$57:$BK$95),"",INDEX(Lists!$BW$4:$BW$42,MATCH(ROW()-56,$BK$57:$BK$95,0)))</f>
        <v/>
      </c>
      <c r="BM83">
        <f>BM82+IF(AND(Lists!$CB$30&lt;&gt;"",ISNUMBER(SEARCH($O$4,Lists!$CB$30))),1,0)</f>
        <v/>
      </c>
      <c r="BN83">
        <f>IF(ROW()-56&gt;MAX($BM$57:$BM$95),"",INDEX(Lists!$CB$4:$CB$42,MATCH(ROW()-56,$BM$57:$BM$95,0)))</f>
        <v/>
      </c>
      <c r="BO83">
        <f>BO82+IF(AND(Lists!$CG$30&lt;&gt;"",ISNUMBER(SEARCH($P$4,Lists!$CG$30))),1,0)</f>
        <v/>
      </c>
      <c r="BP83">
        <f>IF(ROW()-56&gt;MAX($BO$57:$BO$95),"",INDEX(Lists!$CG$4:$CG$42,MATCH(ROW()-56,$BO$57:$BO$95,0)))</f>
        <v/>
      </c>
      <c r="BQ83">
        <f>BQ82+IF(AND(Lists!$CL$30&lt;&gt;"",ISNUMBER(SEARCH($Q$4,Lists!$CL$30))),1,0)</f>
        <v/>
      </c>
      <c r="BR83">
        <f>IF(ROW()-56&gt;MAX($BQ$57:$BQ$95),"",INDEX(Lists!$CL$4:$CL$42,MATCH(ROW()-56,$BQ$57:$BQ$95,0)))</f>
        <v/>
      </c>
      <c r="BS83">
        <f>BS82+IF(AND(Lists!$CQ$30&lt;&gt;"",ISNUMBER(SEARCH($R$4,Lists!$CQ$30))),1,0)</f>
        <v/>
      </c>
      <c r="BT83">
        <f>IF(ROW()-56&gt;MAX($BS$57:$BS$95),"",INDEX(Lists!$CQ$4:$CQ$42,MATCH(ROW()-56,$BS$57:$BS$95,0)))</f>
        <v/>
      </c>
      <c r="BU83">
        <f>BU82+IF(AND(Lists!$CV$30&lt;&gt;"",ISNUMBER(SEARCH($S$4,Lists!$CV$30))),1,0)</f>
        <v/>
      </c>
      <c r="BV83">
        <f>IF(ROW()-56&gt;MAX($BU$57:$BU$95),"",INDEX(Lists!$CV$4:$CV$42,MATCH(ROW()-56,$BU$57:$BU$95,0)))</f>
        <v/>
      </c>
      <c r="BW83">
        <f>BW82+IF(AND(Lists!$DA$30&lt;&gt;"",ISNUMBER(SEARCH($T$4,Lists!$DA$30))),1,0)</f>
        <v/>
      </c>
      <c r="BX83">
        <f>IF(ROW()-56&gt;MAX($BW$57:$BW$95),"",INDEX(Lists!$DA$4:$DA$42,MATCH(ROW()-56,$BW$57:$BW$95,0)))</f>
        <v/>
      </c>
      <c r="BY83">
        <f>BY82+IF(AND(Lists!$DF$30&lt;&gt;"",ISNUMBER(SEARCH($U$4,Lists!$DF$30))),1,0)</f>
        <v/>
      </c>
      <c r="BZ83">
        <f>IF(ROW()-56&gt;MAX($BY$57:$BY$95),"",INDEX(Lists!$DF$4:$DF$42,MATCH(ROW()-56,$BY$57:$BY$95,0)))</f>
        <v/>
      </c>
      <c r="CA83">
        <f>CA82+IF(AND(Lists!$DK$30&lt;&gt;"",ISNUMBER(SEARCH($V$4,Lists!$DK$30))),1,0)</f>
        <v/>
      </c>
      <c r="CB83">
        <f>IF(ROW()-56&gt;MAX($CA$57:$CA$95),"",INDEX(Lists!$DK$4:$DK$42,MATCH(ROW()-56,$CA$57:$CA$95,0)))</f>
        <v/>
      </c>
      <c r="CC83">
        <f>CC82+IF(AND(Lists!$DP$30&lt;&gt;"",ISNUMBER(SEARCH($W$4,Lists!$DP$30))),1,0)</f>
        <v/>
      </c>
      <c r="CD83">
        <f>IF(ROW()-56&gt;MAX($CC$57:$CC$95),"",INDEX(Lists!$DP$4:$DP$42,MATCH(ROW()-56,$CC$57:$CC$95,0)))</f>
        <v/>
      </c>
      <c r="CE83">
        <f>CE82+IF(AND(Lists!$DU$30&lt;&gt;"",ISNUMBER(SEARCH($X$4,Lists!$DU$30))),1,0)</f>
        <v/>
      </c>
      <c r="CF83">
        <f>IF(ROW()-56&gt;MAX($CE$57:$CE$95),"",INDEX(Lists!$DU$4:$DU$42,MATCH(ROW()-56,$CE$57:$CE$95,0)))</f>
        <v/>
      </c>
      <c r="CG83">
        <f>CG82+IF(AND(Lists!$DZ$30&lt;&gt;"",ISNUMBER(SEARCH($Y$4,Lists!$DZ$30))),1,0)</f>
        <v/>
      </c>
      <c r="CH83">
        <f>IF(ROW()-56&gt;MAX($CG$57:$CG$95),"",INDEX(Lists!$DZ$4:$DZ$42,MATCH(ROW()-56,$CG$57:$CG$95,0)))</f>
        <v/>
      </c>
      <c r="CI83">
        <f>CI82+IF(AND(Lists!$EE$30&lt;&gt;"",ISNUMBER(SEARCH($Z$4,Lists!$EE$30))),1,0)</f>
        <v/>
      </c>
      <c r="CJ83">
        <f>IF(ROW()-56&gt;MAX($CI$57:$CI$95),"",INDEX(Lists!$EE$4:$EE$42,MATCH(ROW()-56,$CI$57:$CI$95,0)))</f>
        <v/>
      </c>
      <c r="CK83">
        <f>CK82+IF(AND(Lists!$EJ$30&lt;&gt;"",ISNUMBER(SEARCH($AA$4,Lists!$EJ$30))),1,0)</f>
        <v/>
      </c>
      <c r="CL83">
        <f>IF(ROW()-56&gt;MAX($CK$57:$CK$95),"",INDEX(Lists!$EJ$4:$EJ$42,MATCH(ROW()-56,$CK$57:$CK$95,0)))</f>
        <v/>
      </c>
      <c r="CM83">
        <f>CM82+IF(AND(Lists!$EO$30&lt;&gt;"",ISNUMBER(SEARCH($AB$4,Lists!$EO$30))),1,0)</f>
        <v/>
      </c>
      <c r="CN83">
        <f>IF(ROW()-56&gt;MAX($CM$57:$CM$95),"",INDEX(Lists!$EO$4:$EO$42,MATCH(ROW()-56,$CM$57:$CM$95,0)))</f>
        <v/>
      </c>
      <c r="CO83">
        <f>CO82+IF(AND(Lists!$ET$30&lt;&gt;"",ISNUMBER(SEARCH($AC$4,Lists!$ET$30))),1,0)</f>
        <v/>
      </c>
      <c r="CP83">
        <f>IF(ROW()-56&gt;MAX($CO$57:$CO$95),"",INDEX(Lists!$ET$4:$ET$42,MATCH(ROW()-56,$CO$57:$CO$95,0)))</f>
        <v/>
      </c>
      <c r="CQ83">
        <f>CQ82+IF(AND(Lists!$EY$30&lt;&gt;"",ISNUMBER(SEARCH($AD$4,Lists!$EY$30))),1,0)</f>
        <v/>
      </c>
      <c r="CR83">
        <f>IF(ROW()-56&gt;MAX($CQ$57:$CQ$95),"",INDEX(Lists!$EY$4:$EY$42,MATCH(ROW()-56,$CQ$57:$CQ$95,0)))</f>
        <v/>
      </c>
      <c r="CS83">
        <f>CS82+IF(AND(Lists!$FD$30&lt;&gt;"",ISNUMBER(SEARCH($AE$4,Lists!$FD$30))),1,0)</f>
        <v/>
      </c>
      <c r="CT83">
        <f>IF(ROW()-56&gt;MAX($CS$57:$CS$95),"",INDEX(Lists!$FD$4:$FD$42,MATCH(ROW()-56,$CS$57:$CS$95,0)))</f>
        <v/>
      </c>
      <c r="CU83">
        <f>CU82+IF(AND(Lists!$FI$30&lt;&gt;"",ISNUMBER(SEARCH($AG$4,Lists!$FI$30))),1,0)</f>
        <v/>
      </c>
      <c r="CV83">
        <f>IF(ROW()-56&gt;MAX($CU$57:$CU$95),"",INDEX(Lists!$FI$4:$FI$42,MATCH(ROW()-56,$CU$57:$CU$95,0)))</f>
        <v/>
      </c>
      <c r="CW83">
        <f>CW82+IF(AND(Lists!$FN$30&lt;&gt;"",ISNUMBER(SEARCH($AH$4,Lists!$FN$30))),1,0)</f>
        <v/>
      </c>
      <c r="CX83">
        <f>IF(ROW()-56&gt;MAX($CW$57:$CW$95),"",INDEX(Lists!$FN$4:$FN$42,MATCH(ROW()-56,$CW$57:$CW$95,0)))</f>
        <v/>
      </c>
      <c r="CY83">
        <f>CY82+IF(AND(Lists!$FS$30&lt;&gt;"",ISNUMBER(SEARCH($AI$4,Lists!$FS$30))),1,0)</f>
        <v/>
      </c>
      <c r="CZ83">
        <f>IF(ROW()-56&gt;MAX($CY$57:$CY$95),"",INDEX(Lists!$FS$4:$FS$42,MATCH(ROW()-56,$CY$57:$CY$95,0)))</f>
        <v/>
      </c>
      <c r="DA83">
        <f>DA82+IF(AND(Lists!$FX$30&lt;&gt;"",ISNUMBER(SEARCH($AF$4,Lists!$FX$30))),1,0)</f>
        <v/>
      </c>
      <c r="DB83">
        <f>IF(ROW()-56&gt;MAX($DA$57:$DA$95),"",INDEX(Lists!$FX$4:$FX$42,MATCH(ROW()-56,$DA$57:$DA$95,0)))</f>
        <v/>
      </c>
      <c r="DG83">
        <f>IF($B$4="",1,IF($B$4="(blank)",--('Final Calculation Sheet'!$F$28=""),IF($B$4="(nonblank)",--('Final Calculation Sheet'!$F$28&lt;&gt;""),--ISNUMBER(SEARCH($B$4,'Final Calculation Sheet'!$F$28)))))</f>
        <v/>
      </c>
      <c r="DH83">
        <f>IF($C$4="",1,IF($C$4="(blank)",--('Final Calculation Sheet'!$G$28=""),IF($C$4="(nonblank)",--('Final Calculation Sheet'!$G$28&lt;&gt;""),--ISNUMBER(SEARCH($C$4,'Final Calculation Sheet'!$G$28)))))</f>
        <v/>
      </c>
      <c r="DI83">
        <f>IF($D$4="",1,IF($D$4="(blank)",--('Final Calculation Sheet'!$B$28=""),IF($D$4="(nonblank)",--('Final Calculation Sheet'!$B$28&lt;&gt;""),--ISNUMBER(SEARCH($D$4,'Final Calculation Sheet'!$B$28)))))</f>
        <v/>
      </c>
      <c r="DJ83">
        <f>IF($E$4="",1,IF($E$4="(blank)",--('Final Calculation Sheet'!$D$28=""),IF($E$4="(nonblank)",--('Final Calculation Sheet'!$D$28&lt;&gt;""),--ISNUMBER(SEARCH($E$4,'Final Calculation Sheet'!$D$28)))))</f>
        <v/>
      </c>
      <c r="DK83">
        <f>IF($F$4="",1,IF($F$4="(blank)",--('Final Calculation Sheet'!$A$28=""),IF($F$4="(nonblank)",--('Final Calculation Sheet'!$A$28&lt;&gt;""),--ISNUMBER(SEARCH($F$4,'Final Calculation Sheet'!$A$28)))))</f>
        <v/>
      </c>
      <c r="DL83">
        <f>IF($G$4="",1,IF($G$4="(blank)",--('Final Calculation Sheet'!$E$28=""),IF($G$4="(nonblank)",--('Final Calculation Sheet'!$E$28&lt;&gt;""),--ISNUMBER(SEARCH($G$4,'Final Calculation Sheet'!$E$28)))))</f>
        <v/>
      </c>
      <c r="DM83">
        <f>IF($H$4="",1,IF($H$4="(blank)",--('Final Calculation Sheet'!$C$28=""),IF($H$4="(nonblank)",--('Final Calculation Sheet'!$C$28&lt;&gt;""),--ISNUMBER(SEARCH($H$4,'Final Calculation Sheet'!$C$28)))))</f>
        <v/>
      </c>
      <c r="DN83">
        <f>IF($I$4="",1,IF($I$4="(blank)",--('Final Calculation Sheet'!$H$28=""),IF($I$4="(nonblank)",--('Final Calculation Sheet'!$H$28&lt;&gt;""),--ISNUMBER(SEARCH($I$4,'Final Calculation Sheet'!$H$28)))))</f>
        <v/>
      </c>
      <c r="DO83">
        <f>IF($J$4="",1,IF($J$4="(blank)",--('Final Calculation Sheet'!$I$28=""),IF($J$4="(nonblank)",--('Final Calculation Sheet'!$I$28&lt;&gt;""),--ISNUMBER(SEARCH($J$4,'Final Calculation Sheet'!$I$28)))))</f>
        <v/>
      </c>
      <c r="DP83">
        <f>IF($K$4="",1,IF($K$4="(blank)",--('Final Calculation Sheet'!$J$28=""),IF($K$4="(nonblank)",--('Final Calculation Sheet'!$J$28&lt;&gt;""),--ISNUMBER(SEARCH($K$4,'Final Calculation Sheet'!$J$28)))))</f>
        <v/>
      </c>
      <c r="DQ83">
        <f>IF($L$4="",1,IF($L$4="(blank)",--('Final Calculation Sheet'!$K$28=""),IF($L$4="(nonblank)",--('Final Calculation Sheet'!$K$28&lt;&gt;""),--ISNUMBER(SEARCH($L$4,'Final Calculation Sheet'!$K$28)))))</f>
        <v/>
      </c>
      <c r="DR83">
        <f>IF($M$4="",1,IF($M$4="(blank)",--('Final Calculation Sheet'!$L$28=""),IF($M$4="(nonblank)",--('Final Calculation Sheet'!$L$28&lt;&gt;""),--ISNUMBER(SEARCH($M$4,'Final Calculation Sheet'!$L$28)))))</f>
        <v/>
      </c>
      <c r="DS83">
        <f>IF($N$4="",1,IF($N$4="(blank)",--('Final Calculation Sheet'!$M$28=""),IF($N$4="(nonblank)",--('Final Calculation Sheet'!$M$28&lt;&gt;""),--ISNUMBER(SEARCH($N$4,'Final Calculation Sheet'!$M$28)))))</f>
        <v/>
      </c>
      <c r="DT83">
        <f>IF($O$4="",1,IF($O$4="(blank)",--('Final Calculation Sheet'!$N$28=""),IF($O$4="(nonblank)",--('Final Calculation Sheet'!$N$28&lt;&gt;""),--ISNUMBER(SEARCH($O$4,'Final Calculation Sheet'!$N$28)))))</f>
        <v/>
      </c>
      <c r="DU83">
        <f>IF($P$4="",1,IF($P$4="(blank)",--('Final Calculation Sheet'!$O$28=""),IF($P$4="(nonblank)",--('Final Calculation Sheet'!$O$28&lt;&gt;""),--ISNUMBER(SEARCH($P$4,'Final Calculation Sheet'!$O$28)))))</f>
        <v/>
      </c>
      <c r="DV83">
        <f>IF($Q$4="",1,IF($Q$4="(blank)",--('Final Calculation Sheet'!$P$28=""),IF($Q$4="(nonblank)",--('Final Calculation Sheet'!$P$28&lt;&gt;""),--ISNUMBER(SEARCH($Q$4,'Final Calculation Sheet'!$P$28)))))</f>
        <v/>
      </c>
      <c r="DW83">
        <f>IF($R$4="",1,IF($R$4="(blank)",--('Final Calculation Sheet'!$Q$28=""),IF($R$4="(nonblank)",--('Final Calculation Sheet'!$Q$28&lt;&gt;""),--ISNUMBER(SEARCH($R$4,'Final Calculation Sheet'!$Q$28)))))</f>
        <v/>
      </c>
      <c r="DX83">
        <f>IF($S$4="",1,IF($S$4="(blank)",--('Final Calculation Sheet'!$R$28=""),IF($S$4="(nonblank)",--('Final Calculation Sheet'!$R$28&lt;&gt;""),--ISNUMBER(SEARCH($S$4,'Final Calculation Sheet'!$R$28)))))</f>
        <v/>
      </c>
      <c r="DY83">
        <f>IF($T$4="",1,IF($T$4="(blank)",--('Final Calculation Sheet'!$S$28=""),IF($T$4="(nonblank)",--('Final Calculation Sheet'!$S$28&lt;&gt;""),--ISNUMBER(SEARCH($T$4,'Final Calculation Sheet'!$S$28)))))</f>
        <v/>
      </c>
      <c r="DZ83">
        <f>IF($U$4="",1,IF($U$4="(blank)",--('Final Calculation Sheet'!$T$28=""),IF($U$4="(nonblank)",--('Final Calculation Sheet'!$T$28&lt;&gt;""),--ISNUMBER(SEARCH($U$4,'Final Calculation Sheet'!$T$28)))))</f>
        <v/>
      </c>
      <c r="EA83">
        <f>IF($V$4="",1,IF($V$4="(blank)",--('Final Calculation Sheet'!$U$28=""),IF($V$4="(nonblank)",--('Final Calculation Sheet'!$U$28&lt;&gt;""),--ISNUMBER(SEARCH($V$4,'Final Calculation Sheet'!$U$28)))))</f>
        <v/>
      </c>
      <c r="EB83">
        <f>IF($W$4="",1,IF($W$4="(blank)",--('Final Calculation Sheet'!$V$28=""),IF($W$4="(nonblank)",--('Final Calculation Sheet'!$V$28&lt;&gt;""),--ISNUMBER(SEARCH($W$4,'Final Calculation Sheet'!$V$28)))))</f>
        <v/>
      </c>
      <c r="EC83">
        <f>IF($X$4="",1,IF($X$4="(blank)",--('Final Calculation Sheet'!$W$28=""),IF($X$4="(nonblank)",--('Final Calculation Sheet'!$W$28&lt;&gt;""),--ISNUMBER(SEARCH($X$4,'Final Calculation Sheet'!$W$28)))))</f>
        <v/>
      </c>
      <c r="ED83">
        <f>IF($Y$4="",1,IF($Y$4="(blank)",--('Final Calculation Sheet'!$X$28=""),IF($Y$4="(nonblank)",--('Final Calculation Sheet'!$X$28&lt;&gt;""),--ISNUMBER(SEARCH($Y$4,'Final Calculation Sheet'!$X$28)))))</f>
        <v/>
      </c>
      <c r="EE83">
        <f>IF($Z$4="",1,IF($Z$4="(blank)",--('Final Calculation Sheet'!$Y$28=""),IF($Z$4="(nonblank)",--('Final Calculation Sheet'!$Y$28&lt;&gt;""),--ISNUMBER(SEARCH($Z$4,'Final Calculation Sheet'!$Y$28)))))</f>
        <v/>
      </c>
      <c r="EF83">
        <f>IF($AA$4="",1,IF($AA$4="(blank)",--('Final Calculation Sheet'!$Z$28=""),IF($AA$4="(nonblank)",--('Final Calculation Sheet'!$Z$28&lt;&gt;""),--ISNUMBER(SEARCH($AA$4,'Final Calculation Sheet'!$Z$28)))))</f>
        <v/>
      </c>
      <c r="EG83">
        <f>IF($AB$4="",1,IF($AB$4="(blank)",--('Final Calculation Sheet'!$AA$28=""),IF($AB$4="(nonblank)",--('Final Calculation Sheet'!$AA$28&lt;&gt;""),--ISNUMBER(SEARCH($AB$4,'Final Calculation Sheet'!$AA$28)))))</f>
        <v/>
      </c>
      <c r="EH83">
        <f>IF($AC$4="",1,IF($AC$4="(blank)",--('Final Calculation Sheet'!$AB$28=""),IF($AC$4="(nonblank)",--('Final Calculation Sheet'!$AB$28&lt;&gt;""),--ISNUMBER(SEARCH($AC$4,'Final Calculation Sheet'!$AB$28)))))</f>
        <v/>
      </c>
      <c r="EI83">
        <f>IF($AD$4="",1,IF($AD$4="(blank)",--('Final Calculation Sheet'!$AC$28=""),IF($AD$4="(nonblank)",--('Final Calculation Sheet'!$AC$28&lt;&gt;""),--ISNUMBER(SEARCH($AD$4,'Final Calculation Sheet'!$AC$28)))))</f>
        <v/>
      </c>
      <c r="EJ83">
        <f>IF($AE$4="",1,IF($AE$4="(blank)",--('Final Calculation Sheet'!$AD$28=""),IF($AE$4="(nonblank)",--('Final Calculation Sheet'!$AD$28&lt;&gt;""),--ISNUMBER(SEARCH($AE$4,'Final Calculation Sheet'!$AD$28)))))</f>
        <v/>
      </c>
      <c r="EK83">
        <f>IF($AF$4="",1,IF($AF$4="(blank)",--(IF('Final Calculation Sheet'!$AD$28&lt;=5,"SETTLED","OUTSTANDING")=""),IF($AF$4="(nonblank)",--(IF('Final Calculation Sheet'!$AD$28&lt;=5,"SETTLED","OUTSTANDING")&lt;&gt;""),--ISNUMBER(SEARCH($AF$4,IF('Final Calculation Sheet'!$AD$28&lt;=5,"SETTLED","OUTSTANDING"))))))</f>
        <v/>
      </c>
      <c r="EL83">
        <f>IF($AG$4="",1,IF($AG$4="(blank)",--('Final Calculation Sheet'!$AF$28=""),IF($AG$4="(nonblank)",--('Final Calculation Sheet'!$AF$28&lt;&gt;""),--ISNUMBER(SEARCH($AG$4,'Final Calculation Sheet'!$AF$28)))))</f>
        <v/>
      </c>
      <c r="EM83">
        <f>IF($AH$4="",1,IF($AH$4="(blank)",--('Final Calculation Sheet'!$AG$28=""),IF($AH$4="(nonblank)",--('Final Calculation Sheet'!$AG$28&lt;&gt;""),--ISNUMBER(SEARCH($AH$4,'Final Calculation Sheet'!$AG$28)))))</f>
        <v/>
      </c>
      <c r="EN83">
        <f>IF($AI$4="",1,IF($AI$4="(blank)",--('Final Calculation Sheet'!$AH$28=""),IF($AI$4="(nonblank)",--('Final Calculation Sheet'!$AH$28&lt;&gt;""),--ISNUMBER(SEARCH($AI$4,'Final Calculation Sheet'!$AH$28)))))</f>
        <v/>
      </c>
    </row>
    <row r="84">
      <c r="AM84">
        <f>AM83+IF(AND(Lists!$O$31&lt;&gt;"",ISNUMBER(SEARCH($B$4,Lists!$O$31))),1,0)</f>
        <v/>
      </c>
      <c r="AN84">
        <f>IF(ROW()-56&gt;MAX($AM$57:$AM$95),"",INDEX(Lists!$O$4:$O$42,MATCH(ROW()-56,$AM$57:$AM$95,0)))</f>
        <v/>
      </c>
      <c r="AO84">
        <f>AO83+IF(AND(Lists!$T$31&lt;&gt;"",ISNUMBER(SEARCH($C$4,Lists!$T$31))),1,0)</f>
        <v/>
      </c>
      <c r="AP84">
        <f>IF(ROW()-56&gt;MAX($AO$57:$AO$95),"",INDEX(Lists!$T$4:$T$42,MATCH(ROW()-56,$AO$57:$AO$95,0)))</f>
        <v/>
      </c>
      <c r="AQ84">
        <f>AQ83+IF(AND(Lists!$Y$31&lt;&gt;"",ISNUMBER(SEARCH($D$4,Lists!$Y$31))),1,0)</f>
        <v/>
      </c>
      <c r="AR84">
        <f>IF(ROW()-56&gt;MAX($AQ$57:$AQ$95),"",INDEX(Lists!$Y$4:$Y$42,MATCH(ROW()-56,$AQ$57:$AQ$95,0)))</f>
        <v/>
      </c>
      <c r="AS84">
        <f>AS83+IF(AND(Lists!$AD$31&lt;&gt;"",ISNUMBER(SEARCH($E$4,Lists!$AD$31))),1,0)</f>
        <v/>
      </c>
      <c r="AT84">
        <f>IF(ROW()-56&gt;MAX($AS$57:$AS$95),"",INDEX(Lists!$AD$4:$AD$42,MATCH(ROW()-56,$AS$57:$AS$95,0)))</f>
        <v/>
      </c>
      <c r="AU84">
        <f>AU83+IF(AND(Lists!$AI$31&lt;&gt;"",ISNUMBER(SEARCH($F$4,Lists!$AI$31))),1,0)</f>
        <v/>
      </c>
      <c r="AV84">
        <f>IF(ROW()-56&gt;MAX($AU$57:$AU$95),"",INDEX(Lists!$AI$4:$AI$42,MATCH(ROW()-56,$AU$57:$AU$95,0)))</f>
        <v/>
      </c>
      <c r="AW84">
        <f>AW83+IF(AND(Lists!$AN$31&lt;&gt;"",ISNUMBER(SEARCH($G$4,Lists!$AN$31))),1,0)</f>
        <v/>
      </c>
      <c r="AX84">
        <f>IF(ROW()-56&gt;MAX($AW$57:$AW$95),"",INDEX(Lists!$AN$4:$AN$42,MATCH(ROW()-56,$AW$57:$AW$95,0)))</f>
        <v/>
      </c>
      <c r="AY84">
        <f>AY83+IF(AND(Lists!$AS$31&lt;&gt;"",ISNUMBER(SEARCH($H$4,Lists!$AS$31))),1,0)</f>
        <v/>
      </c>
      <c r="AZ84">
        <f>IF(ROW()-56&gt;MAX($AY$57:$AY$95),"",INDEX(Lists!$AS$4:$AS$42,MATCH(ROW()-56,$AY$57:$AY$95,0)))</f>
        <v/>
      </c>
      <c r="BA84">
        <f>BA83+IF(AND(Lists!$AX$31&lt;&gt;"",ISNUMBER(SEARCH($I$4,Lists!$AX$31))),1,0)</f>
        <v/>
      </c>
      <c r="BB84">
        <f>IF(ROW()-56&gt;MAX($BA$57:$BA$95),"",INDEX(Lists!$AX$4:$AX$42,MATCH(ROW()-56,$BA$57:$BA$95,0)))</f>
        <v/>
      </c>
      <c r="BC84">
        <f>BC83+IF(AND(Lists!$BC$31&lt;&gt;"",ISNUMBER(SEARCH($J$4,Lists!$BC$31))),1,0)</f>
        <v/>
      </c>
      <c r="BD84">
        <f>IF(ROW()-56&gt;MAX($BC$57:$BC$95),"",INDEX(Lists!$BC$4:$BC$42,MATCH(ROW()-56,$BC$57:$BC$95,0)))</f>
        <v/>
      </c>
      <c r="BE84">
        <f>BE83+IF(AND(Lists!$BH$31&lt;&gt;"",ISNUMBER(SEARCH($K$4,Lists!$BH$31))),1,0)</f>
        <v/>
      </c>
      <c r="BF84">
        <f>IF(ROW()-56&gt;MAX($BE$57:$BE$95),"",INDEX(Lists!$BH$4:$BH$42,MATCH(ROW()-56,$BE$57:$BE$95,0)))</f>
        <v/>
      </c>
      <c r="BG84">
        <f>BG83+IF(AND(Lists!$BM$31&lt;&gt;"",ISNUMBER(SEARCH($L$4,Lists!$BM$31))),1,0)</f>
        <v/>
      </c>
      <c r="BH84">
        <f>IF(ROW()-56&gt;MAX($BG$57:$BG$95),"",INDEX(Lists!$BM$4:$BM$42,MATCH(ROW()-56,$BG$57:$BG$95,0)))</f>
        <v/>
      </c>
      <c r="BI84">
        <f>BI83+IF(AND(Lists!$BR$31&lt;&gt;"",ISNUMBER(SEARCH($M$4,Lists!$BR$31))),1,0)</f>
        <v/>
      </c>
      <c r="BJ84">
        <f>IF(ROW()-56&gt;MAX($BI$57:$BI$95),"",INDEX(Lists!$BR$4:$BR$42,MATCH(ROW()-56,$BI$57:$BI$95,0)))</f>
        <v/>
      </c>
      <c r="BK84">
        <f>BK83+IF(AND(Lists!$BW$31&lt;&gt;"",ISNUMBER(SEARCH($N$4,Lists!$BW$31))),1,0)</f>
        <v/>
      </c>
      <c r="BL84">
        <f>IF(ROW()-56&gt;MAX($BK$57:$BK$95),"",INDEX(Lists!$BW$4:$BW$42,MATCH(ROW()-56,$BK$57:$BK$95,0)))</f>
        <v/>
      </c>
      <c r="BM84">
        <f>BM83+IF(AND(Lists!$CB$31&lt;&gt;"",ISNUMBER(SEARCH($O$4,Lists!$CB$31))),1,0)</f>
        <v/>
      </c>
      <c r="BN84">
        <f>IF(ROW()-56&gt;MAX($BM$57:$BM$95),"",INDEX(Lists!$CB$4:$CB$42,MATCH(ROW()-56,$BM$57:$BM$95,0)))</f>
        <v/>
      </c>
      <c r="BO84">
        <f>BO83+IF(AND(Lists!$CG$31&lt;&gt;"",ISNUMBER(SEARCH($P$4,Lists!$CG$31))),1,0)</f>
        <v/>
      </c>
      <c r="BP84">
        <f>IF(ROW()-56&gt;MAX($BO$57:$BO$95),"",INDEX(Lists!$CG$4:$CG$42,MATCH(ROW()-56,$BO$57:$BO$95,0)))</f>
        <v/>
      </c>
      <c r="BQ84">
        <f>BQ83+IF(AND(Lists!$CL$31&lt;&gt;"",ISNUMBER(SEARCH($Q$4,Lists!$CL$31))),1,0)</f>
        <v/>
      </c>
      <c r="BR84">
        <f>IF(ROW()-56&gt;MAX($BQ$57:$BQ$95),"",INDEX(Lists!$CL$4:$CL$42,MATCH(ROW()-56,$BQ$57:$BQ$95,0)))</f>
        <v/>
      </c>
      <c r="BS84">
        <f>BS83+IF(AND(Lists!$CQ$31&lt;&gt;"",ISNUMBER(SEARCH($R$4,Lists!$CQ$31))),1,0)</f>
        <v/>
      </c>
      <c r="BT84">
        <f>IF(ROW()-56&gt;MAX($BS$57:$BS$95),"",INDEX(Lists!$CQ$4:$CQ$42,MATCH(ROW()-56,$BS$57:$BS$95,0)))</f>
        <v/>
      </c>
      <c r="BU84">
        <f>BU83+IF(AND(Lists!$CV$31&lt;&gt;"",ISNUMBER(SEARCH($S$4,Lists!$CV$31))),1,0)</f>
        <v/>
      </c>
      <c r="BV84">
        <f>IF(ROW()-56&gt;MAX($BU$57:$BU$95),"",INDEX(Lists!$CV$4:$CV$42,MATCH(ROW()-56,$BU$57:$BU$95,0)))</f>
        <v/>
      </c>
      <c r="BW84">
        <f>BW83+IF(AND(Lists!$DA$31&lt;&gt;"",ISNUMBER(SEARCH($T$4,Lists!$DA$31))),1,0)</f>
        <v/>
      </c>
      <c r="BX84">
        <f>IF(ROW()-56&gt;MAX($BW$57:$BW$95),"",INDEX(Lists!$DA$4:$DA$42,MATCH(ROW()-56,$BW$57:$BW$95,0)))</f>
        <v/>
      </c>
      <c r="BY84">
        <f>BY83+IF(AND(Lists!$DF$31&lt;&gt;"",ISNUMBER(SEARCH($U$4,Lists!$DF$31))),1,0)</f>
        <v/>
      </c>
      <c r="BZ84">
        <f>IF(ROW()-56&gt;MAX($BY$57:$BY$95),"",INDEX(Lists!$DF$4:$DF$42,MATCH(ROW()-56,$BY$57:$BY$95,0)))</f>
        <v/>
      </c>
      <c r="CA84">
        <f>CA83+IF(AND(Lists!$DK$31&lt;&gt;"",ISNUMBER(SEARCH($V$4,Lists!$DK$31))),1,0)</f>
        <v/>
      </c>
      <c r="CB84">
        <f>IF(ROW()-56&gt;MAX($CA$57:$CA$95),"",INDEX(Lists!$DK$4:$DK$42,MATCH(ROW()-56,$CA$57:$CA$95,0)))</f>
        <v/>
      </c>
      <c r="CC84">
        <f>CC83+IF(AND(Lists!$DP$31&lt;&gt;"",ISNUMBER(SEARCH($W$4,Lists!$DP$31))),1,0)</f>
        <v/>
      </c>
      <c r="CD84">
        <f>IF(ROW()-56&gt;MAX($CC$57:$CC$95),"",INDEX(Lists!$DP$4:$DP$42,MATCH(ROW()-56,$CC$57:$CC$95,0)))</f>
        <v/>
      </c>
      <c r="CE84">
        <f>CE83+IF(AND(Lists!$DU$31&lt;&gt;"",ISNUMBER(SEARCH($X$4,Lists!$DU$31))),1,0)</f>
        <v/>
      </c>
      <c r="CF84">
        <f>IF(ROW()-56&gt;MAX($CE$57:$CE$95),"",INDEX(Lists!$DU$4:$DU$42,MATCH(ROW()-56,$CE$57:$CE$95,0)))</f>
        <v/>
      </c>
      <c r="CG84">
        <f>CG83+IF(AND(Lists!$DZ$31&lt;&gt;"",ISNUMBER(SEARCH($Y$4,Lists!$DZ$31))),1,0)</f>
        <v/>
      </c>
      <c r="CH84">
        <f>IF(ROW()-56&gt;MAX($CG$57:$CG$95),"",INDEX(Lists!$DZ$4:$DZ$42,MATCH(ROW()-56,$CG$57:$CG$95,0)))</f>
        <v/>
      </c>
      <c r="CI84">
        <f>CI83+IF(AND(Lists!$EE$31&lt;&gt;"",ISNUMBER(SEARCH($Z$4,Lists!$EE$31))),1,0)</f>
        <v/>
      </c>
      <c r="CJ84">
        <f>IF(ROW()-56&gt;MAX($CI$57:$CI$95),"",INDEX(Lists!$EE$4:$EE$42,MATCH(ROW()-56,$CI$57:$CI$95,0)))</f>
        <v/>
      </c>
      <c r="CK84">
        <f>CK83+IF(AND(Lists!$EJ$31&lt;&gt;"",ISNUMBER(SEARCH($AA$4,Lists!$EJ$31))),1,0)</f>
        <v/>
      </c>
      <c r="CL84">
        <f>IF(ROW()-56&gt;MAX($CK$57:$CK$95),"",INDEX(Lists!$EJ$4:$EJ$42,MATCH(ROW()-56,$CK$57:$CK$95,0)))</f>
        <v/>
      </c>
      <c r="CM84">
        <f>CM83+IF(AND(Lists!$EO$31&lt;&gt;"",ISNUMBER(SEARCH($AB$4,Lists!$EO$31))),1,0)</f>
        <v/>
      </c>
      <c r="CN84">
        <f>IF(ROW()-56&gt;MAX($CM$57:$CM$95),"",INDEX(Lists!$EO$4:$EO$42,MATCH(ROW()-56,$CM$57:$CM$95,0)))</f>
        <v/>
      </c>
      <c r="CO84">
        <f>CO83+IF(AND(Lists!$ET$31&lt;&gt;"",ISNUMBER(SEARCH($AC$4,Lists!$ET$31))),1,0)</f>
        <v/>
      </c>
      <c r="CP84">
        <f>IF(ROW()-56&gt;MAX($CO$57:$CO$95),"",INDEX(Lists!$ET$4:$ET$42,MATCH(ROW()-56,$CO$57:$CO$95,0)))</f>
        <v/>
      </c>
      <c r="CQ84">
        <f>CQ83+IF(AND(Lists!$EY$31&lt;&gt;"",ISNUMBER(SEARCH($AD$4,Lists!$EY$31))),1,0)</f>
        <v/>
      </c>
      <c r="CR84">
        <f>IF(ROW()-56&gt;MAX($CQ$57:$CQ$95),"",INDEX(Lists!$EY$4:$EY$42,MATCH(ROW()-56,$CQ$57:$CQ$95,0)))</f>
        <v/>
      </c>
      <c r="CS84">
        <f>CS83+IF(AND(Lists!$FD$31&lt;&gt;"",ISNUMBER(SEARCH($AE$4,Lists!$FD$31))),1,0)</f>
        <v/>
      </c>
      <c r="CT84">
        <f>IF(ROW()-56&gt;MAX($CS$57:$CS$95),"",INDEX(Lists!$FD$4:$FD$42,MATCH(ROW()-56,$CS$57:$CS$95,0)))</f>
        <v/>
      </c>
      <c r="CU84">
        <f>CU83+IF(AND(Lists!$FI$31&lt;&gt;"",ISNUMBER(SEARCH($AG$4,Lists!$FI$31))),1,0)</f>
        <v/>
      </c>
      <c r="CV84">
        <f>IF(ROW()-56&gt;MAX($CU$57:$CU$95),"",INDEX(Lists!$FI$4:$FI$42,MATCH(ROW()-56,$CU$57:$CU$95,0)))</f>
        <v/>
      </c>
      <c r="CW84">
        <f>CW83+IF(AND(Lists!$FN$31&lt;&gt;"",ISNUMBER(SEARCH($AH$4,Lists!$FN$31))),1,0)</f>
        <v/>
      </c>
      <c r="CX84">
        <f>IF(ROW()-56&gt;MAX($CW$57:$CW$95),"",INDEX(Lists!$FN$4:$FN$42,MATCH(ROW()-56,$CW$57:$CW$95,0)))</f>
        <v/>
      </c>
      <c r="CY84">
        <f>CY83+IF(AND(Lists!$FS$31&lt;&gt;"",ISNUMBER(SEARCH($AI$4,Lists!$FS$31))),1,0)</f>
        <v/>
      </c>
      <c r="CZ84">
        <f>IF(ROW()-56&gt;MAX($CY$57:$CY$95),"",INDEX(Lists!$FS$4:$FS$42,MATCH(ROW()-56,$CY$57:$CY$95,0)))</f>
        <v/>
      </c>
      <c r="DA84">
        <f>DA83+IF(AND(Lists!$FX$31&lt;&gt;"",ISNUMBER(SEARCH($AF$4,Lists!$FX$31))),1,0)</f>
        <v/>
      </c>
      <c r="DB84">
        <f>IF(ROW()-56&gt;MAX($DA$57:$DA$95),"",INDEX(Lists!$FX$4:$FX$42,MATCH(ROW()-56,$DA$57:$DA$95,0)))</f>
        <v/>
      </c>
      <c r="DG84">
        <f>IF($B$4="",1,IF($B$4="(blank)",--('Final Calculation Sheet'!$F$29=""),IF($B$4="(nonblank)",--('Final Calculation Sheet'!$F$29&lt;&gt;""),--ISNUMBER(SEARCH($B$4,'Final Calculation Sheet'!$F$29)))))</f>
        <v/>
      </c>
      <c r="DH84">
        <f>IF($C$4="",1,IF($C$4="(blank)",--('Final Calculation Sheet'!$G$29=""),IF($C$4="(nonblank)",--('Final Calculation Sheet'!$G$29&lt;&gt;""),--ISNUMBER(SEARCH($C$4,'Final Calculation Sheet'!$G$29)))))</f>
        <v/>
      </c>
      <c r="DI84">
        <f>IF($D$4="",1,IF($D$4="(blank)",--('Final Calculation Sheet'!$B$29=""),IF($D$4="(nonblank)",--('Final Calculation Sheet'!$B$29&lt;&gt;""),--ISNUMBER(SEARCH($D$4,'Final Calculation Sheet'!$B$29)))))</f>
        <v/>
      </c>
      <c r="DJ84">
        <f>IF($E$4="",1,IF($E$4="(blank)",--('Final Calculation Sheet'!$D$29=""),IF($E$4="(nonblank)",--('Final Calculation Sheet'!$D$29&lt;&gt;""),--ISNUMBER(SEARCH($E$4,'Final Calculation Sheet'!$D$29)))))</f>
        <v/>
      </c>
      <c r="DK84">
        <f>IF($F$4="",1,IF($F$4="(blank)",--('Final Calculation Sheet'!$A$29=""),IF($F$4="(nonblank)",--('Final Calculation Sheet'!$A$29&lt;&gt;""),--ISNUMBER(SEARCH($F$4,'Final Calculation Sheet'!$A$29)))))</f>
        <v/>
      </c>
      <c r="DL84">
        <f>IF($G$4="",1,IF($G$4="(blank)",--('Final Calculation Sheet'!$E$29=""),IF($G$4="(nonblank)",--('Final Calculation Sheet'!$E$29&lt;&gt;""),--ISNUMBER(SEARCH($G$4,'Final Calculation Sheet'!$E$29)))))</f>
        <v/>
      </c>
      <c r="DM84">
        <f>IF($H$4="",1,IF($H$4="(blank)",--('Final Calculation Sheet'!$C$29=""),IF($H$4="(nonblank)",--('Final Calculation Sheet'!$C$29&lt;&gt;""),--ISNUMBER(SEARCH($H$4,'Final Calculation Sheet'!$C$29)))))</f>
        <v/>
      </c>
      <c r="DN84">
        <f>IF($I$4="",1,IF($I$4="(blank)",--('Final Calculation Sheet'!$H$29=""),IF($I$4="(nonblank)",--('Final Calculation Sheet'!$H$29&lt;&gt;""),--ISNUMBER(SEARCH($I$4,'Final Calculation Sheet'!$H$29)))))</f>
        <v/>
      </c>
      <c r="DO84">
        <f>IF($J$4="",1,IF($J$4="(blank)",--('Final Calculation Sheet'!$I$29=""),IF($J$4="(nonblank)",--('Final Calculation Sheet'!$I$29&lt;&gt;""),--ISNUMBER(SEARCH($J$4,'Final Calculation Sheet'!$I$29)))))</f>
        <v/>
      </c>
      <c r="DP84">
        <f>IF($K$4="",1,IF($K$4="(blank)",--('Final Calculation Sheet'!$J$29=""),IF($K$4="(nonblank)",--('Final Calculation Sheet'!$J$29&lt;&gt;""),--ISNUMBER(SEARCH($K$4,'Final Calculation Sheet'!$J$29)))))</f>
        <v/>
      </c>
      <c r="DQ84">
        <f>IF($L$4="",1,IF($L$4="(blank)",--('Final Calculation Sheet'!$K$29=""),IF($L$4="(nonblank)",--('Final Calculation Sheet'!$K$29&lt;&gt;""),--ISNUMBER(SEARCH($L$4,'Final Calculation Sheet'!$K$29)))))</f>
        <v/>
      </c>
      <c r="DR84">
        <f>IF($M$4="",1,IF($M$4="(blank)",--('Final Calculation Sheet'!$L$29=""),IF($M$4="(nonblank)",--('Final Calculation Sheet'!$L$29&lt;&gt;""),--ISNUMBER(SEARCH($M$4,'Final Calculation Sheet'!$L$29)))))</f>
        <v/>
      </c>
      <c r="DS84">
        <f>IF($N$4="",1,IF($N$4="(blank)",--('Final Calculation Sheet'!$M$29=""),IF($N$4="(nonblank)",--('Final Calculation Sheet'!$M$29&lt;&gt;""),--ISNUMBER(SEARCH($N$4,'Final Calculation Sheet'!$M$29)))))</f>
        <v/>
      </c>
      <c r="DT84">
        <f>IF($O$4="",1,IF($O$4="(blank)",--('Final Calculation Sheet'!$N$29=""),IF($O$4="(nonblank)",--('Final Calculation Sheet'!$N$29&lt;&gt;""),--ISNUMBER(SEARCH($O$4,'Final Calculation Sheet'!$N$29)))))</f>
        <v/>
      </c>
      <c r="DU84">
        <f>IF($P$4="",1,IF($P$4="(blank)",--('Final Calculation Sheet'!$O$29=""),IF($P$4="(nonblank)",--('Final Calculation Sheet'!$O$29&lt;&gt;""),--ISNUMBER(SEARCH($P$4,'Final Calculation Sheet'!$O$29)))))</f>
        <v/>
      </c>
      <c r="DV84">
        <f>IF($Q$4="",1,IF($Q$4="(blank)",--('Final Calculation Sheet'!$P$29=""),IF($Q$4="(nonblank)",--('Final Calculation Sheet'!$P$29&lt;&gt;""),--ISNUMBER(SEARCH($Q$4,'Final Calculation Sheet'!$P$29)))))</f>
        <v/>
      </c>
      <c r="DW84">
        <f>IF($R$4="",1,IF($R$4="(blank)",--('Final Calculation Sheet'!$Q$29=""),IF($R$4="(nonblank)",--('Final Calculation Sheet'!$Q$29&lt;&gt;""),--ISNUMBER(SEARCH($R$4,'Final Calculation Sheet'!$Q$29)))))</f>
        <v/>
      </c>
      <c r="DX84">
        <f>IF($S$4="",1,IF($S$4="(blank)",--('Final Calculation Sheet'!$R$29=""),IF($S$4="(nonblank)",--('Final Calculation Sheet'!$R$29&lt;&gt;""),--ISNUMBER(SEARCH($S$4,'Final Calculation Sheet'!$R$29)))))</f>
        <v/>
      </c>
      <c r="DY84">
        <f>IF($T$4="",1,IF($T$4="(blank)",--('Final Calculation Sheet'!$S$29=""),IF($T$4="(nonblank)",--('Final Calculation Sheet'!$S$29&lt;&gt;""),--ISNUMBER(SEARCH($T$4,'Final Calculation Sheet'!$S$29)))))</f>
        <v/>
      </c>
      <c r="DZ84">
        <f>IF($U$4="",1,IF($U$4="(blank)",--('Final Calculation Sheet'!$T$29=""),IF($U$4="(nonblank)",--('Final Calculation Sheet'!$T$29&lt;&gt;""),--ISNUMBER(SEARCH($U$4,'Final Calculation Sheet'!$T$29)))))</f>
        <v/>
      </c>
      <c r="EA84">
        <f>IF($V$4="",1,IF($V$4="(blank)",--('Final Calculation Sheet'!$U$29=""),IF($V$4="(nonblank)",--('Final Calculation Sheet'!$U$29&lt;&gt;""),--ISNUMBER(SEARCH($V$4,'Final Calculation Sheet'!$U$29)))))</f>
        <v/>
      </c>
      <c r="EB84">
        <f>IF($W$4="",1,IF($W$4="(blank)",--('Final Calculation Sheet'!$V$29=""),IF($W$4="(nonblank)",--('Final Calculation Sheet'!$V$29&lt;&gt;""),--ISNUMBER(SEARCH($W$4,'Final Calculation Sheet'!$V$29)))))</f>
        <v/>
      </c>
      <c r="EC84">
        <f>IF($X$4="",1,IF($X$4="(blank)",--('Final Calculation Sheet'!$W$29=""),IF($X$4="(nonblank)",--('Final Calculation Sheet'!$W$29&lt;&gt;""),--ISNUMBER(SEARCH($X$4,'Final Calculation Sheet'!$W$29)))))</f>
        <v/>
      </c>
      <c r="ED84">
        <f>IF($Y$4="",1,IF($Y$4="(blank)",--('Final Calculation Sheet'!$X$29=""),IF($Y$4="(nonblank)",--('Final Calculation Sheet'!$X$29&lt;&gt;""),--ISNUMBER(SEARCH($Y$4,'Final Calculation Sheet'!$X$29)))))</f>
        <v/>
      </c>
      <c r="EE84">
        <f>IF($Z$4="",1,IF($Z$4="(blank)",--('Final Calculation Sheet'!$Y$29=""),IF($Z$4="(nonblank)",--('Final Calculation Sheet'!$Y$29&lt;&gt;""),--ISNUMBER(SEARCH($Z$4,'Final Calculation Sheet'!$Y$29)))))</f>
        <v/>
      </c>
      <c r="EF84">
        <f>IF($AA$4="",1,IF($AA$4="(blank)",--('Final Calculation Sheet'!$Z$29=""),IF($AA$4="(nonblank)",--('Final Calculation Sheet'!$Z$29&lt;&gt;""),--ISNUMBER(SEARCH($AA$4,'Final Calculation Sheet'!$Z$29)))))</f>
        <v/>
      </c>
      <c r="EG84">
        <f>IF($AB$4="",1,IF($AB$4="(blank)",--('Final Calculation Sheet'!$AA$29=""),IF($AB$4="(nonblank)",--('Final Calculation Sheet'!$AA$29&lt;&gt;""),--ISNUMBER(SEARCH($AB$4,'Final Calculation Sheet'!$AA$29)))))</f>
        <v/>
      </c>
      <c r="EH84">
        <f>IF($AC$4="",1,IF($AC$4="(blank)",--('Final Calculation Sheet'!$AB$29=""),IF($AC$4="(nonblank)",--('Final Calculation Sheet'!$AB$29&lt;&gt;""),--ISNUMBER(SEARCH($AC$4,'Final Calculation Sheet'!$AB$29)))))</f>
        <v/>
      </c>
      <c r="EI84">
        <f>IF($AD$4="",1,IF($AD$4="(blank)",--('Final Calculation Sheet'!$AC$29=""),IF($AD$4="(nonblank)",--('Final Calculation Sheet'!$AC$29&lt;&gt;""),--ISNUMBER(SEARCH($AD$4,'Final Calculation Sheet'!$AC$29)))))</f>
        <v/>
      </c>
      <c r="EJ84">
        <f>IF($AE$4="",1,IF($AE$4="(blank)",--('Final Calculation Sheet'!$AD$29=""),IF($AE$4="(nonblank)",--('Final Calculation Sheet'!$AD$29&lt;&gt;""),--ISNUMBER(SEARCH($AE$4,'Final Calculation Sheet'!$AD$29)))))</f>
        <v/>
      </c>
      <c r="EK84">
        <f>IF($AF$4="",1,IF($AF$4="(blank)",--(IF('Final Calculation Sheet'!$AD$29&lt;=5,"SETTLED","OUTSTANDING")=""),IF($AF$4="(nonblank)",--(IF('Final Calculation Sheet'!$AD$29&lt;=5,"SETTLED","OUTSTANDING")&lt;&gt;""),--ISNUMBER(SEARCH($AF$4,IF('Final Calculation Sheet'!$AD$29&lt;=5,"SETTLED","OUTSTANDING"))))))</f>
        <v/>
      </c>
      <c r="EL84">
        <f>IF($AG$4="",1,IF($AG$4="(blank)",--('Final Calculation Sheet'!$AF$29=""),IF($AG$4="(nonblank)",--('Final Calculation Sheet'!$AF$29&lt;&gt;""),--ISNUMBER(SEARCH($AG$4,'Final Calculation Sheet'!$AF$29)))))</f>
        <v/>
      </c>
      <c r="EM84">
        <f>IF($AH$4="",1,IF($AH$4="(blank)",--('Final Calculation Sheet'!$AG$29=""),IF($AH$4="(nonblank)",--('Final Calculation Sheet'!$AG$29&lt;&gt;""),--ISNUMBER(SEARCH($AH$4,'Final Calculation Sheet'!$AG$29)))))</f>
        <v/>
      </c>
      <c r="EN84">
        <f>IF($AI$4="",1,IF($AI$4="(blank)",--('Final Calculation Sheet'!$AH$29=""),IF($AI$4="(nonblank)",--('Final Calculation Sheet'!$AH$29&lt;&gt;""),--ISNUMBER(SEARCH($AI$4,'Final Calculation Sheet'!$AH$29)))))</f>
        <v/>
      </c>
    </row>
    <row r="85">
      <c r="AM85">
        <f>AM84+IF(AND(Lists!$O$32&lt;&gt;"",ISNUMBER(SEARCH($B$4,Lists!$O$32))),1,0)</f>
        <v/>
      </c>
      <c r="AN85">
        <f>IF(ROW()-56&gt;MAX($AM$57:$AM$95),"",INDEX(Lists!$O$4:$O$42,MATCH(ROW()-56,$AM$57:$AM$95,0)))</f>
        <v/>
      </c>
      <c r="AO85">
        <f>AO84+IF(AND(Lists!$T$32&lt;&gt;"",ISNUMBER(SEARCH($C$4,Lists!$T$32))),1,0)</f>
        <v/>
      </c>
      <c r="AP85">
        <f>IF(ROW()-56&gt;MAX($AO$57:$AO$95),"",INDEX(Lists!$T$4:$T$42,MATCH(ROW()-56,$AO$57:$AO$95,0)))</f>
        <v/>
      </c>
      <c r="AQ85">
        <f>AQ84+IF(AND(Lists!$Y$32&lt;&gt;"",ISNUMBER(SEARCH($D$4,Lists!$Y$32))),1,0)</f>
        <v/>
      </c>
      <c r="AR85">
        <f>IF(ROW()-56&gt;MAX($AQ$57:$AQ$95),"",INDEX(Lists!$Y$4:$Y$42,MATCH(ROW()-56,$AQ$57:$AQ$95,0)))</f>
        <v/>
      </c>
      <c r="AS85">
        <f>AS84+IF(AND(Lists!$AD$32&lt;&gt;"",ISNUMBER(SEARCH($E$4,Lists!$AD$32))),1,0)</f>
        <v/>
      </c>
      <c r="AT85">
        <f>IF(ROW()-56&gt;MAX($AS$57:$AS$95),"",INDEX(Lists!$AD$4:$AD$42,MATCH(ROW()-56,$AS$57:$AS$95,0)))</f>
        <v/>
      </c>
      <c r="AU85">
        <f>AU84+IF(AND(Lists!$AI$32&lt;&gt;"",ISNUMBER(SEARCH($F$4,Lists!$AI$32))),1,0)</f>
        <v/>
      </c>
      <c r="AV85">
        <f>IF(ROW()-56&gt;MAX($AU$57:$AU$95),"",INDEX(Lists!$AI$4:$AI$42,MATCH(ROW()-56,$AU$57:$AU$95,0)))</f>
        <v/>
      </c>
      <c r="AW85">
        <f>AW84+IF(AND(Lists!$AN$32&lt;&gt;"",ISNUMBER(SEARCH($G$4,Lists!$AN$32))),1,0)</f>
        <v/>
      </c>
      <c r="AX85">
        <f>IF(ROW()-56&gt;MAX($AW$57:$AW$95),"",INDEX(Lists!$AN$4:$AN$42,MATCH(ROW()-56,$AW$57:$AW$95,0)))</f>
        <v/>
      </c>
      <c r="AY85">
        <f>AY84+IF(AND(Lists!$AS$32&lt;&gt;"",ISNUMBER(SEARCH($H$4,Lists!$AS$32))),1,0)</f>
        <v/>
      </c>
      <c r="AZ85">
        <f>IF(ROW()-56&gt;MAX($AY$57:$AY$95),"",INDEX(Lists!$AS$4:$AS$42,MATCH(ROW()-56,$AY$57:$AY$95,0)))</f>
        <v/>
      </c>
      <c r="BA85">
        <f>BA84+IF(AND(Lists!$AX$32&lt;&gt;"",ISNUMBER(SEARCH($I$4,Lists!$AX$32))),1,0)</f>
        <v/>
      </c>
      <c r="BB85">
        <f>IF(ROW()-56&gt;MAX($BA$57:$BA$95),"",INDEX(Lists!$AX$4:$AX$42,MATCH(ROW()-56,$BA$57:$BA$95,0)))</f>
        <v/>
      </c>
      <c r="BC85">
        <f>BC84+IF(AND(Lists!$BC$32&lt;&gt;"",ISNUMBER(SEARCH($J$4,Lists!$BC$32))),1,0)</f>
        <v/>
      </c>
      <c r="BD85">
        <f>IF(ROW()-56&gt;MAX($BC$57:$BC$95),"",INDEX(Lists!$BC$4:$BC$42,MATCH(ROW()-56,$BC$57:$BC$95,0)))</f>
        <v/>
      </c>
      <c r="BE85">
        <f>BE84+IF(AND(Lists!$BH$32&lt;&gt;"",ISNUMBER(SEARCH($K$4,Lists!$BH$32))),1,0)</f>
        <v/>
      </c>
      <c r="BF85">
        <f>IF(ROW()-56&gt;MAX($BE$57:$BE$95),"",INDEX(Lists!$BH$4:$BH$42,MATCH(ROW()-56,$BE$57:$BE$95,0)))</f>
        <v/>
      </c>
      <c r="BG85">
        <f>BG84+IF(AND(Lists!$BM$32&lt;&gt;"",ISNUMBER(SEARCH($L$4,Lists!$BM$32))),1,0)</f>
        <v/>
      </c>
      <c r="BH85">
        <f>IF(ROW()-56&gt;MAX($BG$57:$BG$95),"",INDEX(Lists!$BM$4:$BM$42,MATCH(ROW()-56,$BG$57:$BG$95,0)))</f>
        <v/>
      </c>
      <c r="BI85">
        <f>BI84+IF(AND(Lists!$BR$32&lt;&gt;"",ISNUMBER(SEARCH($M$4,Lists!$BR$32))),1,0)</f>
        <v/>
      </c>
      <c r="BJ85">
        <f>IF(ROW()-56&gt;MAX($BI$57:$BI$95),"",INDEX(Lists!$BR$4:$BR$42,MATCH(ROW()-56,$BI$57:$BI$95,0)))</f>
        <v/>
      </c>
      <c r="BK85">
        <f>BK84+IF(AND(Lists!$BW$32&lt;&gt;"",ISNUMBER(SEARCH($N$4,Lists!$BW$32))),1,0)</f>
        <v/>
      </c>
      <c r="BL85">
        <f>IF(ROW()-56&gt;MAX($BK$57:$BK$95),"",INDEX(Lists!$BW$4:$BW$42,MATCH(ROW()-56,$BK$57:$BK$95,0)))</f>
        <v/>
      </c>
      <c r="BM85">
        <f>BM84+IF(AND(Lists!$CB$32&lt;&gt;"",ISNUMBER(SEARCH($O$4,Lists!$CB$32))),1,0)</f>
        <v/>
      </c>
      <c r="BN85">
        <f>IF(ROW()-56&gt;MAX($BM$57:$BM$95),"",INDEX(Lists!$CB$4:$CB$42,MATCH(ROW()-56,$BM$57:$BM$95,0)))</f>
        <v/>
      </c>
      <c r="BO85">
        <f>BO84+IF(AND(Lists!$CG$32&lt;&gt;"",ISNUMBER(SEARCH($P$4,Lists!$CG$32))),1,0)</f>
        <v/>
      </c>
      <c r="BP85">
        <f>IF(ROW()-56&gt;MAX($BO$57:$BO$95),"",INDEX(Lists!$CG$4:$CG$42,MATCH(ROW()-56,$BO$57:$BO$95,0)))</f>
        <v/>
      </c>
      <c r="BQ85">
        <f>BQ84+IF(AND(Lists!$CL$32&lt;&gt;"",ISNUMBER(SEARCH($Q$4,Lists!$CL$32))),1,0)</f>
        <v/>
      </c>
      <c r="BR85">
        <f>IF(ROW()-56&gt;MAX($BQ$57:$BQ$95),"",INDEX(Lists!$CL$4:$CL$42,MATCH(ROW()-56,$BQ$57:$BQ$95,0)))</f>
        <v/>
      </c>
      <c r="BS85">
        <f>BS84+IF(AND(Lists!$CQ$32&lt;&gt;"",ISNUMBER(SEARCH($R$4,Lists!$CQ$32))),1,0)</f>
        <v/>
      </c>
      <c r="BT85">
        <f>IF(ROW()-56&gt;MAX($BS$57:$BS$95),"",INDEX(Lists!$CQ$4:$CQ$42,MATCH(ROW()-56,$BS$57:$BS$95,0)))</f>
        <v/>
      </c>
      <c r="BU85">
        <f>BU84+IF(AND(Lists!$CV$32&lt;&gt;"",ISNUMBER(SEARCH($S$4,Lists!$CV$32))),1,0)</f>
        <v/>
      </c>
      <c r="BV85">
        <f>IF(ROW()-56&gt;MAX($BU$57:$BU$95),"",INDEX(Lists!$CV$4:$CV$42,MATCH(ROW()-56,$BU$57:$BU$95,0)))</f>
        <v/>
      </c>
      <c r="BW85">
        <f>BW84+IF(AND(Lists!$DA$32&lt;&gt;"",ISNUMBER(SEARCH($T$4,Lists!$DA$32))),1,0)</f>
        <v/>
      </c>
      <c r="BX85">
        <f>IF(ROW()-56&gt;MAX($BW$57:$BW$95),"",INDEX(Lists!$DA$4:$DA$42,MATCH(ROW()-56,$BW$57:$BW$95,0)))</f>
        <v/>
      </c>
      <c r="BY85">
        <f>BY84+IF(AND(Lists!$DF$32&lt;&gt;"",ISNUMBER(SEARCH($U$4,Lists!$DF$32))),1,0)</f>
        <v/>
      </c>
      <c r="BZ85">
        <f>IF(ROW()-56&gt;MAX($BY$57:$BY$95),"",INDEX(Lists!$DF$4:$DF$42,MATCH(ROW()-56,$BY$57:$BY$95,0)))</f>
        <v/>
      </c>
      <c r="CA85">
        <f>CA84+IF(AND(Lists!$DK$32&lt;&gt;"",ISNUMBER(SEARCH($V$4,Lists!$DK$32))),1,0)</f>
        <v/>
      </c>
      <c r="CB85">
        <f>IF(ROW()-56&gt;MAX($CA$57:$CA$95),"",INDEX(Lists!$DK$4:$DK$42,MATCH(ROW()-56,$CA$57:$CA$95,0)))</f>
        <v/>
      </c>
      <c r="CC85">
        <f>CC84+IF(AND(Lists!$DP$32&lt;&gt;"",ISNUMBER(SEARCH($W$4,Lists!$DP$32))),1,0)</f>
        <v/>
      </c>
      <c r="CD85">
        <f>IF(ROW()-56&gt;MAX($CC$57:$CC$95),"",INDEX(Lists!$DP$4:$DP$42,MATCH(ROW()-56,$CC$57:$CC$95,0)))</f>
        <v/>
      </c>
      <c r="CE85">
        <f>CE84+IF(AND(Lists!$DU$32&lt;&gt;"",ISNUMBER(SEARCH($X$4,Lists!$DU$32))),1,0)</f>
        <v/>
      </c>
      <c r="CF85">
        <f>IF(ROW()-56&gt;MAX($CE$57:$CE$95),"",INDEX(Lists!$DU$4:$DU$42,MATCH(ROW()-56,$CE$57:$CE$95,0)))</f>
        <v/>
      </c>
      <c r="CG85">
        <f>CG84+IF(AND(Lists!$DZ$32&lt;&gt;"",ISNUMBER(SEARCH($Y$4,Lists!$DZ$32))),1,0)</f>
        <v/>
      </c>
      <c r="CH85">
        <f>IF(ROW()-56&gt;MAX($CG$57:$CG$95),"",INDEX(Lists!$DZ$4:$DZ$42,MATCH(ROW()-56,$CG$57:$CG$95,0)))</f>
        <v/>
      </c>
      <c r="CI85">
        <f>CI84+IF(AND(Lists!$EE$32&lt;&gt;"",ISNUMBER(SEARCH($Z$4,Lists!$EE$32))),1,0)</f>
        <v/>
      </c>
      <c r="CJ85">
        <f>IF(ROW()-56&gt;MAX($CI$57:$CI$95),"",INDEX(Lists!$EE$4:$EE$42,MATCH(ROW()-56,$CI$57:$CI$95,0)))</f>
        <v/>
      </c>
      <c r="CK85">
        <f>CK84+IF(AND(Lists!$EJ$32&lt;&gt;"",ISNUMBER(SEARCH($AA$4,Lists!$EJ$32))),1,0)</f>
        <v/>
      </c>
      <c r="CL85">
        <f>IF(ROW()-56&gt;MAX($CK$57:$CK$95),"",INDEX(Lists!$EJ$4:$EJ$42,MATCH(ROW()-56,$CK$57:$CK$95,0)))</f>
        <v/>
      </c>
      <c r="CM85">
        <f>CM84+IF(AND(Lists!$EO$32&lt;&gt;"",ISNUMBER(SEARCH($AB$4,Lists!$EO$32))),1,0)</f>
        <v/>
      </c>
      <c r="CN85">
        <f>IF(ROW()-56&gt;MAX($CM$57:$CM$95),"",INDEX(Lists!$EO$4:$EO$42,MATCH(ROW()-56,$CM$57:$CM$95,0)))</f>
        <v/>
      </c>
      <c r="CO85">
        <f>CO84+IF(AND(Lists!$ET$32&lt;&gt;"",ISNUMBER(SEARCH($AC$4,Lists!$ET$32))),1,0)</f>
        <v/>
      </c>
      <c r="CP85">
        <f>IF(ROW()-56&gt;MAX($CO$57:$CO$95),"",INDEX(Lists!$ET$4:$ET$42,MATCH(ROW()-56,$CO$57:$CO$95,0)))</f>
        <v/>
      </c>
      <c r="CQ85">
        <f>CQ84+IF(AND(Lists!$EY$32&lt;&gt;"",ISNUMBER(SEARCH($AD$4,Lists!$EY$32))),1,0)</f>
        <v/>
      </c>
      <c r="CR85">
        <f>IF(ROW()-56&gt;MAX($CQ$57:$CQ$95),"",INDEX(Lists!$EY$4:$EY$42,MATCH(ROW()-56,$CQ$57:$CQ$95,0)))</f>
        <v/>
      </c>
      <c r="CS85">
        <f>CS84+IF(AND(Lists!$FD$32&lt;&gt;"",ISNUMBER(SEARCH($AE$4,Lists!$FD$32))),1,0)</f>
        <v/>
      </c>
      <c r="CT85">
        <f>IF(ROW()-56&gt;MAX($CS$57:$CS$95),"",INDEX(Lists!$FD$4:$FD$42,MATCH(ROW()-56,$CS$57:$CS$95,0)))</f>
        <v/>
      </c>
      <c r="CU85">
        <f>CU84+IF(AND(Lists!$FI$32&lt;&gt;"",ISNUMBER(SEARCH($AG$4,Lists!$FI$32))),1,0)</f>
        <v/>
      </c>
      <c r="CV85">
        <f>IF(ROW()-56&gt;MAX($CU$57:$CU$95),"",INDEX(Lists!$FI$4:$FI$42,MATCH(ROW()-56,$CU$57:$CU$95,0)))</f>
        <v/>
      </c>
      <c r="CW85">
        <f>CW84+IF(AND(Lists!$FN$32&lt;&gt;"",ISNUMBER(SEARCH($AH$4,Lists!$FN$32))),1,0)</f>
        <v/>
      </c>
      <c r="CX85">
        <f>IF(ROW()-56&gt;MAX($CW$57:$CW$95),"",INDEX(Lists!$FN$4:$FN$42,MATCH(ROW()-56,$CW$57:$CW$95,0)))</f>
        <v/>
      </c>
      <c r="CY85">
        <f>CY84+IF(AND(Lists!$FS$32&lt;&gt;"",ISNUMBER(SEARCH($AI$4,Lists!$FS$32))),1,0)</f>
        <v/>
      </c>
      <c r="CZ85">
        <f>IF(ROW()-56&gt;MAX($CY$57:$CY$95),"",INDEX(Lists!$FS$4:$FS$42,MATCH(ROW()-56,$CY$57:$CY$95,0)))</f>
        <v/>
      </c>
      <c r="DA85">
        <f>DA84+IF(AND(Lists!$FX$32&lt;&gt;"",ISNUMBER(SEARCH($AF$4,Lists!$FX$32))),1,0)</f>
        <v/>
      </c>
      <c r="DB85">
        <f>IF(ROW()-56&gt;MAX($DA$57:$DA$95),"",INDEX(Lists!$FX$4:$FX$42,MATCH(ROW()-56,$DA$57:$DA$95,0)))</f>
        <v/>
      </c>
      <c r="DG85">
        <f>IF($B$4="",1,IF($B$4="(blank)",--('Final Calculation Sheet'!$F$30=""),IF($B$4="(nonblank)",--('Final Calculation Sheet'!$F$30&lt;&gt;""),--ISNUMBER(SEARCH($B$4,'Final Calculation Sheet'!$F$30)))))</f>
        <v/>
      </c>
      <c r="DH85">
        <f>IF($C$4="",1,IF($C$4="(blank)",--('Final Calculation Sheet'!$G$30=""),IF($C$4="(nonblank)",--('Final Calculation Sheet'!$G$30&lt;&gt;""),--ISNUMBER(SEARCH($C$4,'Final Calculation Sheet'!$G$30)))))</f>
        <v/>
      </c>
      <c r="DI85">
        <f>IF($D$4="",1,IF($D$4="(blank)",--('Final Calculation Sheet'!$B$30=""),IF($D$4="(nonblank)",--('Final Calculation Sheet'!$B$30&lt;&gt;""),--ISNUMBER(SEARCH($D$4,'Final Calculation Sheet'!$B$30)))))</f>
        <v/>
      </c>
      <c r="DJ85">
        <f>IF($E$4="",1,IF($E$4="(blank)",--('Final Calculation Sheet'!$D$30=""),IF($E$4="(nonblank)",--('Final Calculation Sheet'!$D$30&lt;&gt;""),--ISNUMBER(SEARCH($E$4,'Final Calculation Sheet'!$D$30)))))</f>
        <v/>
      </c>
      <c r="DK85">
        <f>IF($F$4="",1,IF($F$4="(blank)",--('Final Calculation Sheet'!$A$30=""),IF($F$4="(nonblank)",--('Final Calculation Sheet'!$A$30&lt;&gt;""),--ISNUMBER(SEARCH($F$4,'Final Calculation Sheet'!$A$30)))))</f>
        <v/>
      </c>
      <c r="DL85">
        <f>IF($G$4="",1,IF($G$4="(blank)",--('Final Calculation Sheet'!$E$30=""),IF($G$4="(nonblank)",--('Final Calculation Sheet'!$E$30&lt;&gt;""),--ISNUMBER(SEARCH($G$4,'Final Calculation Sheet'!$E$30)))))</f>
        <v/>
      </c>
      <c r="DM85">
        <f>IF($H$4="",1,IF($H$4="(blank)",--('Final Calculation Sheet'!$C$30=""),IF($H$4="(nonblank)",--('Final Calculation Sheet'!$C$30&lt;&gt;""),--ISNUMBER(SEARCH($H$4,'Final Calculation Sheet'!$C$30)))))</f>
        <v/>
      </c>
      <c r="DN85">
        <f>IF($I$4="",1,IF($I$4="(blank)",--('Final Calculation Sheet'!$H$30=""),IF($I$4="(nonblank)",--('Final Calculation Sheet'!$H$30&lt;&gt;""),--ISNUMBER(SEARCH($I$4,'Final Calculation Sheet'!$H$30)))))</f>
        <v/>
      </c>
      <c r="DO85">
        <f>IF($J$4="",1,IF($J$4="(blank)",--('Final Calculation Sheet'!$I$30=""),IF($J$4="(nonblank)",--('Final Calculation Sheet'!$I$30&lt;&gt;""),--ISNUMBER(SEARCH($J$4,'Final Calculation Sheet'!$I$30)))))</f>
        <v/>
      </c>
      <c r="DP85">
        <f>IF($K$4="",1,IF($K$4="(blank)",--('Final Calculation Sheet'!$J$30=""),IF($K$4="(nonblank)",--('Final Calculation Sheet'!$J$30&lt;&gt;""),--ISNUMBER(SEARCH($K$4,'Final Calculation Sheet'!$J$30)))))</f>
        <v/>
      </c>
      <c r="DQ85">
        <f>IF($L$4="",1,IF($L$4="(blank)",--('Final Calculation Sheet'!$K$30=""),IF($L$4="(nonblank)",--('Final Calculation Sheet'!$K$30&lt;&gt;""),--ISNUMBER(SEARCH($L$4,'Final Calculation Sheet'!$K$30)))))</f>
        <v/>
      </c>
      <c r="DR85">
        <f>IF($M$4="",1,IF($M$4="(blank)",--('Final Calculation Sheet'!$L$30=""),IF($M$4="(nonblank)",--('Final Calculation Sheet'!$L$30&lt;&gt;""),--ISNUMBER(SEARCH($M$4,'Final Calculation Sheet'!$L$30)))))</f>
        <v/>
      </c>
      <c r="DS85">
        <f>IF($N$4="",1,IF($N$4="(blank)",--('Final Calculation Sheet'!$M$30=""),IF($N$4="(nonblank)",--('Final Calculation Sheet'!$M$30&lt;&gt;""),--ISNUMBER(SEARCH($N$4,'Final Calculation Sheet'!$M$30)))))</f>
        <v/>
      </c>
      <c r="DT85">
        <f>IF($O$4="",1,IF($O$4="(blank)",--('Final Calculation Sheet'!$N$30=""),IF($O$4="(nonblank)",--('Final Calculation Sheet'!$N$30&lt;&gt;""),--ISNUMBER(SEARCH($O$4,'Final Calculation Sheet'!$N$30)))))</f>
        <v/>
      </c>
      <c r="DU85">
        <f>IF($P$4="",1,IF($P$4="(blank)",--('Final Calculation Sheet'!$O$30=""),IF($P$4="(nonblank)",--('Final Calculation Sheet'!$O$30&lt;&gt;""),--ISNUMBER(SEARCH($P$4,'Final Calculation Sheet'!$O$30)))))</f>
        <v/>
      </c>
      <c r="DV85">
        <f>IF($Q$4="",1,IF($Q$4="(blank)",--('Final Calculation Sheet'!$P$30=""),IF($Q$4="(nonblank)",--('Final Calculation Sheet'!$P$30&lt;&gt;""),--ISNUMBER(SEARCH($Q$4,'Final Calculation Sheet'!$P$30)))))</f>
        <v/>
      </c>
      <c r="DW85">
        <f>IF($R$4="",1,IF($R$4="(blank)",--('Final Calculation Sheet'!$Q$30=""),IF($R$4="(nonblank)",--('Final Calculation Sheet'!$Q$30&lt;&gt;""),--ISNUMBER(SEARCH($R$4,'Final Calculation Sheet'!$Q$30)))))</f>
        <v/>
      </c>
      <c r="DX85">
        <f>IF($S$4="",1,IF($S$4="(blank)",--('Final Calculation Sheet'!$R$30=""),IF($S$4="(nonblank)",--('Final Calculation Sheet'!$R$30&lt;&gt;""),--ISNUMBER(SEARCH($S$4,'Final Calculation Sheet'!$R$30)))))</f>
        <v/>
      </c>
      <c r="DY85">
        <f>IF($T$4="",1,IF($T$4="(blank)",--('Final Calculation Sheet'!$S$30=""),IF($T$4="(nonblank)",--('Final Calculation Sheet'!$S$30&lt;&gt;""),--ISNUMBER(SEARCH($T$4,'Final Calculation Sheet'!$S$30)))))</f>
        <v/>
      </c>
      <c r="DZ85">
        <f>IF($U$4="",1,IF($U$4="(blank)",--('Final Calculation Sheet'!$T$30=""),IF($U$4="(nonblank)",--('Final Calculation Sheet'!$T$30&lt;&gt;""),--ISNUMBER(SEARCH($U$4,'Final Calculation Sheet'!$T$30)))))</f>
        <v/>
      </c>
      <c r="EA85">
        <f>IF($V$4="",1,IF($V$4="(blank)",--('Final Calculation Sheet'!$U$30=""),IF($V$4="(nonblank)",--('Final Calculation Sheet'!$U$30&lt;&gt;""),--ISNUMBER(SEARCH($V$4,'Final Calculation Sheet'!$U$30)))))</f>
        <v/>
      </c>
      <c r="EB85">
        <f>IF($W$4="",1,IF($W$4="(blank)",--('Final Calculation Sheet'!$V$30=""),IF($W$4="(nonblank)",--('Final Calculation Sheet'!$V$30&lt;&gt;""),--ISNUMBER(SEARCH($W$4,'Final Calculation Sheet'!$V$30)))))</f>
        <v/>
      </c>
      <c r="EC85">
        <f>IF($X$4="",1,IF($X$4="(blank)",--('Final Calculation Sheet'!$W$30=""),IF($X$4="(nonblank)",--('Final Calculation Sheet'!$W$30&lt;&gt;""),--ISNUMBER(SEARCH($X$4,'Final Calculation Sheet'!$W$30)))))</f>
        <v/>
      </c>
      <c r="ED85">
        <f>IF($Y$4="",1,IF($Y$4="(blank)",--('Final Calculation Sheet'!$X$30=""),IF($Y$4="(nonblank)",--('Final Calculation Sheet'!$X$30&lt;&gt;""),--ISNUMBER(SEARCH($Y$4,'Final Calculation Sheet'!$X$30)))))</f>
        <v/>
      </c>
      <c r="EE85">
        <f>IF($Z$4="",1,IF($Z$4="(blank)",--('Final Calculation Sheet'!$Y$30=""),IF($Z$4="(nonblank)",--('Final Calculation Sheet'!$Y$30&lt;&gt;""),--ISNUMBER(SEARCH($Z$4,'Final Calculation Sheet'!$Y$30)))))</f>
        <v/>
      </c>
      <c r="EF85">
        <f>IF($AA$4="",1,IF($AA$4="(blank)",--('Final Calculation Sheet'!$Z$30=""),IF($AA$4="(nonblank)",--('Final Calculation Sheet'!$Z$30&lt;&gt;""),--ISNUMBER(SEARCH($AA$4,'Final Calculation Sheet'!$Z$30)))))</f>
        <v/>
      </c>
      <c r="EG85">
        <f>IF($AB$4="",1,IF($AB$4="(blank)",--('Final Calculation Sheet'!$AA$30=""),IF($AB$4="(nonblank)",--('Final Calculation Sheet'!$AA$30&lt;&gt;""),--ISNUMBER(SEARCH($AB$4,'Final Calculation Sheet'!$AA$30)))))</f>
        <v/>
      </c>
      <c r="EH85">
        <f>IF($AC$4="",1,IF($AC$4="(blank)",--('Final Calculation Sheet'!$AB$30=""),IF($AC$4="(nonblank)",--('Final Calculation Sheet'!$AB$30&lt;&gt;""),--ISNUMBER(SEARCH($AC$4,'Final Calculation Sheet'!$AB$30)))))</f>
        <v/>
      </c>
      <c r="EI85">
        <f>IF($AD$4="",1,IF($AD$4="(blank)",--('Final Calculation Sheet'!$AC$30=""),IF($AD$4="(nonblank)",--('Final Calculation Sheet'!$AC$30&lt;&gt;""),--ISNUMBER(SEARCH($AD$4,'Final Calculation Sheet'!$AC$30)))))</f>
        <v/>
      </c>
      <c r="EJ85">
        <f>IF($AE$4="",1,IF($AE$4="(blank)",--('Final Calculation Sheet'!$AD$30=""),IF($AE$4="(nonblank)",--('Final Calculation Sheet'!$AD$30&lt;&gt;""),--ISNUMBER(SEARCH($AE$4,'Final Calculation Sheet'!$AD$30)))))</f>
        <v/>
      </c>
      <c r="EK85">
        <f>IF($AF$4="",1,IF($AF$4="(blank)",--(IF('Final Calculation Sheet'!$AD$30&lt;=5,"SETTLED","OUTSTANDING")=""),IF($AF$4="(nonblank)",--(IF('Final Calculation Sheet'!$AD$30&lt;=5,"SETTLED","OUTSTANDING")&lt;&gt;""),--ISNUMBER(SEARCH($AF$4,IF('Final Calculation Sheet'!$AD$30&lt;=5,"SETTLED","OUTSTANDING"))))))</f>
        <v/>
      </c>
      <c r="EL85">
        <f>IF($AG$4="",1,IF($AG$4="(blank)",--('Final Calculation Sheet'!$AF$30=""),IF($AG$4="(nonblank)",--('Final Calculation Sheet'!$AF$30&lt;&gt;""),--ISNUMBER(SEARCH($AG$4,'Final Calculation Sheet'!$AF$30)))))</f>
        <v/>
      </c>
      <c r="EM85">
        <f>IF($AH$4="",1,IF($AH$4="(blank)",--('Final Calculation Sheet'!$AG$30=""),IF($AH$4="(nonblank)",--('Final Calculation Sheet'!$AG$30&lt;&gt;""),--ISNUMBER(SEARCH($AH$4,'Final Calculation Sheet'!$AG$30)))))</f>
        <v/>
      </c>
      <c r="EN85">
        <f>IF($AI$4="",1,IF($AI$4="(blank)",--('Final Calculation Sheet'!$AH$30=""),IF($AI$4="(nonblank)",--('Final Calculation Sheet'!$AH$30&lt;&gt;""),--ISNUMBER(SEARCH($AI$4,'Final Calculation Sheet'!$AH$30)))))</f>
        <v/>
      </c>
    </row>
    <row r="86">
      <c r="AM86">
        <f>AM85+IF(AND(Lists!$O$33&lt;&gt;"",ISNUMBER(SEARCH($B$4,Lists!$O$33))),1,0)</f>
        <v/>
      </c>
      <c r="AN86">
        <f>IF(ROW()-56&gt;MAX($AM$57:$AM$95),"",INDEX(Lists!$O$4:$O$42,MATCH(ROW()-56,$AM$57:$AM$95,0)))</f>
        <v/>
      </c>
      <c r="AO86">
        <f>AO85+IF(AND(Lists!$T$33&lt;&gt;"",ISNUMBER(SEARCH($C$4,Lists!$T$33))),1,0)</f>
        <v/>
      </c>
      <c r="AP86">
        <f>IF(ROW()-56&gt;MAX($AO$57:$AO$95),"",INDEX(Lists!$T$4:$T$42,MATCH(ROW()-56,$AO$57:$AO$95,0)))</f>
        <v/>
      </c>
      <c r="AQ86">
        <f>AQ85+IF(AND(Lists!$Y$33&lt;&gt;"",ISNUMBER(SEARCH($D$4,Lists!$Y$33))),1,0)</f>
        <v/>
      </c>
      <c r="AR86">
        <f>IF(ROW()-56&gt;MAX($AQ$57:$AQ$95),"",INDEX(Lists!$Y$4:$Y$42,MATCH(ROW()-56,$AQ$57:$AQ$95,0)))</f>
        <v/>
      </c>
      <c r="AS86">
        <f>AS85+IF(AND(Lists!$AD$33&lt;&gt;"",ISNUMBER(SEARCH($E$4,Lists!$AD$33))),1,0)</f>
        <v/>
      </c>
      <c r="AT86">
        <f>IF(ROW()-56&gt;MAX($AS$57:$AS$95),"",INDEX(Lists!$AD$4:$AD$42,MATCH(ROW()-56,$AS$57:$AS$95,0)))</f>
        <v/>
      </c>
      <c r="AU86">
        <f>AU85+IF(AND(Lists!$AI$33&lt;&gt;"",ISNUMBER(SEARCH($F$4,Lists!$AI$33))),1,0)</f>
        <v/>
      </c>
      <c r="AV86">
        <f>IF(ROW()-56&gt;MAX($AU$57:$AU$95),"",INDEX(Lists!$AI$4:$AI$42,MATCH(ROW()-56,$AU$57:$AU$95,0)))</f>
        <v/>
      </c>
      <c r="AW86">
        <f>AW85+IF(AND(Lists!$AN$33&lt;&gt;"",ISNUMBER(SEARCH($G$4,Lists!$AN$33))),1,0)</f>
        <v/>
      </c>
      <c r="AX86">
        <f>IF(ROW()-56&gt;MAX($AW$57:$AW$95),"",INDEX(Lists!$AN$4:$AN$42,MATCH(ROW()-56,$AW$57:$AW$95,0)))</f>
        <v/>
      </c>
      <c r="AY86">
        <f>AY85+IF(AND(Lists!$AS$33&lt;&gt;"",ISNUMBER(SEARCH($H$4,Lists!$AS$33))),1,0)</f>
        <v/>
      </c>
      <c r="AZ86">
        <f>IF(ROW()-56&gt;MAX($AY$57:$AY$95),"",INDEX(Lists!$AS$4:$AS$42,MATCH(ROW()-56,$AY$57:$AY$95,0)))</f>
        <v/>
      </c>
      <c r="BA86">
        <f>BA85+IF(AND(Lists!$AX$33&lt;&gt;"",ISNUMBER(SEARCH($I$4,Lists!$AX$33))),1,0)</f>
        <v/>
      </c>
      <c r="BB86">
        <f>IF(ROW()-56&gt;MAX($BA$57:$BA$95),"",INDEX(Lists!$AX$4:$AX$42,MATCH(ROW()-56,$BA$57:$BA$95,0)))</f>
        <v/>
      </c>
      <c r="BC86">
        <f>BC85+IF(AND(Lists!$BC$33&lt;&gt;"",ISNUMBER(SEARCH($J$4,Lists!$BC$33))),1,0)</f>
        <v/>
      </c>
      <c r="BD86">
        <f>IF(ROW()-56&gt;MAX($BC$57:$BC$95),"",INDEX(Lists!$BC$4:$BC$42,MATCH(ROW()-56,$BC$57:$BC$95,0)))</f>
        <v/>
      </c>
      <c r="BE86">
        <f>BE85+IF(AND(Lists!$BH$33&lt;&gt;"",ISNUMBER(SEARCH($K$4,Lists!$BH$33))),1,0)</f>
        <v/>
      </c>
      <c r="BF86">
        <f>IF(ROW()-56&gt;MAX($BE$57:$BE$95),"",INDEX(Lists!$BH$4:$BH$42,MATCH(ROW()-56,$BE$57:$BE$95,0)))</f>
        <v/>
      </c>
      <c r="BG86">
        <f>BG85+IF(AND(Lists!$BM$33&lt;&gt;"",ISNUMBER(SEARCH($L$4,Lists!$BM$33))),1,0)</f>
        <v/>
      </c>
      <c r="BH86">
        <f>IF(ROW()-56&gt;MAX($BG$57:$BG$95),"",INDEX(Lists!$BM$4:$BM$42,MATCH(ROW()-56,$BG$57:$BG$95,0)))</f>
        <v/>
      </c>
      <c r="BI86">
        <f>BI85+IF(AND(Lists!$BR$33&lt;&gt;"",ISNUMBER(SEARCH($M$4,Lists!$BR$33))),1,0)</f>
        <v/>
      </c>
      <c r="BJ86">
        <f>IF(ROW()-56&gt;MAX($BI$57:$BI$95),"",INDEX(Lists!$BR$4:$BR$42,MATCH(ROW()-56,$BI$57:$BI$95,0)))</f>
        <v/>
      </c>
      <c r="BK86">
        <f>BK85+IF(AND(Lists!$BW$33&lt;&gt;"",ISNUMBER(SEARCH($N$4,Lists!$BW$33))),1,0)</f>
        <v/>
      </c>
      <c r="BL86">
        <f>IF(ROW()-56&gt;MAX($BK$57:$BK$95),"",INDEX(Lists!$BW$4:$BW$42,MATCH(ROW()-56,$BK$57:$BK$95,0)))</f>
        <v/>
      </c>
      <c r="BM86">
        <f>BM85+IF(AND(Lists!$CB$33&lt;&gt;"",ISNUMBER(SEARCH($O$4,Lists!$CB$33))),1,0)</f>
        <v/>
      </c>
      <c r="BN86">
        <f>IF(ROW()-56&gt;MAX($BM$57:$BM$95),"",INDEX(Lists!$CB$4:$CB$42,MATCH(ROW()-56,$BM$57:$BM$95,0)))</f>
        <v/>
      </c>
      <c r="BO86">
        <f>BO85+IF(AND(Lists!$CG$33&lt;&gt;"",ISNUMBER(SEARCH($P$4,Lists!$CG$33))),1,0)</f>
        <v/>
      </c>
      <c r="BP86">
        <f>IF(ROW()-56&gt;MAX($BO$57:$BO$95),"",INDEX(Lists!$CG$4:$CG$42,MATCH(ROW()-56,$BO$57:$BO$95,0)))</f>
        <v/>
      </c>
      <c r="BQ86">
        <f>BQ85+IF(AND(Lists!$CL$33&lt;&gt;"",ISNUMBER(SEARCH($Q$4,Lists!$CL$33))),1,0)</f>
        <v/>
      </c>
      <c r="BR86">
        <f>IF(ROW()-56&gt;MAX($BQ$57:$BQ$95),"",INDEX(Lists!$CL$4:$CL$42,MATCH(ROW()-56,$BQ$57:$BQ$95,0)))</f>
        <v/>
      </c>
      <c r="BS86">
        <f>BS85+IF(AND(Lists!$CQ$33&lt;&gt;"",ISNUMBER(SEARCH($R$4,Lists!$CQ$33))),1,0)</f>
        <v/>
      </c>
      <c r="BT86">
        <f>IF(ROW()-56&gt;MAX($BS$57:$BS$95),"",INDEX(Lists!$CQ$4:$CQ$42,MATCH(ROW()-56,$BS$57:$BS$95,0)))</f>
        <v/>
      </c>
      <c r="BU86">
        <f>BU85+IF(AND(Lists!$CV$33&lt;&gt;"",ISNUMBER(SEARCH($S$4,Lists!$CV$33))),1,0)</f>
        <v/>
      </c>
      <c r="BV86">
        <f>IF(ROW()-56&gt;MAX($BU$57:$BU$95),"",INDEX(Lists!$CV$4:$CV$42,MATCH(ROW()-56,$BU$57:$BU$95,0)))</f>
        <v/>
      </c>
      <c r="BW86">
        <f>BW85+IF(AND(Lists!$DA$33&lt;&gt;"",ISNUMBER(SEARCH($T$4,Lists!$DA$33))),1,0)</f>
        <v/>
      </c>
      <c r="BX86">
        <f>IF(ROW()-56&gt;MAX($BW$57:$BW$95),"",INDEX(Lists!$DA$4:$DA$42,MATCH(ROW()-56,$BW$57:$BW$95,0)))</f>
        <v/>
      </c>
      <c r="BY86">
        <f>BY85+IF(AND(Lists!$DF$33&lt;&gt;"",ISNUMBER(SEARCH($U$4,Lists!$DF$33))),1,0)</f>
        <v/>
      </c>
      <c r="BZ86">
        <f>IF(ROW()-56&gt;MAX($BY$57:$BY$95),"",INDEX(Lists!$DF$4:$DF$42,MATCH(ROW()-56,$BY$57:$BY$95,0)))</f>
        <v/>
      </c>
      <c r="CA86">
        <f>CA85+IF(AND(Lists!$DK$33&lt;&gt;"",ISNUMBER(SEARCH($V$4,Lists!$DK$33))),1,0)</f>
        <v/>
      </c>
      <c r="CB86">
        <f>IF(ROW()-56&gt;MAX($CA$57:$CA$95),"",INDEX(Lists!$DK$4:$DK$42,MATCH(ROW()-56,$CA$57:$CA$95,0)))</f>
        <v/>
      </c>
      <c r="CC86">
        <f>CC85+IF(AND(Lists!$DP$33&lt;&gt;"",ISNUMBER(SEARCH($W$4,Lists!$DP$33))),1,0)</f>
        <v/>
      </c>
      <c r="CD86">
        <f>IF(ROW()-56&gt;MAX($CC$57:$CC$95),"",INDEX(Lists!$DP$4:$DP$42,MATCH(ROW()-56,$CC$57:$CC$95,0)))</f>
        <v/>
      </c>
      <c r="CE86">
        <f>CE85+IF(AND(Lists!$DU$33&lt;&gt;"",ISNUMBER(SEARCH($X$4,Lists!$DU$33))),1,0)</f>
        <v/>
      </c>
      <c r="CF86">
        <f>IF(ROW()-56&gt;MAX($CE$57:$CE$95),"",INDEX(Lists!$DU$4:$DU$42,MATCH(ROW()-56,$CE$57:$CE$95,0)))</f>
        <v/>
      </c>
      <c r="CG86">
        <f>CG85+IF(AND(Lists!$DZ$33&lt;&gt;"",ISNUMBER(SEARCH($Y$4,Lists!$DZ$33))),1,0)</f>
        <v/>
      </c>
      <c r="CH86">
        <f>IF(ROW()-56&gt;MAX($CG$57:$CG$95),"",INDEX(Lists!$DZ$4:$DZ$42,MATCH(ROW()-56,$CG$57:$CG$95,0)))</f>
        <v/>
      </c>
      <c r="CI86">
        <f>CI85+IF(AND(Lists!$EE$33&lt;&gt;"",ISNUMBER(SEARCH($Z$4,Lists!$EE$33))),1,0)</f>
        <v/>
      </c>
      <c r="CJ86">
        <f>IF(ROW()-56&gt;MAX($CI$57:$CI$95),"",INDEX(Lists!$EE$4:$EE$42,MATCH(ROW()-56,$CI$57:$CI$95,0)))</f>
        <v/>
      </c>
      <c r="CK86">
        <f>CK85+IF(AND(Lists!$EJ$33&lt;&gt;"",ISNUMBER(SEARCH($AA$4,Lists!$EJ$33))),1,0)</f>
        <v/>
      </c>
      <c r="CL86">
        <f>IF(ROW()-56&gt;MAX($CK$57:$CK$95),"",INDEX(Lists!$EJ$4:$EJ$42,MATCH(ROW()-56,$CK$57:$CK$95,0)))</f>
        <v/>
      </c>
      <c r="CM86">
        <f>CM85+IF(AND(Lists!$EO$33&lt;&gt;"",ISNUMBER(SEARCH($AB$4,Lists!$EO$33))),1,0)</f>
        <v/>
      </c>
      <c r="CN86">
        <f>IF(ROW()-56&gt;MAX($CM$57:$CM$95),"",INDEX(Lists!$EO$4:$EO$42,MATCH(ROW()-56,$CM$57:$CM$95,0)))</f>
        <v/>
      </c>
      <c r="CO86">
        <f>CO85+IF(AND(Lists!$ET$33&lt;&gt;"",ISNUMBER(SEARCH($AC$4,Lists!$ET$33))),1,0)</f>
        <v/>
      </c>
      <c r="CP86">
        <f>IF(ROW()-56&gt;MAX($CO$57:$CO$95),"",INDEX(Lists!$ET$4:$ET$42,MATCH(ROW()-56,$CO$57:$CO$95,0)))</f>
        <v/>
      </c>
      <c r="CQ86">
        <f>CQ85+IF(AND(Lists!$EY$33&lt;&gt;"",ISNUMBER(SEARCH($AD$4,Lists!$EY$33))),1,0)</f>
        <v/>
      </c>
      <c r="CR86">
        <f>IF(ROW()-56&gt;MAX($CQ$57:$CQ$95),"",INDEX(Lists!$EY$4:$EY$42,MATCH(ROW()-56,$CQ$57:$CQ$95,0)))</f>
        <v/>
      </c>
      <c r="CS86">
        <f>CS85+IF(AND(Lists!$FD$33&lt;&gt;"",ISNUMBER(SEARCH($AE$4,Lists!$FD$33))),1,0)</f>
        <v/>
      </c>
      <c r="CT86">
        <f>IF(ROW()-56&gt;MAX($CS$57:$CS$95),"",INDEX(Lists!$FD$4:$FD$42,MATCH(ROW()-56,$CS$57:$CS$95,0)))</f>
        <v/>
      </c>
      <c r="CU86">
        <f>CU85+IF(AND(Lists!$FI$33&lt;&gt;"",ISNUMBER(SEARCH($AG$4,Lists!$FI$33))),1,0)</f>
        <v/>
      </c>
      <c r="CV86">
        <f>IF(ROW()-56&gt;MAX($CU$57:$CU$95),"",INDEX(Lists!$FI$4:$FI$42,MATCH(ROW()-56,$CU$57:$CU$95,0)))</f>
        <v/>
      </c>
      <c r="CW86">
        <f>CW85+IF(AND(Lists!$FN$33&lt;&gt;"",ISNUMBER(SEARCH($AH$4,Lists!$FN$33))),1,0)</f>
        <v/>
      </c>
      <c r="CX86">
        <f>IF(ROW()-56&gt;MAX($CW$57:$CW$95),"",INDEX(Lists!$FN$4:$FN$42,MATCH(ROW()-56,$CW$57:$CW$95,0)))</f>
        <v/>
      </c>
      <c r="CY86">
        <f>CY85+IF(AND(Lists!$FS$33&lt;&gt;"",ISNUMBER(SEARCH($AI$4,Lists!$FS$33))),1,0)</f>
        <v/>
      </c>
      <c r="CZ86">
        <f>IF(ROW()-56&gt;MAX($CY$57:$CY$95),"",INDEX(Lists!$FS$4:$FS$42,MATCH(ROW()-56,$CY$57:$CY$95,0)))</f>
        <v/>
      </c>
      <c r="DA86">
        <f>DA85+IF(AND(Lists!$FX$33&lt;&gt;"",ISNUMBER(SEARCH($AF$4,Lists!$FX$33))),1,0)</f>
        <v/>
      </c>
      <c r="DB86">
        <f>IF(ROW()-56&gt;MAX($DA$57:$DA$95),"",INDEX(Lists!$FX$4:$FX$42,MATCH(ROW()-56,$DA$57:$DA$95,0)))</f>
        <v/>
      </c>
      <c r="DG86">
        <f>IF($B$4="",1,IF($B$4="(blank)",--('Final Calculation Sheet'!$F$31=""),IF($B$4="(nonblank)",--('Final Calculation Sheet'!$F$31&lt;&gt;""),--ISNUMBER(SEARCH($B$4,'Final Calculation Sheet'!$F$31)))))</f>
        <v/>
      </c>
      <c r="DH86">
        <f>IF($C$4="",1,IF($C$4="(blank)",--('Final Calculation Sheet'!$G$31=""),IF($C$4="(nonblank)",--('Final Calculation Sheet'!$G$31&lt;&gt;""),--ISNUMBER(SEARCH($C$4,'Final Calculation Sheet'!$G$31)))))</f>
        <v/>
      </c>
      <c r="DI86">
        <f>IF($D$4="",1,IF($D$4="(blank)",--('Final Calculation Sheet'!$B$31=""),IF($D$4="(nonblank)",--('Final Calculation Sheet'!$B$31&lt;&gt;""),--ISNUMBER(SEARCH($D$4,'Final Calculation Sheet'!$B$31)))))</f>
        <v/>
      </c>
      <c r="DJ86">
        <f>IF($E$4="",1,IF($E$4="(blank)",--('Final Calculation Sheet'!$D$31=""),IF($E$4="(nonblank)",--('Final Calculation Sheet'!$D$31&lt;&gt;""),--ISNUMBER(SEARCH($E$4,'Final Calculation Sheet'!$D$31)))))</f>
        <v/>
      </c>
      <c r="DK86">
        <f>IF($F$4="",1,IF($F$4="(blank)",--('Final Calculation Sheet'!$A$31=""),IF($F$4="(nonblank)",--('Final Calculation Sheet'!$A$31&lt;&gt;""),--ISNUMBER(SEARCH($F$4,'Final Calculation Sheet'!$A$31)))))</f>
        <v/>
      </c>
      <c r="DL86">
        <f>IF($G$4="",1,IF($G$4="(blank)",--('Final Calculation Sheet'!$E$31=""),IF($G$4="(nonblank)",--('Final Calculation Sheet'!$E$31&lt;&gt;""),--ISNUMBER(SEARCH($G$4,'Final Calculation Sheet'!$E$31)))))</f>
        <v/>
      </c>
      <c r="DM86">
        <f>IF($H$4="",1,IF($H$4="(blank)",--('Final Calculation Sheet'!$C$31=""),IF($H$4="(nonblank)",--('Final Calculation Sheet'!$C$31&lt;&gt;""),--ISNUMBER(SEARCH($H$4,'Final Calculation Sheet'!$C$31)))))</f>
        <v/>
      </c>
      <c r="DN86">
        <f>IF($I$4="",1,IF($I$4="(blank)",--('Final Calculation Sheet'!$H$31=""),IF($I$4="(nonblank)",--('Final Calculation Sheet'!$H$31&lt;&gt;""),--ISNUMBER(SEARCH($I$4,'Final Calculation Sheet'!$H$31)))))</f>
        <v/>
      </c>
      <c r="DO86">
        <f>IF($J$4="",1,IF($J$4="(blank)",--('Final Calculation Sheet'!$I$31=""),IF($J$4="(nonblank)",--('Final Calculation Sheet'!$I$31&lt;&gt;""),--ISNUMBER(SEARCH($J$4,'Final Calculation Sheet'!$I$31)))))</f>
        <v/>
      </c>
      <c r="DP86">
        <f>IF($K$4="",1,IF($K$4="(blank)",--('Final Calculation Sheet'!$J$31=""),IF($K$4="(nonblank)",--('Final Calculation Sheet'!$J$31&lt;&gt;""),--ISNUMBER(SEARCH($K$4,'Final Calculation Sheet'!$J$31)))))</f>
        <v/>
      </c>
      <c r="DQ86">
        <f>IF($L$4="",1,IF($L$4="(blank)",--('Final Calculation Sheet'!$K$31=""),IF($L$4="(nonblank)",--('Final Calculation Sheet'!$K$31&lt;&gt;""),--ISNUMBER(SEARCH($L$4,'Final Calculation Sheet'!$K$31)))))</f>
        <v/>
      </c>
      <c r="DR86">
        <f>IF($M$4="",1,IF($M$4="(blank)",--('Final Calculation Sheet'!$L$31=""),IF($M$4="(nonblank)",--('Final Calculation Sheet'!$L$31&lt;&gt;""),--ISNUMBER(SEARCH($M$4,'Final Calculation Sheet'!$L$31)))))</f>
        <v/>
      </c>
      <c r="DS86">
        <f>IF($N$4="",1,IF($N$4="(blank)",--('Final Calculation Sheet'!$M$31=""),IF($N$4="(nonblank)",--('Final Calculation Sheet'!$M$31&lt;&gt;""),--ISNUMBER(SEARCH($N$4,'Final Calculation Sheet'!$M$31)))))</f>
        <v/>
      </c>
      <c r="DT86">
        <f>IF($O$4="",1,IF($O$4="(blank)",--('Final Calculation Sheet'!$N$31=""),IF($O$4="(nonblank)",--('Final Calculation Sheet'!$N$31&lt;&gt;""),--ISNUMBER(SEARCH($O$4,'Final Calculation Sheet'!$N$31)))))</f>
        <v/>
      </c>
      <c r="DU86">
        <f>IF($P$4="",1,IF($P$4="(blank)",--('Final Calculation Sheet'!$O$31=""),IF($P$4="(nonblank)",--('Final Calculation Sheet'!$O$31&lt;&gt;""),--ISNUMBER(SEARCH($P$4,'Final Calculation Sheet'!$O$31)))))</f>
        <v/>
      </c>
      <c r="DV86">
        <f>IF($Q$4="",1,IF($Q$4="(blank)",--('Final Calculation Sheet'!$P$31=""),IF($Q$4="(nonblank)",--('Final Calculation Sheet'!$P$31&lt;&gt;""),--ISNUMBER(SEARCH($Q$4,'Final Calculation Sheet'!$P$31)))))</f>
        <v/>
      </c>
      <c r="DW86">
        <f>IF($R$4="",1,IF($R$4="(blank)",--('Final Calculation Sheet'!$Q$31=""),IF($R$4="(nonblank)",--('Final Calculation Sheet'!$Q$31&lt;&gt;""),--ISNUMBER(SEARCH($R$4,'Final Calculation Sheet'!$Q$31)))))</f>
        <v/>
      </c>
      <c r="DX86">
        <f>IF($S$4="",1,IF($S$4="(blank)",--('Final Calculation Sheet'!$R$31=""),IF($S$4="(nonblank)",--('Final Calculation Sheet'!$R$31&lt;&gt;""),--ISNUMBER(SEARCH($S$4,'Final Calculation Sheet'!$R$31)))))</f>
        <v/>
      </c>
      <c r="DY86">
        <f>IF($T$4="",1,IF($T$4="(blank)",--('Final Calculation Sheet'!$S$31=""),IF($T$4="(nonblank)",--('Final Calculation Sheet'!$S$31&lt;&gt;""),--ISNUMBER(SEARCH($T$4,'Final Calculation Sheet'!$S$31)))))</f>
        <v/>
      </c>
      <c r="DZ86">
        <f>IF($U$4="",1,IF($U$4="(blank)",--('Final Calculation Sheet'!$T$31=""),IF($U$4="(nonblank)",--('Final Calculation Sheet'!$T$31&lt;&gt;""),--ISNUMBER(SEARCH($U$4,'Final Calculation Sheet'!$T$31)))))</f>
        <v/>
      </c>
      <c r="EA86">
        <f>IF($V$4="",1,IF($V$4="(blank)",--('Final Calculation Sheet'!$U$31=""),IF($V$4="(nonblank)",--('Final Calculation Sheet'!$U$31&lt;&gt;""),--ISNUMBER(SEARCH($V$4,'Final Calculation Sheet'!$U$31)))))</f>
        <v/>
      </c>
      <c r="EB86">
        <f>IF($W$4="",1,IF($W$4="(blank)",--('Final Calculation Sheet'!$V$31=""),IF($W$4="(nonblank)",--('Final Calculation Sheet'!$V$31&lt;&gt;""),--ISNUMBER(SEARCH($W$4,'Final Calculation Sheet'!$V$31)))))</f>
        <v/>
      </c>
      <c r="EC86">
        <f>IF($X$4="",1,IF($X$4="(blank)",--('Final Calculation Sheet'!$W$31=""),IF($X$4="(nonblank)",--('Final Calculation Sheet'!$W$31&lt;&gt;""),--ISNUMBER(SEARCH($X$4,'Final Calculation Sheet'!$W$31)))))</f>
        <v/>
      </c>
      <c r="ED86">
        <f>IF($Y$4="",1,IF($Y$4="(blank)",--('Final Calculation Sheet'!$X$31=""),IF($Y$4="(nonblank)",--('Final Calculation Sheet'!$X$31&lt;&gt;""),--ISNUMBER(SEARCH($Y$4,'Final Calculation Sheet'!$X$31)))))</f>
        <v/>
      </c>
      <c r="EE86">
        <f>IF($Z$4="",1,IF($Z$4="(blank)",--('Final Calculation Sheet'!$Y$31=""),IF($Z$4="(nonblank)",--('Final Calculation Sheet'!$Y$31&lt;&gt;""),--ISNUMBER(SEARCH($Z$4,'Final Calculation Sheet'!$Y$31)))))</f>
        <v/>
      </c>
      <c r="EF86">
        <f>IF($AA$4="",1,IF($AA$4="(blank)",--('Final Calculation Sheet'!$Z$31=""),IF($AA$4="(nonblank)",--('Final Calculation Sheet'!$Z$31&lt;&gt;""),--ISNUMBER(SEARCH($AA$4,'Final Calculation Sheet'!$Z$31)))))</f>
        <v/>
      </c>
      <c r="EG86">
        <f>IF($AB$4="",1,IF($AB$4="(blank)",--('Final Calculation Sheet'!$AA$31=""),IF($AB$4="(nonblank)",--('Final Calculation Sheet'!$AA$31&lt;&gt;""),--ISNUMBER(SEARCH($AB$4,'Final Calculation Sheet'!$AA$31)))))</f>
        <v/>
      </c>
      <c r="EH86">
        <f>IF($AC$4="",1,IF($AC$4="(blank)",--('Final Calculation Sheet'!$AB$31=""),IF($AC$4="(nonblank)",--('Final Calculation Sheet'!$AB$31&lt;&gt;""),--ISNUMBER(SEARCH($AC$4,'Final Calculation Sheet'!$AB$31)))))</f>
        <v/>
      </c>
      <c r="EI86">
        <f>IF($AD$4="",1,IF($AD$4="(blank)",--('Final Calculation Sheet'!$AC$31=""),IF($AD$4="(nonblank)",--('Final Calculation Sheet'!$AC$31&lt;&gt;""),--ISNUMBER(SEARCH($AD$4,'Final Calculation Sheet'!$AC$31)))))</f>
        <v/>
      </c>
      <c r="EJ86">
        <f>IF($AE$4="",1,IF($AE$4="(blank)",--('Final Calculation Sheet'!$AD$31=""),IF($AE$4="(nonblank)",--('Final Calculation Sheet'!$AD$31&lt;&gt;""),--ISNUMBER(SEARCH($AE$4,'Final Calculation Sheet'!$AD$31)))))</f>
        <v/>
      </c>
      <c r="EK86">
        <f>IF($AF$4="",1,IF($AF$4="(blank)",--(IF('Final Calculation Sheet'!$AD$31&lt;=5,"SETTLED","OUTSTANDING")=""),IF($AF$4="(nonblank)",--(IF('Final Calculation Sheet'!$AD$31&lt;=5,"SETTLED","OUTSTANDING")&lt;&gt;""),--ISNUMBER(SEARCH($AF$4,IF('Final Calculation Sheet'!$AD$31&lt;=5,"SETTLED","OUTSTANDING"))))))</f>
        <v/>
      </c>
      <c r="EL86">
        <f>IF($AG$4="",1,IF($AG$4="(blank)",--('Final Calculation Sheet'!$AF$31=""),IF($AG$4="(nonblank)",--('Final Calculation Sheet'!$AF$31&lt;&gt;""),--ISNUMBER(SEARCH($AG$4,'Final Calculation Sheet'!$AF$31)))))</f>
        <v/>
      </c>
      <c r="EM86">
        <f>IF($AH$4="",1,IF($AH$4="(blank)",--('Final Calculation Sheet'!$AG$31=""),IF($AH$4="(nonblank)",--('Final Calculation Sheet'!$AG$31&lt;&gt;""),--ISNUMBER(SEARCH($AH$4,'Final Calculation Sheet'!$AG$31)))))</f>
        <v/>
      </c>
      <c r="EN86">
        <f>IF($AI$4="",1,IF($AI$4="(blank)",--('Final Calculation Sheet'!$AH$31=""),IF($AI$4="(nonblank)",--('Final Calculation Sheet'!$AH$31&lt;&gt;""),--ISNUMBER(SEARCH($AI$4,'Final Calculation Sheet'!$AH$31)))))</f>
        <v/>
      </c>
    </row>
    <row r="87">
      <c r="AM87">
        <f>AM86+IF(AND(Lists!$O$34&lt;&gt;"",ISNUMBER(SEARCH($B$4,Lists!$O$34))),1,0)</f>
        <v/>
      </c>
      <c r="AN87">
        <f>IF(ROW()-56&gt;MAX($AM$57:$AM$95),"",INDEX(Lists!$O$4:$O$42,MATCH(ROW()-56,$AM$57:$AM$95,0)))</f>
        <v/>
      </c>
      <c r="AO87">
        <f>AO86+IF(AND(Lists!$T$34&lt;&gt;"",ISNUMBER(SEARCH($C$4,Lists!$T$34))),1,0)</f>
        <v/>
      </c>
      <c r="AP87">
        <f>IF(ROW()-56&gt;MAX($AO$57:$AO$95),"",INDEX(Lists!$T$4:$T$42,MATCH(ROW()-56,$AO$57:$AO$95,0)))</f>
        <v/>
      </c>
      <c r="AQ87">
        <f>AQ86+IF(AND(Lists!$Y$34&lt;&gt;"",ISNUMBER(SEARCH($D$4,Lists!$Y$34))),1,0)</f>
        <v/>
      </c>
      <c r="AR87">
        <f>IF(ROW()-56&gt;MAX($AQ$57:$AQ$95),"",INDEX(Lists!$Y$4:$Y$42,MATCH(ROW()-56,$AQ$57:$AQ$95,0)))</f>
        <v/>
      </c>
      <c r="AS87">
        <f>AS86+IF(AND(Lists!$AD$34&lt;&gt;"",ISNUMBER(SEARCH($E$4,Lists!$AD$34))),1,0)</f>
        <v/>
      </c>
      <c r="AT87">
        <f>IF(ROW()-56&gt;MAX($AS$57:$AS$95),"",INDEX(Lists!$AD$4:$AD$42,MATCH(ROW()-56,$AS$57:$AS$95,0)))</f>
        <v/>
      </c>
      <c r="AU87">
        <f>AU86+IF(AND(Lists!$AI$34&lt;&gt;"",ISNUMBER(SEARCH($F$4,Lists!$AI$34))),1,0)</f>
        <v/>
      </c>
      <c r="AV87">
        <f>IF(ROW()-56&gt;MAX($AU$57:$AU$95),"",INDEX(Lists!$AI$4:$AI$42,MATCH(ROW()-56,$AU$57:$AU$95,0)))</f>
        <v/>
      </c>
      <c r="AW87">
        <f>AW86+IF(AND(Lists!$AN$34&lt;&gt;"",ISNUMBER(SEARCH($G$4,Lists!$AN$34))),1,0)</f>
        <v/>
      </c>
      <c r="AX87">
        <f>IF(ROW()-56&gt;MAX($AW$57:$AW$95),"",INDEX(Lists!$AN$4:$AN$42,MATCH(ROW()-56,$AW$57:$AW$95,0)))</f>
        <v/>
      </c>
      <c r="AY87">
        <f>AY86+IF(AND(Lists!$AS$34&lt;&gt;"",ISNUMBER(SEARCH($H$4,Lists!$AS$34))),1,0)</f>
        <v/>
      </c>
      <c r="AZ87">
        <f>IF(ROW()-56&gt;MAX($AY$57:$AY$95),"",INDEX(Lists!$AS$4:$AS$42,MATCH(ROW()-56,$AY$57:$AY$95,0)))</f>
        <v/>
      </c>
      <c r="BA87">
        <f>BA86+IF(AND(Lists!$AX$34&lt;&gt;"",ISNUMBER(SEARCH($I$4,Lists!$AX$34))),1,0)</f>
        <v/>
      </c>
      <c r="BB87">
        <f>IF(ROW()-56&gt;MAX($BA$57:$BA$95),"",INDEX(Lists!$AX$4:$AX$42,MATCH(ROW()-56,$BA$57:$BA$95,0)))</f>
        <v/>
      </c>
      <c r="BC87">
        <f>BC86+IF(AND(Lists!$BC$34&lt;&gt;"",ISNUMBER(SEARCH($J$4,Lists!$BC$34))),1,0)</f>
        <v/>
      </c>
      <c r="BD87">
        <f>IF(ROW()-56&gt;MAX($BC$57:$BC$95),"",INDEX(Lists!$BC$4:$BC$42,MATCH(ROW()-56,$BC$57:$BC$95,0)))</f>
        <v/>
      </c>
      <c r="BE87">
        <f>BE86+IF(AND(Lists!$BH$34&lt;&gt;"",ISNUMBER(SEARCH($K$4,Lists!$BH$34))),1,0)</f>
        <v/>
      </c>
      <c r="BF87">
        <f>IF(ROW()-56&gt;MAX($BE$57:$BE$95),"",INDEX(Lists!$BH$4:$BH$42,MATCH(ROW()-56,$BE$57:$BE$95,0)))</f>
        <v/>
      </c>
      <c r="BG87">
        <f>BG86+IF(AND(Lists!$BM$34&lt;&gt;"",ISNUMBER(SEARCH($L$4,Lists!$BM$34))),1,0)</f>
        <v/>
      </c>
      <c r="BH87">
        <f>IF(ROW()-56&gt;MAX($BG$57:$BG$95),"",INDEX(Lists!$BM$4:$BM$42,MATCH(ROW()-56,$BG$57:$BG$95,0)))</f>
        <v/>
      </c>
      <c r="BI87">
        <f>BI86+IF(AND(Lists!$BR$34&lt;&gt;"",ISNUMBER(SEARCH($M$4,Lists!$BR$34))),1,0)</f>
        <v/>
      </c>
      <c r="BJ87">
        <f>IF(ROW()-56&gt;MAX($BI$57:$BI$95),"",INDEX(Lists!$BR$4:$BR$42,MATCH(ROW()-56,$BI$57:$BI$95,0)))</f>
        <v/>
      </c>
      <c r="BK87">
        <f>BK86+IF(AND(Lists!$BW$34&lt;&gt;"",ISNUMBER(SEARCH($N$4,Lists!$BW$34))),1,0)</f>
        <v/>
      </c>
      <c r="BL87">
        <f>IF(ROW()-56&gt;MAX($BK$57:$BK$95),"",INDEX(Lists!$BW$4:$BW$42,MATCH(ROW()-56,$BK$57:$BK$95,0)))</f>
        <v/>
      </c>
      <c r="BM87">
        <f>BM86+IF(AND(Lists!$CB$34&lt;&gt;"",ISNUMBER(SEARCH($O$4,Lists!$CB$34))),1,0)</f>
        <v/>
      </c>
      <c r="BN87">
        <f>IF(ROW()-56&gt;MAX($BM$57:$BM$95),"",INDEX(Lists!$CB$4:$CB$42,MATCH(ROW()-56,$BM$57:$BM$95,0)))</f>
        <v/>
      </c>
      <c r="BO87">
        <f>BO86+IF(AND(Lists!$CG$34&lt;&gt;"",ISNUMBER(SEARCH($P$4,Lists!$CG$34))),1,0)</f>
        <v/>
      </c>
      <c r="BP87">
        <f>IF(ROW()-56&gt;MAX($BO$57:$BO$95),"",INDEX(Lists!$CG$4:$CG$42,MATCH(ROW()-56,$BO$57:$BO$95,0)))</f>
        <v/>
      </c>
      <c r="BQ87">
        <f>BQ86+IF(AND(Lists!$CL$34&lt;&gt;"",ISNUMBER(SEARCH($Q$4,Lists!$CL$34))),1,0)</f>
        <v/>
      </c>
      <c r="BR87">
        <f>IF(ROW()-56&gt;MAX($BQ$57:$BQ$95),"",INDEX(Lists!$CL$4:$CL$42,MATCH(ROW()-56,$BQ$57:$BQ$95,0)))</f>
        <v/>
      </c>
      <c r="BS87">
        <f>BS86+IF(AND(Lists!$CQ$34&lt;&gt;"",ISNUMBER(SEARCH($R$4,Lists!$CQ$34))),1,0)</f>
        <v/>
      </c>
      <c r="BT87">
        <f>IF(ROW()-56&gt;MAX($BS$57:$BS$95),"",INDEX(Lists!$CQ$4:$CQ$42,MATCH(ROW()-56,$BS$57:$BS$95,0)))</f>
        <v/>
      </c>
      <c r="BU87">
        <f>BU86+IF(AND(Lists!$CV$34&lt;&gt;"",ISNUMBER(SEARCH($S$4,Lists!$CV$34))),1,0)</f>
        <v/>
      </c>
      <c r="BV87">
        <f>IF(ROW()-56&gt;MAX($BU$57:$BU$95),"",INDEX(Lists!$CV$4:$CV$42,MATCH(ROW()-56,$BU$57:$BU$95,0)))</f>
        <v/>
      </c>
      <c r="BW87">
        <f>BW86+IF(AND(Lists!$DA$34&lt;&gt;"",ISNUMBER(SEARCH($T$4,Lists!$DA$34))),1,0)</f>
        <v/>
      </c>
      <c r="BX87">
        <f>IF(ROW()-56&gt;MAX($BW$57:$BW$95),"",INDEX(Lists!$DA$4:$DA$42,MATCH(ROW()-56,$BW$57:$BW$95,0)))</f>
        <v/>
      </c>
      <c r="BY87">
        <f>BY86+IF(AND(Lists!$DF$34&lt;&gt;"",ISNUMBER(SEARCH($U$4,Lists!$DF$34))),1,0)</f>
        <v/>
      </c>
      <c r="BZ87">
        <f>IF(ROW()-56&gt;MAX($BY$57:$BY$95),"",INDEX(Lists!$DF$4:$DF$42,MATCH(ROW()-56,$BY$57:$BY$95,0)))</f>
        <v/>
      </c>
      <c r="CA87">
        <f>CA86+IF(AND(Lists!$DK$34&lt;&gt;"",ISNUMBER(SEARCH($V$4,Lists!$DK$34))),1,0)</f>
        <v/>
      </c>
      <c r="CB87">
        <f>IF(ROW()-56&gt;MAX($CA$57:$CA$95),"",INDEX(Lists!$DK$4:$DK$42,MATCH(ROW()-56,$CA$57:$CA$95,0)))</f>
        <v/>
      </c>
      <c r="CC87">
        <f>CC86+IF(AND(Lists!$DP$34&lt;&gt;"",ISNUMBER(SEARCH($W$4,Lists!$DP$34))),1,0)</f>
        <v/>
      </c>
      <c r="CD87">
        <f>IF(ROW()-56&gt;MAX($CC$57:$CC$95),"",INDEX(Lists!$DP$4:$DP$42,MATCH(ROW()-56,$CC$57:$CC$95,0)))</f>
        <v/>
      </c>
      <c r="CE87">
        <f>CE86+IF(AND(Lists!$DU$34&lt;&gt;"",ISNUMBER(SEARCH($X$4,Lists!$DU$34))),1,0)</f>
        <v/>
      </c>
      <c r="CF87">
        <f>IF(ROW()-56&gt;MAX($CE$57:$CE$95),"",INDEX(Lists!$DU$4:$DU$42,MATCH(ROW()-56,$CE$57:$CE$95,0)))</f>
        <v/>
      </c>
      <c r="CG87">
        <f>CG86+IF(AND(Lists!$DZ$34&lt;&gt;"",ISNUMBER(SEARCH($Y$4,Lists!$DZ$34))),1,0)</f>
        <v/>
      </c>
      <c r="CH87">
        <f>IF(ROW()-56&gt;MAX($CG$57:$CG$95),"",INDEX(Lists!$DZ$4:$DZ$42,MATCH(ROW()-56,$CG$57:$CG$95,0)))</f>
        <v/>
      </c>
      <c r="CI87">
        <f>CI86+IF(AND(Lists!$EE$34&lt;&gt;"",ISNUMBER(SEARCH($Z$4,Lists!$EE$34))),1,0)</f>
        <v/>
      </c>
      <c r="CJ87">
        <f>IF(ROW()-56&gt;MAX($CI$57:$CI$95),"",INDEX(Lists!$EE$4:$EE$42,MATCH(ROW()-56,$CI$57:$CI$95,0)))</f>
        <v/>
      </c>
      <c r="CK87">
        <f>CK86+IF(AND(Lists!$EJ$34&lt;&gt;"",ISNUMBER(SEARCH($AA$4,Lists!$EJ$34))),1,0)</f>
        <v/>
      </c>
      <c r="CL87">
        <f>IF(ROW()-56&gt;MAX($CK$57:$CK$95),"",INDEX(Lists!$EJ$4:$EJ$42,MATCH(ROW()-56,$CK$57:$CK$95,0)))</f>
        <v/>
      </c>
      <c r="CM87">
        <f>CM86+IF(AND(Lists!$EO$34&lt;&gt;"",ISNUMBER(SEARCH($AB$4,Lists!$EO$34))),1,0)</f>
        <v/>
      </c>
      <c r="CN87">
        <f>IF(ROW()-56&gt;MAX($CM$57:$CM$95),"",INDEX(Lists!$EO$4:$EO$42,MATCH(ROW()-56,$CM$57:$CM$95,0)))</f>
        <v/>
      </c>
      <c r="CO87">
        <f>CO86+IF(AND(Lists!$ET$34&lt;&gt;"",ISNUMBER(SEARCH($AC$4,Lists!$ET$34))),1,0)</f>
        <v/>
      </c>
      <c r="CP87">
        <f>IF(ROW()-56&gt;MAX($CO$57:$CO$95),"",INDEX(Lists!$ET$4:$ET$42,MATCH(ROW()-56,$CO$57:$CO$95,0)))</f>
        <v/>
      </c>
      <c r="CQ87">
        <f>CQ86+IF(AND(Lists!$EY$34&lt;&gt;"",ISNUMBER(SEARCH($AD$4,Lists!$EY$34))),1,0)</f>
        <v/>
      </c>
      <c r="CR87">
        <f>IF(ROW()-56&gt;MAX($CQ$57:$CQ$95),"",INDEX(Lists!$EY$4:$EY$42,MATCH(ROW()-56,$CQ$57:$CQ$95,0)))</f>
        <v/>
      </c>
      <c r="CS87">
        <f>CS86+IF(AND(Lists!$FD$34&lt;&gt;"",ISNUMBER(SEARCH($AE$4,Lists!$FD$34))),1,0)</f>
        <v/>
      </c>
      <c r="CT87">
        <f>IF(ROW()-56&gt;MAX($CS$57:$CS$95),"",INDEX(Lists!$FD$4:$FD$42,MATCH(ROW()-56,$CS$57:$CS$95,0)))</f>
        <v/>
      </c>
      <c r="CU87">
        <f>CU86+IF(AND(Lists!$FI$34&lt;&gt;"",ISNUMBER(SEARCH($AG$4,Lists!$FI$34))),1,0)</f>
        <v/>
      </c>
      <c r="CV87">
        <f>IF(ROW()-56&gt;MAX($CU$57:$CU$95),"",INDEX(Lists!$FI$4:$FI$42,MATCH(ROW()-56,$CU$57:$CU$95,0)))</f>
        <v/>
      </c>
      <c r="CW87">
        <f>CW86+IF(AND(Lists!$FN$34&lt;&gt;"",ISNUMBER(SEARCH($AH$4,Lists!$FN$34))),1,0)</f>
        <v/>
      </c>
      <c r="CX87">
        <f>IF(ROW()-56&gt;MAX($CW$57:$CW$95),"",INDEX(Lists!$FN$4:$FN$42,MATCH(ROW()-56,$CW$57:$CW$95,0)))</f>
        <v/>
      </c>
      <c r="CY87">
        <f>CY86+IF(AND(Lists!$FS$34&lt;&gt;"",ISNUMBER(SEARCH($AI$4,Lists!$FS$34))),1,0)</f>
        <v/>
      </c>
      <c r="CZ87">
        <f>IF(ROW()-56&gt;MAX($CY$57:$CY$95),"",INDEX(Lists!$FS$4:$FS$42,MATCH(ROW()-56,$CY$57:$CY$95,0)))</f>
        <v/>
      </c>
      <c r="DA87">
        <f>DA86+IF(AND(Lists!$FX$34&lt;&gt;"",ISNUMBER(SEARCH($AF$4,Lists!$FX$34))),1,0)</f>
        <v/>
      </c>
      <c r="DB87">
        <f>IF(ROW()-56&gt;MAX($DA$57:$DA$95),"",INDEX(Lists!$FX$4:$FX$42,MATCH(ROW()-56,$DA$57:$DA$95,0)))</f>
        <v/>
      </c>
      <c r="DG87">
        <f>IF($B$4="",1,IF($B$4="(blank)",--('Final Calculation Sheet'!$F$32=""),IF($B$4="(nonblank)",--('Final Calculation Sheet'!$F$32&lt;&gt;""),--ISNUMBER(SEARCH($B$4,'Final Calculation Sheet'!$F$32)))))</f>
        <v/>
      </c>
      <c r="DH87">
        <f>IF($C$4="",1,IF($C$4="(blank)",--('Final Calculation Sheet'!$G$32=""),IF($C$4="(nonblank)",--('Final Calculation Sheet'!$G$32&lt;&gt;""),--ISNUMBER(SEARCH($C$4,'Final Calculation Sheet'!$G$32)))))</f>
        <v/>
      </c>
      <c r="DI87">
        <f>IF($D$4="",1,IF($D$4="(blank)",--('Final Calculation Sheet'!$B$32=""),IF($D$4="(nonblank)",--('Final Calculation Sheet'!$B$32&lt;&gt;""),--ISNUMBER(SEARCH($D$4,'Final Calculation Sheet'!$B$32)))))</f>
        <v/>
      </c>
      <c r="DJ87">
        <f>IF($E$4="",1,IF($E$4="(blank)",--('Final Calculation Sheet'!$D$32=""),IF($E$4="(nonblank)",--('Final Calculation Sheet'!$D$32&lt;&gt;""),--ISNUMBER(SEARCH($E$4,'Final Calculation Sheet'!$D$32)))))</f>
        <v/>
      </c>
      <c r="DK87">
        <f>IF($F$4="",1,IF($F$4="(blank)",--('Final Calculation Sheet'!$A$32=""),IF($F$4="(nonblank)",--('Final Calculation Sheet'!$A$32&lt;&gt;""),--ISNUMBER(SEARCH($F$4,'Final Calculation Sheet'!$A$32)))))</f>
        <v/>
      </c>
      <c r="DL87">
        <f>IF($G$4="",1,IF($G$4="(blank)",--('Final Calculation Sheet'!$E$32=""),IF($G$4="(nonblank)",--('Final Calculation Sheet'!$E$32&lt;&gt;""),--ISNUMBER(SEARCH($G$4,'Final Calculation Sheet'!$E$32)))))</f>
        <v/>
      </c>
      <c r="DM87">
        <f>IF($H$4="",1,IF($H$4="(blank)",--('Final Calculation Sheet'!$C$32=""),IF($H$4="(nonblank)",--('Final Calculation Sheet'!$C$32&lt;&gt;""),--ISNUMBER(SEARCH($H$4,'Final Calculation Sheet'!$C$32)))))</f>
        <v/>
      </c>
      <c r="DN87">
        <f>IF($I$4="",1,IF($I$4="(blank)",--('Final Calculation Sheet'!$H$32=""),IF($I$4="(nonblank)",--('Final Calculation Sheet'!$H$32&lt;&gt;""),--ISNUMBER(SEARCH($I$4,'Final Calculation Sheet'!$H$32)))))</f>
        <v/>
      </c>
      <c r="DO87">
        <f>IF($J$4="",1,IF($J$4="(blank)",--('Final Calculation Sheet'!$I$32=""),IF($J$4="(nonblank)",--('Final Calculation Sheet'!$I$32&lt;&gt;""),--ISNUMBER(SEARCH($J$4,'Final Calculation Sheet'!$I$32)))))</f>
        <v/>
      </c>
      <c r="DP87">
        <f>IF($K$4="",1,IF($K$4="(blank)",--('Final Calculation Sheet'!$J$32=""),IF($K$4="(nonblank)",--('Final Calculation Sheet'!$J$32&lt;&gt;""),--ISNUMBER(SEARCH($K$4,'Final Calculation Sheet'!$J$32)))))</f>
        <v/>
      </c>
      <c r="DQ87">
        <f>IF($L$4="",1,IF($L$4="(blank)",--('Final Calculation Sheet'!$K$32=""),IF($L$4="(nonblank)",--('Final Calculation Sheet'!$K$32&lt;&gt;""),--ISNUMBER(SEARCH($L$4,'Final Calculation Sheet'!$K$32)))))</f>
        <v/>
      </c>
      <c r="DR87">
        <f>IF($M$4="",1,IF($M$4="(blank)",--('Final Calculation Sheet'!$L$32=""),IF($M$4="(nonblank)",--('Final Calculation Sheet'!$L$32&lt;&gt;""),--ISNUMBER(SEARCH($M$4,'Final Calculation Sheet'!$L$32)))))</f>
        <v/>
      </c>
      <c r="DS87">
        <f>IF($N$4="",1,IF($N$4="(blank)",--('Final Calculation Sheet'!$M$32=""),IF($N$4="(nonblank)",--('Final Calculation Sheet'!$M$32&lt;&gt;""),--ISNUMBER(SEARCH($N$4,'Final Calculation Sheet'!$M$32)))))</f>
        <v/>
      </c>
      <c r="DT87">
        <f>IF($O$4="",1,IF($O$4="(blank)",--('Final Calculation Sheet'!$N$32=""),IF($O$4="(nonblank)",--('Final Calculation Sheet'!$N$32&lt;&gt;""),--ISNUMBER(SEARCH($O$4,'Final Calculation Sheet'!$N$32)))))</f>
        <v/>
      </c>
      <c r="DU87">
        <f>IF($P$4="",1,IF($P$4="(blank)",--('Final Calculation Sheet'!$O$32=""),IF($P$4="(nonblank)",--('Final Calculation Sheet'!$O$32&lt;&gt;""),--ISNUMBER(SEARCH($P$4,'Final Calculation Sheet'!$O$32)))))</f>
        <v/>
      </c>
      <c r="DV87">
        <f>IF($Q$4="",1,IF($Q$4="(blank)",--('Final Calculation Sheet'!$P$32=""),IF($Q$4="(nonblank)",--('Final Calculation Sheet'!$P$32&lt;&gt;""),--ISNUMBER(SEARCH($Q$4,'Final Calculation Sheet'!$P$32)))))</f>
        <v/>
      </c>
      <c r="DW87">
        <f>IF($R$4="",1,IF($R$4="(blank)",--('Final Calculation Sheet'!$Q$32=""),IF($R$4="(nonblank)",--('Final Calculation Sheet'!$Q$32&lt;&gt;""),--ISNUMBER(SEARCH($R$4,'Final Calculation Sheet'!$Q$32)))))</f>
        <v/>
      </c>
      <c r="DX87">
        <f>IF($S$4="",1,IF($S$4="(blank)",--('Final Calculation Sheet'!$R$32=""),IF($S$4="(nonblank)",--('Final Calculation Sheet'!$R$32&lt;&gt;""),--ISNUMBER(SEARCH($S$4,'Final Calculation Sheet'!$R$32)))))</f>
        <v/>
      </c>
      <c r="DY87">
        <f>IF($T$4="",1,IF($T$4="(blank)",--('Final Calculation Sheet'!$S$32=""),IF($T$4="(nonblank)",--('Final Calculation Sheet'!$S$32&lt;&gt;""),--ISNUMBER(SEARCH($T$4,'Final Calculation Sheet'!$S$32)))))</f>
        <v/>
      </c>
      <c r="DZ87">
        <f>IF($U$4="",1,IF($U$4="(blank)",--('Final Calculation Sheet'!$T$32=""),IF($U$4="(nonblank)",--('Final Calculation Sheet'!$T$32&lt;&gt;""),--ISNUMBER(SEARCH($U$4,'Final Calculation Sheet'!$T$32)))))</f>
        <v/>
      </c>
      <c r="EA87">
        <f>IF($V$4="",1,IF($V$4="(blank)",--('Final Calculation Sheet'!$U$32=""),IF($V$4="(nonblank)",--('Final Calculation Sheet'!$U$32&lt;&gt;""),--ISNUMBER(SEARCH($V$4,'Final Calculation Sheet'!$U$32)))))</f>
        <v/>
      </c>
      <c r="EB87">
        <f>IF($W$4="",1,IF($W$4="(blank)",--('Final Calculation Sheet'!$V$32=""),IF($W$4="(nonblank)",--('Final Calculation Sheet'!$V$32&lt;&gt;""),--ISNUMBER(SEARCH($W$4,'Final Calculation Sheet'!$V$32)))))</f>
        <v/>
      </c>
      <c r="EC87">
        <f>IF($X$4="",1,IF($X$4="(blank)",--('Final Calculation Sheet'!$W$32=""),IF($X$4="(nonblank)",--('Final Calculation Sheet'!$W$32&lt;&gt;""),--ISNUMBER(SEARCH($X$4,'Final Calculation Sheet'!$W$32)))))</f>
        <v/>
      </c>
      <c r="ED87">
        <f>IF($Y$4="",1,IF($Y$4="(blank)",--('Final Calculation Sheet'!$X$32=""),IF($Y$4="(nonblank)",--('Final Calculation Sheet'!$X$32&lt;&gt;""),--ISNUMBER(SEARCH($Y$4,'Final Calculation Sheet'!$X$32)))))</f>
        <v/>
      </c>
      <c r="EE87">
        <f>IF($Z$4="",1,IF($Z$4="(blank)",--('Final Calculation Sheet'!$Y$32=""),IF($Z$4="(nonblank)",--('Final Calculation Sheet'!$Y$32&lt;&gt;""),--ISNUMBER(SEARCH($Z$4,'Final Calculation Sheet'!$Y$32)))))</f>
        <v/>
      </c>
      <c r="EF87">
        <f>IF($AA$4="",1,IF($AA$4="(blank)",--('Final Calculation Sheet'!$Z$32=""),IF($AA$4="(nonblank)",--('Final Calculation Sheet'!$Z$32&lt;&gt;""),--ISNUMBER(SEARCH($AA$4,'Final Calculation Sheet'!$Z$32)))))</f>
        <v/>
      </c>
      <c r="EG87">
        <f>IF($AB$4="",1,IF($AB$4="(blank)",--('Final Calculation Sheet'!$AA$32=""),IF($AB$4="(nonblank)",--('Final Calculation Sheet'!$AA$32&lt;&gt;""),--ISNUMBER(SEARCH($AB$4,'Final Calculation Sheet'!$AA$32)))))</f>
        <v/>
      </c>
      <c r="EH87">
        <f>IF($AC$4="",1,IF($AC$4="(blank)",--('Final Calculation Sheet'!$AB$32=""),IF($AC$4="(nonblank)",--('Final Calculation Sheet'!$AB$32&lt;&gt;""),--ISNUMBER(SEARCH($AC$4,'Final Calculation Sheet'!$AB$32)))))</f>
        <v/>
      </c>
      <c r="EI87">
        <f>IF($AD$4="",1,IF($AD$4="(blank)",--('Final Calculation Sheet'!$AC$32=""),IF($AD$4="(nonblank)",--('Final Calculation Sheet'!$AC$32&lt;&gt;""),--ISNUMBER(SEARCH($AD$4,'Final Calculation Sheet'!$AC$32)))))</f>
        <v/>
      </c>
      <c r="EJ87">
        <f>IF($AE$4="",1,IF($AE$4="(blank)",--('Final Calculation Sheet'!$AD$32=""),IF($AE$4="(nonblank)",--('Final Calculation Sheet'!$AD$32&lt;&gt;""),--ISNUMBER(SEARCH($AE$4,'Final Calculation Sheet'!$AD$32)))))</f>
        <v/>
      </c>
      <c r="EK87">
        <f>IF($AF$4="",1,IF($AF$4="(blank)",--(IF('Final Calculation Sheet'!$AD$32&lt;=5,"SETTLED","OUTSTANDING")=""),IF($AF$4="(nonblank)",--(IF('Final Calculation Sheet'!$AD$32&lt;=5,"SETTLED","OUTSTANDING")&lt;&gt;""),--ISNUMBER(SEARCH($AF$4,IF('Final Calculation Sheet'!$AD$32&lt;=5,"SETTLED","OUTSTANDING"))))))</f>
        <v/>
      </c>
      <c r="EL87">
        <f>IF($AG$4="",1,IF($AG$4="(blank)",--('Final Calculation Sheet'!$AF$32=""),IF($AG$4="(nonblank)",--('Final Calculation Sheet'!$AF$32&lt;&gt;""),--ISNUMBER(SEARCH($AG$4,'Final Calculation Sheet'!$AF$32)))))</f>
        <v/>
      </c>
      <c r="EM87">
        <f>IF($AH$4="",1,IF($AH$4="(blank)",--('Final Calculation Sheet'!$AG$32=""),IF($AH$4="(nonblank)",--('Final Calculation Sheet'!$AG$32&lt;&gt;""),--ISNUMBER(SEARCH($AH$4,'Final Calculation Sheet'!$AG$32)))))</f>
        <v/>
      </c>
      <c r="EN87">
        <f>IF($AI$4="",1,IF($AI$4="(blank)",--('Final Calculation Sheet'!$AH$32=""),IF($AI$4="(nonblank)",--('Final Calculation Sheet'!$AH$32&lt;&gt;""),--ISNUMBER(SEARCH($AI$4,'Final Calculation Sheet'!$AH$32)))))</f>
        <v/>
      </c>
    </row>
    <row r="88">
      <c r="AM88">
        <f>AM87+IF(AND(Lists!$O$35&lt;&gt;"",ISNUMBER(SEARCH($B$4,Lists!$O$35))),1,0)</f>
        <v/>
      </c>
      <c r="AN88">
        <f>IF(ROW()-56&gt;MAX($AM$57:$AM$95),"",INDEX(Lists!$O$4:$O$42,MATCH(ROW()-56,$AM$57:$AM$95,0)))</f>
        <v/>
      </c>
      <c r="AO88">
        <f>AO87+IF(AND(Lists!$T$35&lt;&gt;"",ISNUMBER(SEARCH($C$4,Lists!$T$35))),1,0)</f>
        <v/>
      </c>
      <c r="AP88">
        <f>IF(ROW()-56&gt;MAX($AO$57:$AO$95),"",INDEX(Lists!$T$4:$T$42,MATCH(ROW()-56,$AO$57:$AO$95,0)))</f>
        <v/>
      </c>
      <c r="AQ88">
        <f>AQ87+IF(AND(Lists!$Y$35&lt;&gt;"",ISNUMBER(SEARCH($D$4,Lists!$Y$35))),1,0)</f>
        <v/>
      </c>
      <c r="AR88">
        <f>IF(ROW()-56&gt;MAX($AQ$57:$AQ$95),"",INDEX(Lists!$Y$4:$Y$42,MATCH(ROW()-56,$AQ$57:$AQ$95,0)))</f>
        <v/>
      </c>
      <c r="AS88">
        <f>AS87+IF(AND(Lists!$AD$35&lt;&gt;"",ISNUMBER(SEARCH($E$4,Lists!$AD$35))),1,0)</f>
        <v/>
      </c>
      <c r="AT88">
        <f>IF(ROW()-56&gt;MAX($AS$57:$AS$95),"",INDEX(Lists!$AD$4:$AD$42,MATCH(ROW()-56,$AS$57:$AS$95,0)))</f>
        <v/>
      </c>
      <c r="AU88">
        <f>AU87+IF(AND(Lists!$AI$35&lt;&gt;"",ISNUMBER(SEARCH($F$4,Lists!$AI$35))),1,0)</f>
        <v/>
      </c>
      <c r="AV88">
        <f>IF(ROW()-56&gt;MAX($AU$57:$AU$95),"",INDEX(Lists!$AI$4:$AI$42,MATCH(ROW()-56,$AU$57:$AU$95,0)))</f>
        <v/>
      </c>
      <c r="AW88">
        <f>AW87+IF(AND(Lists!$AN$35&lt;&gt;"",ISNUMBER(SEARCH($G$4,Lists!$AN$35))),1,0)</f>
        <v/>
      </c>
      <c r="AX88">
        <f>IF(ROW()-56&gt;MAX($AW$57:$AW$95),"",INDEX(Lists!$AN$4:$AN$42,MATCH(ROW()-56,$AW$57:$AW$95,0)))</f>
        <v/>
      </c>
      <c r="AY88">
        <f>AY87+IF(AND(Lists!$AS$35&lt;&gt;"",ISNUMBER(SEARCH($H$4,Lists!$AS$35))),1,0)</f>
        <v/>
      </c>
      <c r="AZ88">
        <f>IF(ROW()-56&gt;MAX($AY$57:$AY$95),"",INDEX(Lists!$AS$4:$AS$42,MATCH(ROW()-56,$AY$57:$AY$95,0)))</f>
        <v/>
      </c>
      <c r="BA88">
        <f>BA87+IF(AND(Lists!$AX$35&lt;&gt;"",ISNUMBER(SEARCH($I$4,Lists!$AX$35))),1,0)</f>
        <v/>
      </c>
      <c r="BB88">
        <f>IF(ROW()-56&gt;MAX($BA$57:$BA$95),"",INDEX(Lists!$AX$4:$AX$42,MATCH(ROW()-56,$BA$57:$BA$95,0)))</f>
        <v/>
      </c>
      <c r="BC88">
        <f>BC87+IF(AND(Lists!$BC$35&lt;&gt;"",ISNUMBER(SEARCH($J$4,Lists!$BC$35))),1,0)</f>
        <v/>
      </c>
      <c r="BD88">
        <f>IF(ROW()-56&gt;MAX($BC$57:$BC$95),"",INDEX(Lists!$BC$4:$BC$42,MATCH(ROW()-56,$BC$57:$BC$95,0)))</f>
        <v/>
      </c>
      <c r="BE88">
        <f>BE87+IF(AND(Lists!$BH$35&lt;&gt;"",ISNUMBER(SEARCH($K$4,Lists!$BH$35))),1,0)</f>
        <v/>
      </c>
      <c r="BF88">
        <f>IF(ROW()-56&gt;MAX($BE$57:$BE$95),"",INDEX(Lists!$BH$4:$BH$42,MATCH(ROW()-56,$BE$57:$BE$95,0)))</f>
        <v/>
      </c>
      <c r="BG88">
        <f>BG87+IF(AND(Lists!$BM$35&lt;&gt;"",ISNUMBER(SEARCH($L$4,Lists!$BM$35))),1,0)</f>
        <v/>
      </c>
      <c r="BH88">
        <f>IF(ROW()-56&gt;MAX($BG$57:$BG$95),"",INDEX(Lists!$BM$4:$BM$42,MATCH(ROW()-56,$BG$57:$BG$95,0)))</f>
        <v/>
      </c>
      <c r="BI88">
        <f>BI87+IF(AND(Lists!$BR$35&lt;&gt;"",ISNUMBER(SEARCH($M$4,Lists!$BR$35))),1,0)</f>
        <v/>
      </c>
      <c r="BJ88">
        <f>IF(ROW()-56&gt;MAX($BI$57:$BI$95),"",INDEX(Lists!$BR$4:$BR$42,MATCH(ROW()-56,$BI$57:$BI$95,0)))</f>
        <v/>
      </c>
      <c r="BK88">
        <f>BK87+IF(AND(Lists!$BW$35&lt;&gt;"",ISNUMBER(SEARCH($N$4,Lists!$BW$35))),1,0)</f>
        <v/>
      </c>
      <c r="BL88">
        <f>IF(ROW()-56&gt;MAX($BK$57:$BK$95),"",INDEX(Lists!$BW$4:$BW$42,MATCH(ROW()-56,$BK$57:$BK$95,0)))</f>
        <v/>
      </c>
      <c r="BM88">
        <f>BM87+IF(AND(Lists!$CB$35&lt;&gt;"",ISNUMBER(SEARCH($O$4,Lists!$CB$35))),1,0)</f>
        <v/>
      </c>
      <c r="BN88">
        <f>IF(ROW()-56&gt;MAX($BM$57:$BM$95),"",INDEX(Lists!$CB$4:$CB$42,MATCH(ROW()-56,$BM$57:$BM$95,0)))</f>
        <v/>
      </c>
      <c r="BO88">
        <f>BO87+IF(AND(Lists!$CG$35&lt;&gt;"",ISNUMBER(SEARCH($P$4,Lists!$CG$35))),1,0)</f>
        <v/>
      </c>
      <c r="BP88">
        <f>IF(ROW()-56&gt;MAX($BO$57:$BO$95),"",INDEX(Lists!$CG$4:$CG$42,MATCH(ROW()-56,$BO$57:$BO$95,0)))</f>
        <v/>
      </c>
      <c r="BQ88">
        <f>BQ87+IF(AND(Lists!$CL$35&lt;&gt;"",ISNUMBER(SEARCH($Q$4,Lists!$CL$35))),1,0)</f>
        <v/>
      </c>
      <c r="BR88">
        <f>IF(ROW()-56&gt;MAX($BQ$57:$BQ$95),"",INDEX(Lists!$CL$4:$CL$42,MATCH(ROW()-56,$BQ$57:$BQ$95,0)))</f>
        <v/>
      </c>
      <c r="BS88">
        <f>BS87+IF(AND(Lists!$CQ$35&lt;&gt;"",ISNUMBER(SEARCH($R$4,Lists!$CQ$35))),1,0)</f>
        <v/>
      </c>
      <c r="BT88">
        <f>IF(ROW()-56&gt;MAX($BS$57:$BS$95),"",INDEX(Lists!$CQ$4:$CQ$42,MATCH(ROW()-56,$BS$57:$BS$95,0)))</f>
        <v/>
      </c>
      <c r="BU88">
        <f>BU87+IF(AND(Lists!$CV$35&lt;&gt;"",ISNUMBER(SEARCH($S$4,Lists!$CV$35))),1,0)</f>
        <v/>
      </c>
      <c r="BV88">
        <f>IF(ROW()-56&gt;MAX($BU$57:$BU$95),"",INDEX(Lists!$CV$4:$CV$42,MATCH(ROW()-56,$BU$57:$BU$95,0)))</f>
        <v/>
      </c>
      <c r="BW88">
        <f>BW87+IF(AND(Lists!$DA$35&lt;&gt;"",ISNUMBER(SEARCH($T$4,Lists!$DA$35))),1,0)</f>
        <v/>
      </c>
      <c r="BX88">
        <f>IF(ROW()-56&gt;MAX($BW$57:$BW$95),"",INDEX(Lists!$DA$4:$DA$42,MATCH(ROW()-56,$BW$57:$BW$95,0)))</f>
        <v/>
      </c>
      <c r="BY88">
        <f>BY87+IF(AND(Lists!$DF$35&lt;&gt;"",ISNUMBER(SEARCH($U$4,Lists!$DF$35))),1,0)</f>
        <v/>
      </c>
      <c r="BZ88">
        <f>IF(ROW()-56&gt;MAX($BY$57:$BY$95),"",INDEX(Lists!$DF$4:$DF$42,MATCH(ROW()-56,$BY$57:$BY$95,0)))</f>
        <v/>
      </c>
      <c r="CA88">
        <f>CA87+IF(AND(Lists!$DK$35&lt;&gt;"",ISNUMBER(SEARCH($V$4,Lists!$DK$35))),1,0)</f>
        <v/>
      </c>
      <c r="CB88">
        <f>IF(ROW()-56&gt;MAX($CA$57:$CA$95),"",INDEX(Lists!$DK$4:$DK$42,MATCH(ROW()-56,$CA$57:$CA$95,0)))</f>
        <v/>
      </c>
      <c r="CC88">
        <f>CC87+IF(AND(Lists!$DP$35&lt;&gt;"",ISNUMBER(SEARCH($W$4,Lists!$DP$35))),1,0)</f>
        <v/>
      </c>
      <c r="CD88">
        <f>IF(ROW()-56&gt;MAX($CC$57:$CC$95),"",INDEX(Lists!$DP$4:$DP$42,MATCH(ROW()-56,$CC$57:$CC$95,0)))</f>
        <v/>
      </c>
      <c r="CE88">
        <f>CE87+IF(AND(Lists!$DU$35&lt;&gt;"",ISNUMBER(SEARCH($X$4,Lists!$DU$35))),1,0)</f>
        <v/>
      </c>
      <c r="CF88">
        <f>IF(ROW()-56&gt;MAX($CE$57:$CE$95),"",INDEX(Lists!$DU$4:$DU$42,MATCH(ROW()-56,$CE$57:$CE$95,0)))</f>
        <v/>
      </c>
      <c r="CG88">
        <f>CG87+IF(AND(Lists!$DZ$35&lt;&gt;"",ISNUMBER(SEARCH($Y$4,Lists!$DZ$35))),1,0)</f>
        <v/>
      </c>
      <c r="CH88">
        <f>IF(ROW()-56&gt;MAX($CG$57:$CG$95),"",INDEX(Lists!$DZ$4:$DZ$42,MATCH(ROW()-56,$CG$57:$CG$95,0)))</f>
        <v/>
      </c>
      <c r="CI88">
        <f>CI87+IF(AND(Lists!$EE$35&lt;&gt;"",ISNUMBER(SEARCH($Z$4,Lists!$EE$35))),1,0)</f>
        <v/>
      </c>
      <c r="CJ88">
        <f>IF(ROW()-56&gt;MAX($CI$57:$CI$95),"",INDEX(Lists!$EE$4:$EE$42,MATCH(ROW()-56,$CI$57:$CI$95,0)))</f>
        <v/>
      </c>
      <c r="CK88">
        <f>CK87+IF(AND(Lists!$EJ$35&lt;&gt;"",ISNUMBER(SEARCH($AA$4,Lists!$EJ$35))),1,0)</f>
        <v/>
      </c>
      <c r="CL88">
        <f>IF(ROW()-56&gt;MAX($CK$57:$CK$95),"",INDEX(Lists!$EJ$4:$EJ$42,MATCH(ROW()-56,$CK$57:$CK$95,0)))</f>
        <v/>
      </c>
      <c r="CM88">
        <f>CM87+IF(AND(Lists!$EO$35&lt;&gt;"",ISNUMBER(SEARCH($AB$4,Lists!$EO$35))),1,0)</f>
        <v/>
      </c>
      <c r="CN88">
        <f>IF(ROW()-56&gt;MAX($CM$57:$CM$95),"",INDEX(Lists!$EO$4:$EO$42,MATCH(ROW()-56,$CM$57:$CM$95,0)))</f>
        <v/>
      </c>
      <c r="CO88">
        <f>CO87+IF(AND(Lists!$ET$35&lt;&gt;"",ISNUMBER(SEARCH($AC$4,Lists!$ET$35))),1,0)</f>
        <v/>
      </c>
      <c r="CP88">
        <f>IF(ROW()-56&gt;MAX($CO$57:$CO$95),"",INDEX(Lists!$ET$4:$ET$42,MATCH(ROW()-56,$CO$57:$CO$95,0)))</f>
        <v/>
      </c>
      <c r="CQ88">
        <f>CQ87+IF(AND(Lists!$EY$35&lt;&gt;"",ISNUMBER(SEARCH($AD$4,Lists!$EY$35))),1,0)</f>
        <v/>
      </c>
      <c r="CR88">
        <f>IF(ROW()-56&gt;MAX($CQ$57:$CQ$95),"",INDEX(Lists!$EY$4:$EY$42,MATCH(ROW()-56,$CQ$57:$CQ$95,0)))</f>
        <v/>
      </c>
      <c r="CS88">
        <f>CS87+IF(AND(Lists!$FD$35&lt;&gt;"",ISNUMBER(SEARCH($AE$4,Lists!$FD$35))),1,0)</f>
        <v/>
      </c>
      <c r="CT88">
        <f>IF(ROW()-56&gt;MAX($CS$57:$CS$95),"",INDEX(Lists!$FD$4:$FD$42,MATCH(ROW()-56,$CS$57:$CS$95,0)))</f>
        <v/>
      </c>
      <c r="CU88">
        <f>CU87+IF(AND(Lists!$FI$35&lt;&gt;"",ISNUMBER(SEARCH($AG$4,Lists!$FI$35))),1,0)</f>
        <v/>
      </c>
      <c r="CV88">
        <f>IF(ROW()-56&gt;MAX($CU$57:$CU$95),"",INDEX(Lists!$FI$4:$FI$42,MATCH(ROW()-56,$CU$57:$CU$95,0)))</f>
        <v/>
      </c>
      <c r="CW88">
        <f>CW87+IF(AND(Lists!$FN$35&lt;&gt;"",ISNUMBER(SEARCH($AH$4,Lists!$FN$35))),1,0)</f>
        <v/>
      </c>
      <c r="CX88">
        <f>IF(ROW()-56&gt;MAX($CW$57:$CW$95),"",INDEX(Lists!$FN$4:$FN$42,MATCH(ROW()-56,$CW$57:$CW$95,0)))</f>
        <v/>
      </c>
      <c r="CY88">
        <f>CY87+IF(AND(Lists!$FS$35&lt;&gt;"",ISNUMBER(SEARCH($AI$4,Lists!$FS$35))),1,0)</f>
        <v/>
      </c>
      <c r="CZ88">
        <f>IF(ROW()-56&gt;MAX($CY$57:$CY$95),"",INDEX(Lists!$FS$4:$FS$42,MATCH(ROW()-56,$CY$57:$CY$95,0)))</f>
        <v/>
      </c>
      <c r="DA88">
        <f>DA87+IF(AND(Lists!$FX$35&lt;&gt;"",ISNUMBER(SEARCH($AF$4,Lists!$FX$35))),1,0)</f>
        <v/>
      </c>
      <c r="DB88">
        <f>IF(ROW()-56&gt;MAX($DA$57:$DA$95),"",INDEX(Lists!$FX$4:$FX$42,MATCH(ROW()-56,$DA$57:$DA$95,0)))</f>
        <v/>
      </c>
      <c r="DG88">
        <f>IF($B$4="",1,IF($B$4="(blank)",--('Final Calculation Sheet'!$F$33=""),IF($B$4="(nonblank)",--('Final Calculation Sheet'!$F$33&lt;&gt;""),--ISNUMBER(SEARCH($B$4,'Final Calculation Sheet'!$F$33)))))</f>
        <v/>
      </c>
      <c r="DH88">
        <f>IF($C$4="",1,IF($C$4="(blank)",--('Final Calculation Sheet'!$G$33=""),IF($C$4="(nonblank)",--('Final Calculation Sheet'!$G$33&lt;&gt;""),--ISNUMBER(SEARCH($C$4,'Final Calculation Sheet'!$G$33)))))</f>
        <v/>
      </c>
      <c r="DI88">
        <f>IF($D$4="",1,IF($D$4="(blank)",--('Final Calculation Sheet'!$B$33=""),IF($D$4="(nonblank)",--('Final Calculation Sheet'!$B$33&lt;&gt;""),--ISNUMBER(SEARCH($D$4,'Final Calculation Sheet'!$B$33)))))</f>
        <v/>
      </c>
      <c r="DJ88">
        <f>IF($E$4="",1,IF($E$4="(blank)",--('Final Calculation Sheet'!$D$33=""),IF($E$4="(nonblank)",--('Final Calculation Sheet'!$D$33&lt;&gt;""),--ISNUMBER(SEARCH($E$4,'Final Calculation Sheet'!$D$33)))))</f>
        <v/>
      </c>
      <c r="DK88">
        <f>IF($F$4="",1,IF($F$4="(blank)",--('Final Calculation Sheet'!$A$33=""),IF($F$4="(nonblank)",--('Final Calculation Sheet'!$A$33&lt;&gt;""),--ISNUMBER(SEARCH($F$4,'Final Calculation Sheet'!$A$33)))))</f>
        <v/>
      </c>
      <c r="DL88">
        <f>IF($G$4="",1,IF($G$4="(blank)",--('Final Calculation Sheet'!$E$33=""),IF($G$4="(nonblank)",--('Final Calculation Sheet'!$E$33&lt;&gt;""),--ISNUMBER(SEARCH($G$4,'Final Calculation Sheet'!$E$33)))))</f>
        <v/>
      </c>
      <c r="DM88">
        <f>IF($H$4="",1,IF($H$4="(blank)",--('Final Calculation Sheet'!$C$33=""),IF($H$4="(nonblank)",--('Final Calculation Sheet'!$C$33&lt;&gt;""),--ISNUMBER(SEARCH($H$4,'Final Calculation Sheet'!$C$33)))))</f>
        <v/>
      </c>
      <c r="DN88">
        <f>IF($I$4="",1,IF($I$4="(blank)",--('Final Calculation Sheet'!$H$33=""),IF($I$4="(nonblank)",--('Final Calculation Sheet'!$H$33&lt;&gt;""),--ISNUMBER(SEARCH($I$4,'Final Calculation Sheet'!$H$33)))))</f>
        <v/>
      </c>
      <c r="DO88">
        <f>IF($J$4="",1,IF($J$4="(blank)",--('Final Calculation Sheet'!$I$33=""),IF($J$4="(nonblank)",--('Final Calculation Sheet'!$I$33&lt;&gt;""),--ISNUMBER(SEARCH($J$4,'Final Calculation Sheet'!$I$33)))))</f>
        <v/>
      </c>
      <c r="DP88">
        <f>IF($K$4="",1,IF($K$4="(blank)",--('Final Calculation Sheet'!$J$33=""),IF($K$4="(nonblank)",--('Final Calculation Sheet'!$J$33&lt;&gt;""),--ISNUMBER(SEARCH($K$4,'Final Calculation Sheet'!$J$33)))))</f>
        <v/>
      </c>
      <c r="DQ88">
        <f>IF($L$4="",1,IF($L$4="(blank)",--('Final Calculation Sheet'!$K$33=""),IF($L$4="(nonblank)",--('Final Calculation Sheet'!$K$33&lt;&gt;""),--ISNUMBER(SEARCH($L$4,'Final Calculation Sheet'!$K$33)))))</f>
        <v/>
      </c>
      <c r="DR88">
        <f>IF($M$4="",1,IF($M$4="(blank)",--('Final Calculation Sheet'!$L$33=""),IF($M$4="(nonblank)",--('Final Calculation Sheet'!$L$33&lt;&gt;""),--ISNUMBER(SEARCH($M$4,'Final Calculation Sheet'!$L$33)))))</f>
        <v/>
      </c>
      <c r="DS88">
        <f>IF($N$4="",1,IF($N$4="(blank)",--('Final Calculation Sheet'!$M$33=""),IF($N$4="(nonblank)",--('Final Calculation Sheet'!$M$33&lt;&gt;""),--ISNUMBER(SEARCH($N$4,'Final Calculation Sheet'!$M$33)))))</f>
        <v/>
      </c>
      <c r="DT88">
        <f>IF($O$4="",1,IF($O$4="(blank)",--('Final Calculation Sheet'!$N$33=""),IF($O$4="(nonblank)",--('Final Calculation Sheet'!$N$33&lt;&gt;""),--ISNUMBER(SEARCH($O$4,'Final Calculation Sheet'!$N$33)))))</f>
        <v/>
      </c>
      <c r="DU88">
        <f>IF($P$4="",1,IF($P$4="(blank)",--('Final Calculation Sheet'!$O$33=""),IF($P$4="(nonblank)",--('Final Calculation Sheet'!$O$33&lt;&gt;""),--ISNUMBER(SEARCH($P$4,'Final Calculation Sheet'!$O$33)))))</f>
        <v/>
      </c>
      <c r="DV88">
        <f>IF($Q$4="",1,IF($Q$4="(blank)",--('Final Calculation Sheet'!$P$33=""),IF($Q$4="(nonblank)",--('Final Calculation Sheet'!$P$33&lt;&gt;""),--ISNUMBER(SEARCH($Q$4,'Final Calculation Sheet'!$P$33)))))</f>
        <v/>
      </c>
      <c r="DW88">
        <f>IF($R$4="",1,IF($R$4="(blank)",--('Final Calculation Sheet'!$Q$33=""),IF($R$4="(nonblank)",--('Final Calculation Sheet'!$Q$33&lt;&gt;""),--ISNUMBER(SEARCH($R$4,'Final Calculation Sheet'!$Q$33)))))</f>
        <v/>
      </c>
      <c r="DX88">
        <f>IF($S$4="",1,IF($S$4="(blank)",--('Final Calculation Sheet'!$R$33=""),IF($S$4="(nonblank)",--('Final Calculation Sheet'!$R$33&lt;&gt;""),--ISNUMBER(SEARCH($S$4,'Final Calculation Sheet'!$R$33)))))</f>
        <v/>
      </c>
      <c r="DY88">
        <f>IF($T$4="",1,IF($T$4="(blank)",--('Final Calculation Sheet'!$S$33=""),IF($T$4="(nonblank)",--('Final Calculation Sheet'!$S$33&lt;&gt;""),--ISNUMBER(SEARCH($T$4,'Final Calculation Sheet'!$S$33)))))</f>
        <v/>
      </c>
      <c r="DZ88">
        <f>IF($U$4="",1,IF($U$4="(blank)",--('Final Calculation Sheet'!$T$33=""),IF($U$4="(nonblank)",--('Final Calculation Sheet'!$T$33&lt;&gt;""),--ISNUMBER(SEARCH($U$4,'Final Calculation Sheet'!$T$33)))))</f>
        <v/>
      </c>
      <c r="EA88">
        <f>IF($V$4="",1,IF($V$4="(blank)",--('Final Calculation Sheet'!$U$33=""),IF($V$4="(nonblank)",--('Final Calculation Sheet'!$U$33&lt;&gt;""),--ISNUMBER(SEARCH($V$4,'Final Calculation Sheet'!$U$33)))))</f>
        <v/>
      </c>
      <c r="EB88">
        <f>IF($W$4="",1,IF($W$4="(blank)",--('Final Calculation Sheet'!$V$33=""),IF($W$4="(nonblank)",--('Final Calculation Sheet'!$V$33&lt;&gt;""),--ISNUMBER(SEARCH($W$4,'Final Calculation Sheet'!$V$33)))))</f>
        <v/>
      </c>
      <c r="EC88">
        <f>IF($X$4="",1,IF($X$4="(blank)",--('Final Calculation Sheet'!$W$33=""),IF($X$4="(nonblank)",--('Final Calculation Sheet'!$W$33&lt;&gt;""),--ISNUMBER(SEARCH($X$4,'Final Calculation Sheet'!$W$33)))))</f>
        <v/>
      </c>
      <c r="ED88">
        <f>IF($Y$4="",1,IF($Y$4="(blank)",--('Final Calculation Sheet'!$X$33=""),IF($Y$4="(nonblank)",--('Final Calculation Sheet'!$X$33&lt;&gt;""),--ISNUMBER(SEARCH($Y$4,'Final Calculation Sheet'!$X$33)))))</f>
        <v/>
      </c>
      <c r="EE88">
        <f>IF($Z$4="",1,IF($Z$4="(blank)",--('Final Calculation Sheet'!$Y$33=""),IF($Z$4="(nonblank)",--('Final Calculation Sheet'!$Y$33&lt;&gt;""),--ISNUMBER(SEARCH($Z$4,'Final Calculation Sheet'!$Y$33)))))</f>
        <v/>
      </c>
      <c r="EF88">
        <f>IF($AA$4="",1,IF($AA$4="(blank)",--('Final Calculation Sheet'!$Z$33=""),IF($AA$4="(nonblank)",--('Final Calculation Sheet'!$Z$33&lt;&gt;""),--ISNUMBER(SEARCH($AA$4,'Final Calculation Sheet'!$Z$33)))))</f>
        <v/>
      </c>
      <c r="EG88">
        <f>IF($AB$4="",1,IF($AB$4="(blank)",--('Final Calculation Sheet'!$AA$33=""),IF($AB$4="(nonblank)",--('Final Calculation Sheet'!$AA$33&lt;&gt;""),--ISNUMBER(SEARCH($AB$4,'Final Calculation Sheet'!$AA$33)))))</f>
        <v/>
      </c>
      <c r="EH88">
        <f>IF($AC$4="",1,IF($AC$4="(blank)",--('Final Calculation Sheet'!$AB$33=""),IF($AC$4="(nonblank)",--('Final Calculation Sheet'!$AB$33&lt;&gt;""),--ISNUMBER(SEARCH($AC$4,'Final Calculation Sheet'!$AB$33)))))</f>
        <v/>
      </c>
      <c r="EI88">
        <f>IF($AD$4="",1,IF($AD$4="(blank)",--('Final Calculation Sheet'!$AC$33=""),IF($AD$4="(nonblank)",--('Final Calculation Sheet'!$AC$33&lt;&gt;""),--ISNUMBER(SEARCH($AD$4,'Final Calculation Sheet'!$AC$33)))))</f>
        <v/>
      </c>
      <c r="EJ88">
        <f>IF($AE$4="",1,IF($AE$4="(blank)",--('Final Calculation Sheet'!$AD$33=""),IF($AE$4="(nonblank)",--('Final Calculation Sheet'!$AD$33&lt;&gt;""),--ISNUMBER(SEARCH($AE$4,'Final Calculation Sheet'!$AD$33)))))</f>
        <v/>
      </c>
      <c r="EK88">
        <f>IF($AF$4="",1,IF($AF$4="(blank)",--(IF('Final Calculation Sheet'!$AD$33&lt;=5,"SETTLED","OUTSTANDING")=""),IF($AF$4="(nonblank)",--(IF('Final Calculation Sheet'!$AD$33&lt;=5,"SETTLED","OUTSTANDING")&lt;&gt;""),--ISNUMBER(SEARCH($AF$4,IF('Final Calculation Sheet'!$AD$33&lt;=5,"SETTLED","OUTSTANDING"))))))</f>
        <v/>
      </c>
      <c r="EL88">
        <f>IF($AG$4="",1,IF($AG$4="(blank)",--('Final Calculation Sheet'!$AF$33=""),IF($AG$4="(nonblank)",--('Final Calculation Sheet'!$AF$33&lt;&gt;""),--ISNUMBER(SEARCH($AG$4,'Final Calculation Sheet'!$AF$33)))))</f>
        <v/>
      </c>
      <c r="EM88">
        <f>IF($AH$4="",1,IF($AH$4="(blank)",--('Final Calculation Sheet'!$AG$33=""),IF($AH$4="(nonblank)",--('Final Calculation Sheet'!$AG$33&lt;&gt;""),--ISNUMBER(SEARCH($AH$4,'Final Calculation Sheet'!$AG$33)))))</f>
        <v/>
      </c>
      <c r="EN88">
        <f>IF($AI$4="",1,IF($AI$4="(blank)",--('Final Calculation Sheet'!$AH$33=""),IF($AI$4="(nonblank)",--('Final Calculation Sheet'!$AH$33&lt;&gt;""),--ISNUMBER(SEARCH($AI$4,'Final Calculation Sheet'!$AH$33)))))</f>
        <v/>
      </c>
    </row>
    <row r="89">
      <c r="AM89">
        <f>AM88+IF(AND(Lists!$O$36&lt;&gt;"",ISNUMBER(SEARCH($B$4,Lists!$O$36))),1,0)</f>
        <v/>
      </c>
      <c r="AN89">
        <f>IF(ROW()-56&gt;MAX($AM$57:$AM$95),"",INDEX(Lists!$O$4:$O$42,MATCH(ROW()-56,$AM$57:$AM$95,0)))</f>
        <v/>
      </c>
      <c r="AO89">
        <f>AO88+IF(AND(Lists!$T$36&lt;&gt;"",ISNUMBER(SEARCH($C$4,Lists!$T$36))),1,0)</f>
        <v/>
      </c>
      <c r="AP89">
        <f>IF(ROW()-56&gt;MAX($AO$57:$AO$95),"",INDEX(Lists!$T$4:$T$42,MATCH(ROW()-56,$AO$57:$AO$95,0)))</f>
        <v/>
      </c>
      <c r="AQ89">
        <f>AQ88+IF(AND(Lists!$Y$36&lt;&gt;"",ISNUMBER(SEARCH($D$4,Lists!$Y$36))),1,0)</f>
        <v/>
      </c>
      <c r="AR89">
        <f>IF(ROW()-56&gt;MAX($AQ$57:$AQ$95),"",INDEX(Lists!$Y$4:$Y$42,MATCH(ROW()-56,$AQ$57:$AQ$95,0)))</f>
        <v/>
      </c>
      <c r="AS89">
        <f>AS88+IF(AND(Lists!$AD$36&lt;&gt;"",ISNUMBER(SEARCH($E$4,Lists!$AD$36))),1,0)</f>
        <v/>
      </c>
      <c r="AT89">
        <f>IF(ROW()-56&gt;MAX($AS$57:$AS$95),"",INDEX(Lists!$AD$4:$AD$42,MATCH(ROW()-56,$AS$57:$AS$95,0)))</f>
        <v/>
      </c>
      <c r="AU89">
        <f>AU88+IF(AND(Lists!$AI$36&lt;&gt;"",ISNUMBER(SEARCH($F$4,Lists!$AI$36))),1,0)</f>
        <v/>
      </c>
      <c r="AV89">
        <f>IF(ROW()-56&gt;MAX($AU$57:$AU$95),"",INDEX(Lists!$AI$4:$AI$42,MATCH(ROW()-56,$AU$57:$AU$95,0)))</f>
        <v/>
      </c>
      <c r="AW89">
        <f>AW88+IF(AND(Lists!$AN$36&lt;&gt;"",ISNUMBER(SEARCH($G$4,Lists!$AN$36))),1,0)</f>
        <v/>
      </c>
      <c r="AX89">
        <f>IF(ROW()-56&gt;MAX($AW$57:$AW$95),"",INDEX(Lists!$AN$4:$AN$42,MATCH(ROW()-56,$AW$57:$AW$95,0)))</f>
        <v/>
      </c>
      <c r="AY89">
        <f>AY88+IF(AND(Lists!$AS$36&lt;&gt;"",ISNUMBER(SEARCH($H$4,Lists!$AS$36))),1,0)</f>
        <v/>
      </c>
      <c r="AZ89">
        <f>IF(ROW()-56&gt;MAX($AY$57:$AY$95),"",INDEX(Lists!$AS$4:$AS$42,MATCH(ROW()-56,$AY$57:$AY$95,0)))</f>
        <v/>
      </c>
      <c r="BA89">
        <f>BA88+IF(AND(Lists!$AX$36&lt;&gt;"",ISNUMBER(SEARCH($I$4,Lists!$AX$36))),1,0)</f>
        <v/>
      </c>
      <c r="BB89">
        <f>IF(ROW()-56&gt;MAX($BA$57:$BA$95),"",INDEX(Lists!$AX$4:$AX$42,MATCH(ROW()-56,$BA$57:$BA$95,0)))</f>
        <v/>
      </c>
      <c r="BC89">
        <f>BC88+IF(AND(Lists!$BC$36&lt;&gt;"",ISNUMBER(SEARCH($J$4,Lists!$BC$36))),1,0)</f>
        <v/>
      </c>
      <c r="BD89">
        <f>IF(ROW()-56&gt;MAX($BC$57:$BC$95),"",INDEX(Lists!$BC$4:$BC$42,MATCH(ROW()-56,$BC$57:$BC$95,0)))</f>
        <v/>
      </c>
      <c r="BE89">
        <f>BE88+IF(AND(Lists!$BH$36&lt;&gt;"",ISNUMBER(SEARCH($K$4,Lists!$BH$36))),1,0)</f>
        <v/>
      </c>
      <c r="BF89">
        <f>IF(ROW()-56&gt;MAX($BE$57:$BE$95),"",INDEX(Lists!$BH$4:$BH$42,MATCH(ROW()-56,$BE$57:$BE$95,0)))</f>
        <v/>
      </c>
      <c r="BG89">
        <f>BG88+IF(AND(Lists!$BM$36&lt;&gt;"",ISNUMBER(SEARCH($L$4,Lists!$BM$36))),1,0)</f>
        <v/>
      </c>
      <c r="BH89">
        <f>IF(ROW()-56&gt;MAX($BG$57:$BG$95),"",INDEX(Lists!$BM$4:$BM$42,MATCH(ROW()-56,$BG$57:$BG$95,0)))</f>
        <v/>
      </c>
      <c r="BI89">
        <f>BI88+IF(AND(Lists!$BR$36&lt;&gt;"",ISNUMBER(SEARCH($M$4,Lists!$BR$36))),1,0)</f>
        <v/>
      </c>
      <c r="BJ89">
        <f>IF(ROW()-56&gt;MAX($BI$57:$BI$95),"",INDEX(Lists!$BR$4:$BR$42,MATCH(ROW()-56,$BI$57:$BI$95,0)))</f>
        <v/>
      </c>
      <c r="BK89">
        <f>BK88+IF(AND(Lists!$BW$36&lt;&gt;"",ISNUMBER(SEARCH($N$4,Lists!$BW$36))),1,0)</f>
        <v/>
      </c>
      <c r="BL89">
        <f>IF(ROW()-56&gt;MAX($BK$57:$BK$95),"",INDEX(Lists!$BW$4:$BW$42,MATCH(ROW()-56,$BK$57:$BK$95,0)))</f>
        <v/>
      </c>
      <c r="BM89">
        <f>BM88+IF(AND(Lists!$CB$36&lt;&gt;"",ISNUMBER(SEARCH($O$4,Lists!$CB$36))),1,0)</f>
        <v/>
      </c>
      <c r="BN89">
        <f>IF(ROW()-56&gt;MAX($BM$57:$BM$95),"",INDEX(Lists!$CB$4:$CB$42,MATCH(ROW()-56,$BM$57:$BM$95,0)))</f>
        <v/>
      </c>
      <c r="BO89">
        <f>BO88+IF(AND(Lists!$CG$36&lt;&gt;"",ISNUMBER(SEARCH($P$4,Lists!$CG$36))),1,0)</f>
        <v/>
      </c>
      <c r="BP89">
        <f>IF(ROW()-56&gt;MAX($BO$57:$BO$95),"",INDEX(Lists!$CG$4:$CG$42,MATCH(ROW()-56,$BO$57:$BO$95,0)))</f>
        <v/>
      </c>
      <c r="BQ89">
        <f>BQ88+IF(AND(Lists!$CL$36&lt;&gt;"",ISNUMBER(SEARCH($Q$4,Lists!$CL$36))),1,0)</f>
        <v/>
      </c>
      <c r="BR89">
        <f>IF(ROW()-56&gt;MAX($BQ$57:$BQ$95),"",INDEX(Lists!$CL$4:$CL$42,MATCH(ROW()-56,$BQ$57:$BQ$95,0)))</f>
        <v/>
      </c>
      <c r="BS89">
        <f>BS88+IF(AND(Lists!$CQ$36&lt;&gt;"",ISNUMBER(SEARCH($R$4,Lists!$CQ$36))),1,0)</f>
        <v/>
      </c>
      <c r="BT89">
        <f>IF(ROW()-56&gt;MAX($BS$57:$BS$95),"",INDEX(Lists!$CQ$4:$CQ$42,MATCH(ROW()-56,$BS$57:$BS$95,0)))</f>
        <v/>
      </c>
      <c r="BU89">
        <f>BU88+IF(AND(Lists!$CV$36&lt;&gt;"",ISNUMBER(SEARCH($S$4,Lists!$CV$36))),1,0)</f>
        <v/>
      </c>
      <c r="BV89">
        <f>IF(ROW()-56&gt;MAX($BU$57:$BU$95),"",INDEX(Lists!$CV$4:$CV$42,MATCH(ROW()-56,$BU$57:$BU$95,0)))</f>
        <v/>
      </c>
      <c r="BW89">
        <f>BW88+IF(AND(Lists!$DA$36&lt;&gt;"",ISNUMBER(SEARCH($T$4,Lists!$DA$36))),1,0)</f>
        <v/>
      </c>
      <c r="BX89">
        <f>IF(ROW()-56&gt;MAX($BW$57:$BW$95),"",INDEX(Lists!$DA$4:$DA$42,MATCH(ROW()-56,$BW$57:$BW$95,0)))</f>
        <v/>
      </c>
      <c r="BY89">
        <f>BY88+IF(AND(Lists!$DF$36&lt;&gt;"",ISNUMBER(SEARCH($U$4,Lists!$DF$36))),1,0)</f>
        <v/>
      </c>
      <c r="BZ89">
        <f>IF(ROW()-56&gt;MAX($BY$57:$BY$95),"",INDEX(Lists!$DF$4:$DF$42,MATCH(ROW()-56,$BY$57:$BY$95,0)))</f>
        <v/>
      </c>
      <c r="CA89">
        <f>CA88+IF(AND(Lists!$DK$36&lt;&gt;"",ISNUMBER(SEARCH($V$4,Lists!$DK$36))),1,0)</f>
        <v/>
      </c>
      <c r="CB89">
        <f>IF(ROW()-56&gt;MAX($CA$57:$CA$95),"",INDEX(Lists!$DK$4:$DK$42,MATCH(ROW()-56,$CA$57:$CA$95,0)))</f>
        <v/>
      </c>
      <c r="CC89">
        <f>CC88+IF(AND(Lists!$DP$36&lt;&gt;"",ISNUMBER(SEARCH($W$4,Lists!$DP$36))),1,0)</f>
        <v/>
      </c>
      <c r="CD89">
        <f>IF(ROW()-56&gt;MAX($CC$57:$CC$95),"",INDEX(Lists!$DP$4:$DP$42,MATCH(ROW()-56,$CC$57:$CC$95,0)))</f>
        <v/>
      </c>
      <c r="CE89">
        <f>CE88+IF(AND(Lists!$DU$36&lt;&gt;"",ISNUMBER(SEARCH($X$4,Lists!$DU$36))),1,0)</f>
        <v/>
      </c>
      <c r="CF89">
        <f>IF(ROW()-56&gt;MAX($CE$57:$CE$95),"",INDEX(Lists!$DU$4:$DU$42,MATCH(ROW()-56,$CE$57:$CE$95,0)))</f>
        <v/>
      </c>
      <c r="CG89">
        <f>CG88+IF(AND(Lists!$DZ$36&lt;&gt;"",ISNUMBER(SEARCH($Y$4,Lists!$DZ$36))),1,0)</f>
        <v/>
      </c>
      <c r="CH89">
        <f>IF(ROW()-56&gt;MAX($CG$57:$CG$95),"",INDEX(Lists!$DZ$4:$DZ$42,MATCH(ROW()-56,$CG$57:$CG$95,0)))</f>
        <v/>
      </c>
      <c r="CI89">
        <f>CI88+IF(AND(Lists!$EE$36&lt;&gt;"",ISNUMBER(SEARCH($Z$4,Lists!$EE$36))),1,0)</f>
        <v/>
      </c>
      <c r="CJ89">
        <f>IF(ROW()-56&gt;MAX($CI$57:$CI$95),"",INDEX(Lists!$EE$4:$EE$42,MATCH(ROW()-56,$CI$57:$CI$95,0)))</f>
        <v/>
      </c>
      <c r="CK89">
        <f>CK88+IF(AND(Lists!$EJ$36&lt;&gt;"",ISNUMBER(SEARCH($AA$4,Lists!$EJ$36))),1,0)</f>
        <v/>
      </c>
      <c r="CL89">
        <f>IF(ROW()-56&gt;MAX($CK$57:$CK$95),"",INDEX(Lists!$EJ$4:$EJ$42,MATCH(ROW()-56,$CK$57:$CK$95,0)))</f>
        <v/>
      </c>
      <c r="CM89">
        <f>CM88+IF(AND(Lists!$EO$36&lt;&gt;"",ISNUMBER(SEARCH($AB$4,Lists!$EO$36))),1,0)</f>
        <v/>
      </c>
      <c r="CN89">
        <f>IF(ROW()-56&gt;MAX($CM$57:$CM$95),"",INDEX(Lists!$EO$4:$EO$42,MATCH(ROW()-56,$CM$57:$CM$95,0)))</f>
        <v/>
      </c>
      <c r="CO89">
        <f>CO88+IF(AND(Lists!$ET$36&lt;&gt;"",ISNUMBER(SEARCH($AC$4,Lists!$ET$36))),1,0)</f>
        <v/>
      </c>
      <c r="CP89">
        <f>IF(ROW()-56&gt;MAX($CO$57:$CO$95),"",INDEX(Lists!$ET$4:$ET$42,MATCH(ROW()-56,$CO$57:$CO$95,0)))</f>
        <v/>
      </c>
      <c r="CQ89">
        <f>CQ88+IF(AND(Lists!$EY$36&lt;&gt;"",ISNUMBER(SEARCH($AD$4,Lists!$EY$36))),1,0)</f>
        <v/>
      </c>
      <c r="CR89">
        <f>IF(ROW()-56&gt;MAX($CQ$57:$CQ$95),"",INDEX(Lists!$EY$4:$EY$42,MATCH(ROW()-56,$CQ$57:$CQ$95,0)))</f>
        <v/>
      </c>
      <c r="CS89">
        <f>CS88+IF(AND(Lists!$FD$36&lt;&gt;"",ISNUMBER(SEARCH($AE$4,Lists!$FD$36))),1,0)</f>
        <v/>
      </c>
      <c r="CT89">
        <f>IF(ROW()-56&gt;MAX($CS$57:$CS$95),"",INDEX(Lists!$FD$4:$FD$42,MATCH(ROW()-56,$CS$57:$CS$95,0)))</f>
        <v/>
      </c>
      <c r="CU89">
        <f>CU88+IF(AND(Lists!$FI$36&lt;&gt;"",ISNUMBER(SEARCH($AG$4,Lists!$FI$36))),1,0)</f>
        <v/>
      </c>
      <c r="CV89">
        <f>IF(ROW()-56&gt;MAX($CU$57:$CU$95),"",INDEX(Lists!$FI$4:$FI$42,MATCH(ROW()-56,$CU$57:$CU$95,0)))</f>
        <v/>
      </c>
      <c r="CW89">
        <f>CW88+IF(AND(Lists!$FN$36&lt;&gt;"",ISNUMBER(SEARCH($AH$4,Lists!$FN$36))),1,0)</f>
        <v/>
      </c>
      <c r="CX89">
        <f>IF(ROW()-56&gt;MAX($CW$57:$CW$95),"",INDEX(Lists!$FN$4:$FN$42,MATCH(ROW()-56,$CW$57:$CW$95,0)))</f>
        <v/>
      </c>
      <c r="CY89">
        <f>CY88+IF(AND(Lists!$FS$36&lt;&gt;"",ISNUMBER(SEARCH($AI$4,Lists!$FS$36))),1,0)</f>
        <v/>
      </c>
      <c r="CZ89">
        <f>IF(ROW()-56&gt;MAX($CY$57:$CY$95),"",INDEX(Lists!$FS$4:$FS$42,MATCH(ROW()-56,$CY$57:$CY$95,0)))</f>
        <v/>
      </c>
      <c r="DA89">
        <f>DA88+IF(AND(Lists!$FX$36&lt;&gt;"",ISNUMBER(SEARCH($AF$4,Lists!$FX$36))),1,0)</f>
        <v/>
      </c>
      <c r="DB89">
        <f>IF(ROW()-56&gt;MAX($DA$57:$DA$95),"",INDEX(Lists!$FX$4:$FX$42,MATCH(ROW()-56,$DA$57:$DA$95,0)))</f>
        <v/>
      </c>
      <c r="DG89">
        <f>IF($B$4="",1,IF($B$4="(blank)",--('Final Calculation Sheet'!$F$34=""),IF($B$4="(nonblank)",--('Final Calculation Sheet'!$F$34&lt;&gt;""),--ISNUMBER(SEARCH($B$4,'Final Calculation Sheet'!$F$34)))))</f>
        <v/>
      </c>
      <c r="DH89">
        <f>IF($C$4="",1,IF($C$4="(blank)",--('Final Calculation Sheet'!$G$34=""),IF($C$4="(nonblank)",--('Final Calculation Sheet'!$G$34&lt;&gt;""),--ISNUMBER(SEARCH($C$4,'Final Calculation Sheet'!$G$34)))))</f>
        <v/>
      </c>
      <c r="DI89">
        <f>IF($D$4="",1,IF($D$4="(blank)",--('Final Calculation Sheet'!$B$34=""),IF($D$4="(nonblank)",--('Final Calculation Sheet'!$B$34&lt;&gt;""),--ISNUMBER(SEARCH($D$4,'Final Calculation Sheet'!$B$34)))))</f>
        <v/>
      </c>
      <c r="DJ89">
        <f>IF($E$4="",1,IF($E$4="(blank)",--('Final Calculation Sheet'!$D$34=""),IF($E$4="(nonblank)",--('Final Calculation Sheet'!$D$34&lt;&gt;""),--ISNUMBER(SEARCH($E$4,'Final Calculation Sheet'!$D$34)))))</f>
        <v/>
      </c>
      <c r="DK89">
        <f>IF($F$4="",1,IF($F$4="(blank)",--('Final Calculation Sheet'!$A$34=""),IF($F$4="(nonblank)",--('Final Calculation Sheet'!$A$34&lt;&gt;""),--ISNUMBER(SEARCH($F$4,'Final Calculation Sheet'!$A$34)))))</f>
        <v/>
      </c>
      <c r="DL89">
        <f>IF($G$4="",1,IF($G$4="(blank)",--('Final Calculation Sheet'!$E$34=""),IF($G$4="(nonblank)",--('Final Calculation Sheet'!$E$34&lt;&gt;""),--ISNUMBER(SEARCH($G$4,'Final Calculation Sheet'!$E$34)))))</f>
        <v/>
      </c>
      <c r="DM89">
        <f>IF($H$4="",1,IF($H$4="(blank)",--('Final Calculation Sheet'!$C$34=""),IF($H$4="(nonblank)",--('Final Calculation Sheet'!$C$34&lt;&gt;""),--ISNUMBER(SEARCH($H$4,'Final Calculation Sheet'!$C$34)))))</f>
        <v/>
      </c>
      <c r="DN89">
        <f>IF($I$4="",1,IF($I$4="(blank)",--('Final Calculation Sheet'!$H$34=""),IF($I$4="(nonblank)",--('Final Calculation Sheet'!$H$34&lt;&gt;""),--ISNUMBER(SEARCH($I$4,'Final Calculation Sheet'!$H$34)))))</f>
        <v/>
      </c>
      <c r="DO89">
        <f>IF($J$4="",1,IF($J$4="(blank)",--('Final Calculation Sheet'!$I$34=""),IF($J$4="(nonblank)",--('Final Calculation Sheet'!$I$34&lt;&gt;""),--ISNUMBER(SEARCH($J$4,'Final Calculation Sheet'!$I$34)))))</f>
        <v/>
      </c>
      <c r="DP89">
        <f>IF($K$4="",1,IF($K$4="(blank)",--('Final Calculation Sheet'!$J$34=""),IF($K$4="(nonblank)",--('Final Calculation Sheet'!$J$34&lt;&gt;""),--ISNUMBER(SEARCH($K$4,'Final Calculation Sheet'!$J$34)))))</f>
        <v/>
      </c>
      <c r="DQ89">
        <f>IF($L$4="",1,IF($L$4="(blank)",--('Final Calculation Sheet'!$K$34=""),IF($L$4="(nonblank)",--('Final Calculation Sheet'!$K$34&lt;&gt;""),--ISNUMBER(SEARCH($L$4,'Final Calculation Sheet'!$K$34)))))</f>
        <v/>
      </c>
      <c r="DR89">
        <f>IF($M$4="",1,IF($M$4="(blank)",--('Final Calculation Sheet'!$L$34=""),IF($M$4="(nonblank)",--('Final Calculation Sheet'!$L$34&lt;&gt;""),--ISNUMBER(SEARCH($M$4,'Final Calculation Sheet'!$L$34)))))</f>
        <v/>
      </c>
      <c r="DS89">
        <f>IF($N$4="",1,IF($N$4="(blank)",--('Final Calculation Sheet'!$M$34=""),IF($N$4="(nonblank)",--('Final Calculation Sheet'!$M$34&lt;&gt;""),--ISNUMBER(SEARCH($N$4,'Final Calculation Sheet'!$M$34)))))</f>
        <v/>
      </c>
      <c r="DT89">
        <f>IF($O$4="",1,IF($O$4="(blank)",--('Final Calculation Sheet'!$N$34=""),IF($O$4="(nonblank)",--('Final Calculation Sheet'!$N$34&lt;&gt;""),--ISNUMBER(SEARCH($O$4,'Final Calculation Sheet'!$N$34)))))</f>
        <v/>
      </c>
      <c r="DU89">
        <f>IF($P$4="",1,IF($P$4="(blank)",--('Final Calculation Sheet'!$O$34=""),IF($P$4="(nonblank)",--('Final Calculation Sheet'!$O$34&lt;&gt;""),--ISNUMBER(SEARCH($P$4,'Final Calculation Sheet'!$O$34)))))</f>
        <v/>
      </c>
      <c r="DV89">
        <f>IF($Q$4="",1,IF($Q$4="(blank)",--('Final Calculation Sheet'!$P$34=""),IF($Q$4="(nonblank)",--('Final Calculation Sheet'!$P$34&lt;&gt;""),--ISNUMBER(SEARCH($Q$4,'Final Calculation Sheet'!$P$34)))))</f>
        <v/>
      </c>
      <c r="DW89">
        <f>IF($R$4="",1,IF($R$4="(blank)",--('Final Calculation Sheet'!$Q$34=""),IF($R$4="(nonblank)",--('Final Calculation Sheet'!$Q$34&lt;&gt;""),--ISNUMBER(SEARCH($R$4,'Final Calculation Sheet'!$Q$34)))))</f>
        <v/>
      </c>
      <c r="DX89">
        <f>IF($S$4="",1,IF($S$4="(blank)",--('Final Calculation Sheet'!$R$34=""),IF($S$4="(nonblank)",--('Final Calculation Sheet'!$R$34&lt;&gt;""),--ISNUMBER(SEARCH($S$4,'Final Calculation Sheet'!$R$34)))))</f>
        <v/>
      </c>
      <c r="DY89">
        <f>IF($T$4="",1,IF($T$4="(blank)",--('Final Calculation Sheet'!$S$34=""),IF($T$4="(nonblank)",--('Final Calculation Sheet'!$S$34&lt;&gt;""),--ISNUMBER(SEARCH($T$4,'Final Calculation Sheet'!$S$34)))))</f>
        <v/>
      </c>
      <c r="DZ89">
        <f>IF($U$4="",1,IF($U$4="(blank)",--('Final Calculation Sheet'!$T$34=""),IF($U$4="(nonblank)",--('Final Calculation Sheet'!$T$34&lt;&gt;""),--ISNUMBER(SEARCH($U$4,'Final Calculation Sheet'!$T$34)))))</f>
        <v/>
      </c>
      <c r="EA89">
        <f>IF($V$4="",1,IF($V$4="(blank)",--('Final Calculation Sheet'!$U$34=""),IF($V$4="(nonblank)",--('Final Calculation Sheet'!$U$34&lt;&gt;""),--ISNUMBER(SEARCH($V$4,'Final Calculation Sheet'!$U$34)))))</f>
        <v/>
      </c>
      <c r="EB89">
        <f>IF($W$4="",1,IF($W$4="(blank)",--('Final Calculation Sheet'!$V$34=""),IF($W$4="(nonblank)",--('Final Calculation Sheet'!$V$34&lt;&gt;""),--ISNUMBER(SEARCH($W$4,'Final Calculation Sheet'!$V$34)))))</f>
        <v/>
      </c>
      <c r="EC89">
        <f>IF($X$4="",1,IF($X$4="(blank)",--('Final Calculation Sheet'!$W$34=""),IF($X$4="(nonblank)",--('Final Calculation Sheet'!$W$34&lt;&gt;""),--ISNUMBER(SEARCH($X$4,'Final Calculation Sheet'!$W$34)))))</f>
        <v/>
      </c>
      <c r="ED89">
        <f>IF($Y$4="",1,IF($Y$4="(blank)",--('Final Calculation Sheet'!$X$34=""),IF($Y$4="(nonblank)",--('Final Calculation Sheet'!$X$34&lt;&gt;""),--ISNUMBER(SEARCH($Y$4,'Final Calculation Sheet'!$X$34)))))</f>
        <v/>
      </c>
      <c r="EE89">
        <f>IF($Z$4="",1,IF($Z$4="(blank)",--('Final Calculation Sheet'!$Y$34=""),IF($Z$4="(nonblank)",--('Final Calculation Sheet'!$Y$34&lt;&gt;""),--ISNUMBER(SEARCH($Z$4,'Final Calculation Sheet'!$Y$34)))))</f>
        <v/>
      </c>
      <c r="EF89">
        <f>IF($AA$4="",1,IF($AA$4="(blank)",--('Final Calculation Sheet'!$Z$34=""),IF($AA$4="(nonblank)",--('Final Calculation Sheet'!$Z$34&lt;&gt;""),--ISNUMBER(SEARCH($AA$4,'Final Calculation Sheet'!$Z$34)))))</f>
        <v/>
      </c>
      <c r="EG89">
        <f>IF($AB$4="",1,IF($AB$4="(blank)",--('Final Calculation Sheet'!$AA$34=""),IF($AB$4="(nonblank)",--('Final Calculation Sheet'!$AA$34&lt;&gt;""),--ISNUMBER(SEARCH($AB$4,'Final Calculation Sheet'!$AA$34)))))</f>
        <v/>
      </c>
      <c r="EH89">
        <f>IF($AC$4="",1,IF($AC$4="(blank)",--('Final Calculation Sheet'!$AB$34=""),IF($AC$4="(nonblank)",--('Final Calculation Sheet'!$AB$34&lt;&gt;""),--ISNUMBER(SEARCH($AC$4,'Final Calculation Sheet'!$AB$34)))))</f>
        <v/>
      </c>
      <c r="EI89">
        <f>IF($AD$4="",1,IF($AD$4="(blank)",--('Final Calculation Sheet'!$AC$34=""),IF($AD$4="(nonblank)",--('Final Calculation Sheet'!$AC$34&lt;&gt;""),--ISNUMBER(SEARCH($AD$4,'Final Calculation Sheet'!$AC$34)))))</f>
        <v/>
      </c>
      <c r="EJ89">
        <f>IF($AE$4="",1,IF($AE$4="(blank)",--('Final Calculation Sheet'!$AD$34=""),IF($AE$4="(nonblank)",--('Final Calculation Sheet'!$AD$34&lt;&gt;""),--ISNUMBER(SEARCH($AE$4,'Final Calculation Sheet'!$AD$34)))))</f>
        <v/>
      </c>
      <c r="EK89">
        <f>IF($AF$4="",1,IF($AF$4="(blank)",--(IF('Final Calculation Sheet'!$AD$34&lt;=5,"SETTLED","OUTSTANDING")=""),IF($AF$4="(nonblank)",--(IF('Final Calculation Sheet'!$AD$34&lt;=5,"SETTLED","OUTSTANDING")&lt;&gt;""),--ISNUMBER(SEARCH($AF$4,IF('Final Calculation Sheet'!$AD$34&lt;=5,"SETTLED","OUTSTANDING"))))))</f>
        <v/>
      </c>
      <c r="EL89">
        <f>IF($AG$4="",1,IF($AG$4="(blank)",--('Final Calculation Sheet'!$AF$34=""),IF($AG$4="(nonblank)",--('Final Calculation Sheet'!$AF$34&lt;&gt;""),--ISNUMBER(SEARCH($AG$4,'Final Calculation Sheet'!$AF$34)))))</f>
        <v/>
      </c>
      <c r="EM89">
        <f>IF($AH$4="",1,IF($AH$4="(blank)",--('Final Calculation Sheet'!$AG$34=""),IF($AH$4="(nonblank)",--('Final Calculation Sheet'!$AG$34&lt;&gt;""),--ISNUMBER(SEARCH($AH$4,'Final Calculation Sheet'!$AG$34)))))</f>
        <v/>
      </c>
      <c r="EN89">
        <f>IF($AI$4="",1,IF($AI$4="(blank)",--('Final Calculation Sheet'!$AH$34=""),IF($AI$4="(nonblank)",--('Final Calculation Sheet'!$AH$34&lt;&gt;""),--ISNUMBER(SEARCH($AI$4,'Final Calculation Sheet'!$AH$34)))))</f>
        <v/>
      </c>
    </row>
    <row r="90">
      <c r="AM90">
        <f>AM89+IF(AND(Lists!$O$37&lt;&gt;"",ISNUMBER(SEARCH($B$4,Lists!$O$37))),1,0)</f>
        <v/>
      </c>
      <c r="AN90">
        <f>IF(ROW()-56&gt;MAX($AM$57:$AM$95),"",INDEX(Lists!$O$4:$O$42,MATCH(ROW()-56,$AM$57:$AM$95,0)))</f>
        <v/>
      </c>
      <c r="AO90">
        <f>AO89+IF(AND(Lists!$T$37&lt;&gt;"",ISNUMBER(SEARCH($C$4,Lists!$T$37))),1,0)</f>
        <v/>
      </c>
      <c r="AP90">
        <f>IF(ROW()-56&gt;MAX($AO$57:$AO$95),"",INDEX(Lists!$T$4:$T$42,MATCH(ROW()-56,$AO$57:$AO$95,0)))</f>
        <v/>
      </c>
      <c r="AQ90">
        <f>AQ89+IF(AND(Lists!$Y$37&lt;&gt;"",ISNUMBER(SEARCH($D$4,Lists!$Y$37))),1,0)</f>
        <v/>
      </c>
      <c r="AR90">
        <f>IF(ROW()-56&gt;MAX($AQ$57:$AQ$95),"",INDEX(Lists!$Y$4:$Y$42,MATCH(ROW()-56,$AQ$57:$AQ$95,0)))</f>
        <v/>
      </c>
      <c r="AS90">
        <f>AS89+IF(AND(Lists!$AD$37&lt;&gt;"",ISNUMBER(SEARCH($E$4,Lists!$AD$37))),1,0)</f>
        <v/>
      </c>
      <c r="AT90">
        <f>IF(ROW()-56&gt;MAX($AS$57:$AS$95),"",INDEX(Lists!$AD$4:$AD$42,MATCH(ROW()-56,$AS$57:$AS$95,0)))</f>
        <v/>
      </c>
      <c r="AU90">
        <f>AU89+IF(AND(Lists!$AI$37&lt;&gt;"",ISNUMBER(SEARCH($F$4,Lists!$AI$37))),1,0)</f>
        <v/>
      </c>
      <c r="AV90">
        <f>IF(ROW()-56&gt;MAX($AU$57:$AU$95),"",INDEX(Lists!$AI$4:$AI$42,MATCH(ROW()-56,$AU$57:$AU$95,0)))</f>
        <v/>
      </c>
      <c r="AW90">
        <f>AW89+IF(AND(Lists!$AN$37&lt;&gt;"",ISNUMBER(SEARCH($G$4,Lists!$AN$37))),1,0)</f>
        <v/>
      </c>
      <c r="AX90">
        <f>IF(ROW()-56&gt;MAX($AW$57:$AW$95),"",INDEX(Lists!$AN$4:$AN$42,MATCH(ROW()-56,$AW$57:$AW$95,0)))</f>
        <v/>
      </c>
      <c r="AY90">
        <f>AY89+IF(AND(Lists!$AS$37&lt;&gt;"",ISNUMBER(SEARCH($H$4,Lists!$AS$37))),1,0)</f>
        <v/>
      </c>
      <c r="AZ90">
        <f>IF(ROW()-56&gt;MAX($AY$57:$AY$95),"",INDEX(Lists!$AS$4:$AS$42,MATCH(ROW()-56,$AY$57:$AY$95,0)))</f>
        <v/>
      </c>
      <c r="BA90">
        <f>BA89+IF(AND(Lists!$AX$37&lt;&gt;"",ISNUMBER(SEARCH($I$4,Lists!$AX$37))),1,0)</f>
        <v/>
      </c>
      <c r="BB90">
        <f>IF(ROW()-56&gt;MAX($BA$57:$BA$95),"",INDEX(Lists!$AX$4:$AX$42,MATCH(ROW()-56,$BA$57:$BA$95,0)))</f>
        <v/>
      </c>
      <c r="BC90">
        <f>BC89+IF(AND(Lists!$BC$37&lt;&gt;"",ISNUMBER(SEARCH($J$4,Lists!$BC$37))),1,0)</f>
        <v/>
      </c>
      <c r="BD90">
        <f>IF(ROW()-56&gt;MAX($BC$57:$BC$95),"",INDEX(Lists!$BC$4:$BC$42,MATCH(ROW()-56,$BC$57:$BC$95,0)))</f>
        <v/>
      </c>
      <c r="BE90">
        <f>BE89+IF(AND(Lists!$BH$37&lt;&gt;"",ISNUMBER(SEARCH($K$4,Lists!$BH$37))),1,0)</f>
        <v/>
      </c>
      <c r="BF90">
        <f>IF(ROW()-56&gt;MAX($BE$57:$BE$95),"",INDEX(Lists!$BH$4:$BH$42,MATCH(ROW()-56,$BE$57:$BE$95,0)))</f>
        <v/>
      </c>
      <c r="BG90">
        <f>BG89+IF(AND(Lists!$BM$37&lt;&gt;"",ISNUMBER(SEARCH($L$4,Lists!$BM$37))),1,0)</f>
        <v/>
      </c>
      <c r="BH90">
        <f>IF(ROW()-56&gt;MAX($BG$57:$BG$95),"",INDEX(Lists!$BM$4:$BM$42,MATCH(ROW()-56,$BG$57:$BG$95,0)))</f>
        <v/>
      </c>
      <c r="BI90">
        <f>BI89+IF(AND(Lists!$BR$37&lt;&gt;"",ISNUMBER(SEARCH($M$4,Lists!$BR$37))),1,0)</f>
        <v/>
      </c>
      <c r="BJ90">
        <f>IF(ROW()-56&gt;MAX($BI$57:$BI$95),"",INDEX(Lists!$BR$4:$BR$42,MATCH(ROW()-56,$BI$57:$BI$95,0)))</f>
        <v/>
      </c>
      <c r="BK90">
        <f>BK89+IF(AND(Lists!$BW$37&lt;&gt;"",ISNUMBER(SEARCH($N$4,Lists!$BW$37))),1,0)</f>
        <v/>
      </c>
      <c r="BL90">
        <f>IF(ROW()-56&gt;MAX($BK$57:$BK$95),"",INDEX(Lists!$BW$4:$BW$42,MATCH(ROW()-56,$BK$57:$BK$95,0)))</f>
        <v/>
      </c>
      <c r="BM90">
        <f>BM89+IF(AND(Lists!$CB$37&lt;&gt;"",ISNUMBER(SEARCH($O$4,Lists!$CB$37))),1,0)</f>
        <v/>
      </c>
      <c r="BN90">
        <f>IF(ROW()-56&gt;MAX($BM$57:$BM$95),"",INDEX(Lists!$CB$4:$CB$42,MATCH(ROW()-56,$BM$57:$BM$95,0)))</f>
        <v/>
      </c>
      <c r="BO90">
        <f>BO89+IF(AND(Lists!$CG$37&lt;&gt;"",ISNUMBER(SEARCH($P$4,Lists!$CG$37))),1,0)</f>
        <v/>
      </c>
      <c r="BP90">
        <f>IF(ROW()-56&gt;MAX($BO$57:$BO$95),"",INDEX(Lists!$CG$4:$CG$42,MATCH(ROW()-56,$BO$57:$BO$95,0)))</f>
        <v/>
      </c>
      <c r="BQ90">
        <f>BQ89+IF(AND(Lists!$CL$37&lt;&gt;"",ISNUMBER(SEARCH($Q$4,Lists!$CL$37))),1,0)</f>
        <v/>
      </c>
      <c r="BR90">
        <f>IF(ROW()-56&gt;MAX($BQ$57:$BQ$95),"",INDEX(Lists!$CL$4:$CL$42,MATCH(ROW()-56,$BQ$57:$BQ$95,0)))</f>
        <v/>
      </c>
      <c r="BS90">
        <f>BS89+IF(AND(Lists!$CQ$37&lt;&gt;"",ISNUMBER(SEARCH($R$4,Lists!$CQ$37))),1,0)</f>
        <v/>
      </c>
      <c r="BT90">
        <f>IF(ROW()-56&gt;MAX($BS$57:$BS$95),"",INDEX(Lists!$CQ$4:$CQ$42,MATCH(ROW()-56,$BS$57:$BS$95,0)))</f>
        <v/>
      </c>
      <c r="BU90">
        <f>BU89+IF(AND(Lists!$CV$37&lt;&gt;"",ISNUMBER(SEARCH($S$4,Lists!$CV$37))),1,0)</f>
        <v/>
      </c>
      <c r="BV90">
        <f>IF(ROW()-56&gt;MAX($BU$57:$BU$95),"",INDEX(Lists!$CV$4:$CV$42,MATCH(ROW()-56,$BU$57:$BU$95,0)))</f>
        <v/>
      </c>
      <c r="BW90">
        <f>BW89+IF(AND(Lists!$DA$37&lt;&gt;"",ISNUMBER(SEARCH($T$4,Lists!$DA$37))),1,0)</f>
        <v/>
      </c>
      <c r="BX90">
        <f>IF(ROW()-56&gt;MAX($BW$57:$BW$95),"",INDEX(Lists!$DA$4:$DA$42,MATCH(ROW()-56,$BW$57:$BW$95,0)))</f>
        <v/>
      </c>
      <c r="BY90">
        <f>BY89+IF(AND(Lists!$DF$37&lt;&gt;"",ISNUMBER(SEARCH($U$4,Lists!$DF$37))),1,0)</f>
        <v/>
      </c>
      <c r="BZ90">
        <f>IF(ROW()-56&gt;MAX($BY$57:$BY$95),"",INDEX(Lists!$DF$4:$DF$42,MATCH(ROW()-56,$BY$57:$BY$95,0)))</f>
        <v/>
      </c>
      <c r="CA90">
        <f>CA89+IF(AND(Lists!$DK$37&lt;&gt;"",ISNUMBER(SEARCH($V$4,Lists!$DK$37))),1,0)</f>
        <v/>
      </c>
      <c r="CB90">
        <f>IF(ROW()-56&gt;MAX($CA$57:$CA$95),"",INDEX(Lists!$DK$4:$DK$42,MATCH(ROW()-56,$CA$57:$CA$95,0)))</f>
        <v/>
      </c>
      <c r="CC90">
        <f>CC89+IF(AND(Lists!$DP$37&lt;&gt;"",ISNUMBER(SEARCH($W$4,Lists!$DP$37))),1,0)</f>
        <v/>
      </c>
      <c r="CD90">
        <f>IF(ROW()-56&gt;MAX($CC$57:$CC$95),"",INDEX(Lists!$DP$4:$DP$42,MATCH(ROW()-56,$CC$57:$CC$95,0)))</f>
        <v/>
      </c>
      <c r="CE90">
        <f>CE89+IF(AND(Lists!$DU$37&lt;&gt;"",ISNUMBER(SEARCH($X$4,Lists!$DU$37))),1,0)</f>
        <v/>
      </c>
      <c r="CF90">
        <f>IF(ROW()-56&gt;MAX($CE$57:$CE$95),"",INDEX(Lists!$DU$4:$DU$42,MATCH(ROW()-56,$CE$57:$CE$95,0)))</f>
        <v/>
      </c>
      <c r="CG90">
        <f>CG89+IF(AND(Lists!$DZ$37&lt;&gt;"",ISNUMBER(SEARCH($Y$4,Lists!$DZ$37))),1,0)</f>
        <v/>
      </c>
      <c r="CH90">
        <f>IF(ROW()-56&gt;MAX($CG$57:$CG$95),"",INDEX(Lists!$DZ$4:$DZ$42,MATCH(ROW()-56,$CG$57:$CG$95,0)))</f>
        <v/>
      </c>
      <c r="CI90">
        <f>CI89+IF(AND(Lists!$EE$37&lt;&gt;"",ISNUMBER(SEARCH($Z$4,Lists!$EE$37))),1,0)</f>
        <v/>
      </c>
      <c r="CJ90">
        <f>IF(ROW()-56&gt;MAX($CI$57:$CI$95),"",INDEX(Lists!$EE$4:$EE$42,MATCH(ROW()-56,$CI$57:$CI$95,0)))</f>
        <v/>
      </c>
      <c r="CK90">
        <f>CK89+IF(AND(Lists!$EJ$37&lt;&gt;"",ISNUMBER(SEARCH($AA$4,Lists!$EJ$37))),1,0)</f>
        <v/>
      </c>
      <c r="CL90">
        <f>IF(ROW()-56&gt;MAX($CK$57:$CK$95),"",INDEX(Lists!$EJ$4:$EJ$42,MATCH(ROW()-56,$CK$57:$CK$95,0)))</f>
        <v/>
      </c>
      <c r="CM90">
        <f>CM89+IF(AND(Lists!$EO$37&lt;&gt;"",ISNUMBER(SEARCH($AB$4,Lists!$EO$37))),1,0)</f>
        <v/>
      </c>
      <c r="CN90">
        <f>IF(ROW()-56&gt;MAX($CM$57:$CM$95),"",INDEX(Lists!$EO$4:$EO$42,MATCH(ROW()-56,$CM$57:$CM$95,0)))</f>
        <v/>
      </c>
      <c r="CO90">
        <f>CO89+IF(AND(Lists!$ET$37&lt;&gt;"",ISNUMBER(SEARCH($AC$4,Lists!$ET$37))),1,0)</f>
        <v/>
      </c>
      <c r="CP90">
        <f>IF(ROW()-56&gt;MAX($CO$57:$CO$95),"",INDEX(Lists!$ET$4:$ET$42,MATCH(ROW()-56,$CO$57:$CO$95,0)))</f>
        <v/>
      </c>
      <c r="CQ90">
        <f>CQ89+IF(AND(Lists!$EY$37&lt;&gt;"",ISNUMBER(SEARCH($AD$4,Lists!$EY$37))),1,0)</f>
        <v/>
      </c>
      <c r="CR90">
        <f>IF(ROW()-56&gt;MAX($CQ$57:$CQ$95),"",INDEX(Lists!$EY$4:$EY$42,MATCH(ROW()-56,$CQ$57:$CQ$95,0)))</f>
        <v/>
      </c>
      <c r="CS90">
        <f>CS89+IF(AND(Lists!$FD$37&lt;&gt;"",ISNUMBER(SEARCH($AE$4,Lists!$FD$37))),1,0)</f>
        <v/>
      </c>
      <c r="CT90">
        <f>IF(ROW()-56&gt;MAX($CS$57:$CS$95),"",INDEX(Lists!$FD$4:$FD$42,MATCH(ROW()-56,$CS$57:$CS$95,0)))</f>
        <v/>
      </c>
      <c r="CU90">
        <f>CU89+IF(AND(Lists!$FI$37&lt;&gt;"",ISNUMBER(SEARCH($AG$4,Lists!$FI$37))),1,0)</f>
        <v/>
      </c>
      <c r="CV90">
        <f>IF(ROW()-56&gt;MAX($CU$57:$CU$95),"",INDEX(Lists!$FI$4:$FI$42,MATCH(ROW()-56,$CU$57:$CU$95,0)))</f>
        <v/>
      </c>
      <c r="CW90">
        <f>CW89+IF(AND(Lists!$FN$37&lt;&gt;"",ISNUMBER(SEARCH($AH$4,Lists!$FN$37))),1,0)</f>
        <v/>
      </c>
      <c r="CX90">
        <f>IF(ROW()-56&gt;MAX($CW$57:$CW$95),"",INDEX(Lists!$FN$4:$FN$42,MATCH(ROW()-56,$CW$57:$CW$95,0)))</f>
        <v/>
      </c>
      <c r="CY90">
        <f>CY89+IF(AND(Lists!$FS$37&lt;&gt;"",ISNUMBER(SEARCH($AI$4,Lists!$FS$37))),1,0)</f>
        <v/>
      </c>
      <c r="CZ90">
        <f>IF(ROW()-56&gt;MAX($CY$57:$CY$95),"",INDEX(Lists!$FS$4:$FS$42,MATCH(ROW()-56,$CY$57:$CY$95,0)))</f>
        <v/>
      </c>
      <c r="DA90">
        <f>DA89+IF(AND(Lists!$FX$37&lt;&gt;"",ISNUMBER(SEARCH($AF$4,Lists!$FX$37))),1,0)</f>
        <v/>
      </c>
      <c r="DB90">
        <f>IF(ROW()-56&gt;MAX($DA$57:$DA$95),"",INDEX(Lists!$FX$4:$FX$42,MATCH(ROW()-56,$DA$57:$DA$95,0)))</f>
        <v/>
      </c>
      <c r="DG90">
        <f>IF($B$4="",1,IF($B$4="(blank)",--('Final Calculation Sheet'!$F$35=""),IF($B$4="(nonblank)",--('Final Calculation Sheet'!$F$35&lt;&gt;""),--ISNUMBER(SEARCH($B$4,'Final Calculation Sheet'!$F$35)))))</f>
        <v/>
      </c>
      <c r="DH90">
        <f>IF($C$4="",1,IF($C$4="(blank)",--('Final Calculation Sheet'!$G$35=""),IF($C$4="(nonblank)",--('Final Calculation Sheet'!$G$35&lt;&gt;""),--ISNUMBER(SEARCH($C$4,'Final Calculation Sheet'!$G$35)))))</f>
        <v/>
      </c>
      <c r="DI90">
        <f>IF($D$4="",1,IF($D$4="(blank)",--('Final Calculation Sheet'!$B$35=""),IF($D$4="(nonblank)",--('Final Calculation Sheet'!$B$35&lt;&gt;""),--ISNUMBER(SEARCH($D$4,'Final Calculation Sheet'!$B$35)))))</f>
        <v/>
      </c>
      <c r="DJ90">
        <f>IF($E$4="",1,IF($E$4="(blank)",--('Final Calculation Sheet'!$D$35=""),IF($E$4="(nonblank)",--('Final Calculation Sheet'!$D$35&lt;&gt;""),--ISNUMBER(SEARCH($E$4,'Final Calculation Sheet'!$D$35)))))</f>
        <v/>
      </c>
      <c r="DK90">
        <f>IF($F$4="",1,IF($F$4="(blank)",--('Final Calculation Sheet'!$A$35=""),IF($F$4="(nonblank)",--('Final Calculation Sheet'!$A$35&lt;&gt;""),--ISNUMBER(SEARCH($F$4,'Final Calculation Sheet'!$A$35)))))</f>
        <v/>
      </c>
      <c r="DL90">
        <f>IF($G$4="",1,IF($G$4="(blank)",--('Final Calculation Sheet'!$E$35=""),IF($G$4="(nonblank)",--('Final Calculation Sheet'!$E$35&lt;&gt;""),--ISNUMBER(SEARCH($G$4,'Final Calculation Sheet'!$E$35)))))</f>
        <v/>
      </c>
      <c r="DM90">
        <f>IF($H$4="",1,IF($H$4="(blank)",--('Final Calculation Sheet'!$C$35=""),IF($H$4="(nonblank)",--('Final Calculation Sheet'!$C$35&lt;&gt;""),--ISNUMBER(SEARCH($H$4,'Final Calculation Sheet'!$C$35)))))</f>
        <v/>
      </c>
      <c r="DN90">
        <f>IF($I$4="",1,IF($I$4="(blank)",--('Final Calculation Sheet'!$H$35=""),IF($I$4="(nonblank)",--('Final Calculation Sheet'!$H$35&lt;&gt;""),--ISNUMBER(SEARCH($I$4,'Final Calculation Sheet'!$H$35)))))</f>
        <v/>
      </c>
      <c r="DO90">
        <f>IF($J$4="",1,IF($J$4="(blank)",--('Final Calculation Sheet'!$I$35=""),IF($J$4="(nonblank)",--('Final Calculation Sheet'!$I$35&lt;&gt;""),--ISNUMBER(SEARCH($J$4,'Final Calculation Sheet'!$I$35)))))</f>
        <v/>
      </c>
      <c r="DP90">
        <f>IF($K$4="",1,IF($K$4="(blank)",--('Final Calculation Sheet'!$J$35=""),IF($K$4="(nonblank)",--('Final Calculation Sheet'!$J$35&lt;&gt;""),--ISNUMBER(SEARCH($K$4,'Final Calculation Sheet'!$J$35)))))</f>
        <v/>
      </c>
      <c r="DQ90">
        <f>IF($L$4="",1,IF($L$4="(blank)",--('Final Calculation Sheet'!$K$35=""),IF($L$4="(nonblank)",--('Final Calculation Sheet'!$K$35&lt;&gt;""),--ISNUMBER(SEARCH($L$4,'Final Calculation Sheet'!$K$35)))))</f>
        <v/>
      </c>
      <c r="DR90">
        <f>IF($M$4="",1,IF($M$4="(blank)",--('Final Calculation Sheet'!$L$35=""),IF($M$4="(nonblank)",--('Final Calculation Sheet'!$L$35&lt;&gt;""),--ISNUMBER(SEARCH($M$4,'Final Calculation Sheet'!$L$35)))))</f>
        <v/>
      </c>
      <c r="DS90">
        <f>IF($N$4="",1,IF($N$4="(blank)",--('Final Calculation Sheet'!$M$35=""),IF($N$4="(nonblank)",--('Final Calculation Sheet'!$M$35&lt;&gt;""),--ISNUMBER(SEARCH($N$4,'Final Calculation Sheet'!$M$35)))))</f>
        <v/>
      </c>
      <c r="DT90">
        <f>IF($O$4="",1,IF($O$4="(blank)",--('Final Calculation Sheet'!$N$35=""),IF($O$4="(nonblank)",--('Final Calculation Sheet'!$N$35&lt;&gt;""),--ISNUMBER(SEARCH($O$4,'Final Calculation Sheet'!$N$35)))))</f>
        <v/>
      </c>
      <c r="DU90">
        <f>IF($P$4="",1,IF($P$4="(blank)",--('Final Calculation Sheet'!$O$35=""),IF($P$4="(nonblank)",--('Final Calculation Sheet'!$O$35&lt;&gt;""),--ISNUMBER(SEARCH($P$4,'Final Calculation Sheet'!$O$35)))))</f>
        <v/>
      </c>
      <c r="DV90">
        <f>IF($Q$4="",1,IF($Q$4="(blank)",--('Final Calculation Sheet'!$P$35=""),IF($Q$4="(nonblank)",--('Final Calculation Sheet'!$P$35&lt;&gt;""),--ISNUMBER(SEARCH($Q$4,'Final Calculation Sheet'!$P$35)))))</f>
        <v/>
      </c>
      <c r="DW90">
        <f>IF($R$4="",1,IF($R$4="(blank)",--('Final Calculation Sheet'!$Q$35=""),IF($R$4="(nonblank)",--('Final Calculation Sheet'!$Q$35&lt;&gt;""),--ISNUMBER(SEARCH($R$4,'Final Calculation Sheet'!$Q$35)))))</f>
        <v/>
      </c>
      <c r="DX90">
        <f>IF($S$4="",1,IF($S$4="(blank)",--('Final Calculation Sheet'!$R$35=""),IF($S$4="(nonblank)",--('Final Calculation Sheet'!$R$35&lt;&gt;""),--ISNUMBER(SEARCH($S$4,'Final Calculation Sheet'!$R$35)))))</f>
        <v/>
      </c>
      <c r="DY90">
        <f>IF($T$4="",1,IF($T$4="(blank)",--('Final Calculation Sheet'!$S$35=""),IF($T$4="(nonblank)",--('Final Calculation Sheet'!$S$35&lt;&gt;""),--ISNUMBER(SEARCH($T$4,'Final Calculation Sheet'!$S$35)))))</f>
        <v/>
      </c>
      <c r="DZ90">
        <f>IF($U$4="",1,IF($U$4="(blank)",--('Final Calculation Sheet'!$T$35=""),IF($U$4="(nonblank)",--('Final Calculation Sheet'!$T$35&lt;&gt;""),--ISNUMBER(SEARCH($U$4,'Final Calculation Sheet'!$T$35)))))</f>
        <v/>
      </c>
      <c r="EA90">
        <f>IF($V$4="",1,IF($V$4="(blank)",--('Final Calculation Sheet'!$U$35=""),IF($V$4="(nonblank)",--('Final Calculation Sheet'!$U$35&lt;&gt;""),--ISNUMBER(SEARCH($V$4,'Final Calculation Sheet'!$U$35)))))</f>
        <v/>
      </c>
      <c r="EB90">
        <f>IF($W$4="",1,IF($W$4="(blank)",--('Final Calculation Sheet'!$V$35=""),IF($W$4="(nonblank)",--('Final Calculation Sheet'!$V$35&lt;&gt;""),--ISNUMBER(SEARCH($W$4,'Final Calculation Sheet'!$V$35)))))</f>
        <v/>
      </c>
      <c r="EC90">
        <f>IF($X$4="",1,IF($X$4="(blank)",--('Final Calculation Sheet'!$W$35=""),IF($X$4="(nonblank)",--('Final Calculation Sheet'!$W$35&lt;&gt;""),--ISNUMBER(SEARCH($X$4,'Final Calculation Sheet'!$W$35)))))</f>
        <v/>
      </c>
      <c r="ED90">
        <f>IF($Y$4="",1,IF($Y$4="(blank)",--('Final Calculation Sheet'!$X$35=""),IF($Y$4="(nonblank)",--('Final Calculation Sheet'!$X$35&lt;&gt;""),--ISNUMBER(SEARCH($Y$4,'Final Calculation Sheet'!$X$35)))))</f>
        <v/>
      </c>
      <c r="EE90">
        <f>IF($Z$4="",1,IF($Z$4="(blank)",--('Final Calculation Sheet'!$Y$35=""),IF($Z$4="(nonblank)",--('Final Calculation Sheet'!$Y$35&lt;&gt;""),--ISNUMBER(SEARCH($Z$4,'Final Calculation Sheet'!$Y$35)))))</f>
        <v/>
      </c>
      <c r="EF90">
        <f>IF($AA$4="",1,IF($AA$4="(blank)",--('Final Calculation Sheet'!$Z$35=""),IF($AA$4="(nonblank)",--('Final Calculation Sheet'!$Z$35&lt;&gt;""),--ISNUMBER(SEARCH($AA$4,'Final Calculation Sheet'!$Z$35)))))</f>
        <v/>
      </c>
      <c r="EG90">
        <f>IF($AB$4="",1,IF($AB$4="(blank)",--('Final Calculation Sheet'!$AA$35=""),IF($AB$4="(nonblank)",--('Final Calculation Sheet'!$AA$35&lt;&gt;""),--ISNUMBER(SEARCH($AB$4,'Final Calculation Sheet'!$AA$35)))))</f>
        <v/>
      </c>
      <c r="EH90">
        <f>IF($AC$4="",1,IF($AC$4="(blank)",--('Final Calculation Sheet'!$AB$35=""),IF($AC$4="(nonblank)",--('Final Calculation Sheet'!$AB$35&lt;&gt;""),--ISNUMBER(SEARCH($AC$4,'Final Calculation Sheet'!$AB$35)))))</f>
        <v/>
      </c>
      <c r="EI90">
        <f>IF($AD$4="",1,IF($AD$4="(blank)",--('Final Calculation Sheet'!$AC$35=""),IF($AD$4="(nonblank)",--('Final Calculation Sheet'!$AC$35&lt;&gt;""),--ISNUMBER(SEARCH($AD$4,'Final Calculation Sheet'!$AC$35)))))</f>
        <v/>
      </c>
      <c r="EJ90">
        <f>IF($AE$4="",1,IF($AE$4="(blank)",--('Final Calculation Sheet'!$AD$35=""),IF($AE$4="(nonblank)",--('Final Calculation Sheet'!$AD$35&lt;&gt;""),--ISNUMBER(SEARCH($AE$4,'Final Calculation Sheet'!$AD$35)))))</f>
        <v/>
      </c>
      <c r="EK90">
        <f>IF($AF$4="",1,IF($AF$4="(blank)",--(IF('Final Calculation Sheet'!$AD$35&lt;=5,"SETTLED","OUTSTANDING")=""),IF($AF$4="(nonblank)",--(IF('Final Calculation Sheet'!$AD$35&lt;=5,"SETTLED","OUTSTANDING")&lt;&gt;""),--ISNUMBER(SEARCH($AF$4,IF('Final Calculation Sheet'!$AD$35&lt;=5,"SETTLED","OUTSTANDING"))))))</f>
        <v/>
      </c>
      <c r="EL90">
        <f>IF($AG$4="",1,IF($AG$4="(blank)",--('Final Calculation Sheet'!$AF$35=""),IF($AG$4="(nonblank)",--('Final Calculation Sheet'!$AF$35&lt;&gt;""),--ISNUMBER(SEARCH($AG$4,'Final Calculation Sheet'!$AF$35)))))</f>
        <v/>
      </c>
      <c r="EM90">
        <f>IF($AH$4="",1,IF($AH$4="(blank)",--('Final Calculation Sheet'!$AG$35=""),IF($AH$4="(nonblank)",--('Final Calculation Sheet'!$AG$35&lt;&gt;""),--ISNUMBER(SEARCH($AH$4,'Final Calculation Sheet'!$AG$35)))))</f>
        <v/>
      </c>
      <c r="EN90">
        <f>IF($AI$4="",1,IF($AI$4="(blank)",--('Final Calculation Sheet'!$AH$35=""),IF($AI$4="(nonblank)",--('Final Calculation Sheet'!$AH$35&lt;&gt;""),--ISNUMBER(SEARCH($AI$4,'Final Calculation Sheet'!$AH$35)))))</f>
        <v/>
      </c>
    </row>
    <row r="91">
      <c r="AM91">
        <f>AM90+IF(AND(Lists!$O$38&lt;&gt;"",ISNUMBER(SEARCH($B$4,Lists!$O$38))),1,0)</f>
        <v/>
      </c>
      <c r="AN91">
        <f>IF(ROW()-56&gt;MAX($AM$57:$AM$95),"",INDEX(Lists!$O$4:$O$42,MATCH(ROW()-56,$AM$57:$AM$95,0)))</f>
        <v/>
      </c>
      <c r="AO91">
        <f>AO90+IF(AND(Lists!$T$38&lt;&gt;"",ISNUMBER(SEARCH($C$4,Lists!$T$38))),1,0)</f>
        <v/>
      </c>
      <c r="AP91">
        <f>IF(ROW()-56&gt;MAX($AO$57:$AO$95),"",INDEX(Lists!$T$4:$T$42,MATCH(ROW()-56,$AO$57:$AO$95,0)))</f>
        <v/>
      </c>
      <c r="AQ91">
        <f>AQ90+IF(AND(Lists!$Y$38&lt;&gt;"",ISNUMBER(SEARCH($D$4,Lists!$Y$38))),1,0)</f>
        <v/>
      </c>
      <c r="AR91">
        <f>IF(ROW()-56&gt;MAX($AQ$57:$AQ$95),"",INDEX(Lists!$Y$4:$Y$42,MATCH(ROW()-56,$AQ$57:$AQ$95,0)))</f>
        <v/>
      </c>
      <c r="AS91">
        <f>AS90+IF(AND(Lists!$AD$38&lt;&gt;"",ISNUMBER(SEARCH($E$4,Lists!$AD$38))),1,0)</f>
        <v/>
      </c>
      <c r="AT91">
        <f>IF(ROW()-56&gt;MAX($AS$57:$AS$95),"",INDEX(Lists!$AD$4:$AD$42,MATCH(ROW()-56,$AS$57:$AS$95,0)))</f>
        <v/>
      </c>
      <c r="AU91">
        <f>AU90+IF(AND(Lists!$AI$38&lt;&gt;"",ISNUMBER(SEARCH($F$4,Lists!$AI$38))),1,0)</f>
        <v/>
      </c>
      <c r="AV91">
        <f>IF(ROW()-56&gt;MAX($AU$57:$AU$95),"",INDEX(Lists!$AI$4:$AI$42,MATCH(ROW()-56,$AU$57:$AU$95,0)))</f>
        <v/>
      </c>
      <c r="AW91">
        <f>AW90+IF(AND(Lists!$AN$38&lt;&gt;"",ISNUMBER(SEARCH($G$4,Lists!$AN$38))),1,0)</f>
        <v/>
      </c>
      <c r="AX91">
        <f>IF(ROW()-56&gt;MAX($AW$57:$AW$95),"",INDEX(Lists!$AN$4:$AN$42,MATCH(ROW()-56,$AW$57:$AW$95,0)))</f>
        <v/>
      </c>
      <c r="AY91">
        <f>AY90+IF(AND(Lists!$AS$38&lt;&gt;"",ISNUMBER(SEARCH($H$4,Lists!$AS$38))),1,0)</f>
        <v/>
      </c>
      <c r="AZ91">
        <f>IF(ROW()-56&gt;MAX($AY$57:$AY$95),"",INDEX(Lists!$AS$4:$AS$42,MATCH(ROW()-56,$AY$57:$AY$95,0)))</f>
        <v/>
      </c>
      <c r="BA91">
        <f>BA90+IF(AND(Lists!$AX$38&lt;&gt;"",ISNUMBER(SEARCH($I$4,Lists!$AX$38))),1,0)</f>
        <v/>
      </c>
      <c r="BB91">
        <f>IF(ROW()-56&gt;MAX($BA$57:$BA$95),"",INDEX(Lists!$AX$4:$AX$42,MATCH(ROW()-56,$BA$57:$BA$95,0)))</f>
        <v/>
      </c>
      <c r="BC91">
        <f>BC90+IF(AND(Lists!$BC$38&lt;&gt;"",ISNUMBER(SEARCH($J$4,Lists!$BC$38))),1,0)</f>
        <v/>
      </c>
      <c r="BD91">
        <f>IF(ROW()-56&gt;MAX($BC$57:$BC$95),"",INDEX(Lists!$BC$4:$BC$42,MATCH(ROW()-56,$BC$57:$BC$95,0)))</f>
        <v/>
      </c>
      <c r="BE91">
        <f>BE90+IF(AND(Lists!$BH$38&lt;&gt;"",ISNUMBER(SEARCH($K$4,Lists!$BH$38))),1,0)</f>
        <v/>
      </c>
      <c r="BF91">
        <f>IF(ROW()-56&gt;MAX($BE$57:$BE$95),"",INDEX(Lists!$BH$4:$BH$42,MATCH(ROW()-56,$BE$57:$BE$95,0)))</f>
        <v/>
      </c>
      <c r="BG91">
        <f>BG90+IF(AND(Lists!$BM$38&lt;&gt;"",ISNUMBER(SEARCH($L$4,Lists!$BM$38))),1,0)</f>
        <v/>
      </c>
      <c r="BH91">
        <f>IF(ROW()-56&gt;MAX($BG$57:$BG$95),"",INDEX(Lists!$BM$4:$BM$42,MATCH(ROW()-56,$BG$57:$BG$95,0)))</f>
        <v/>
      </c>
      <c r="BI91">
        <f>BI90+IF(AND(Lists!$BR$38&lt;&gt;"",ISNUMBER(SEARCH($M$4,Lists!$BR$38))),1,0)</f>
        <v/>
      </c>
      <c r="BJ91">
        <f>IF(ROW()-56&gt;MAX($BI$57:$BI$95),"",INDEX(Lists!$BR$4:$BR$42,MATCH(ROW()-56,$BI$57:$BI$95,0)))</f>
        <v/>
      </c>
      <c r="BK91">
        <f>BK90+IF(AND(Lists!$BW$38&lt;&gt;"",ISNUMBER(SEARCH($N$4,Lists!$BW$38))),1,0)</f>
        <v/>
      </c>
      <c r="BL91">
        <f>IF(ROW()-56&gt;MAX($BK$57:$BK$95),"",INDEX(Lists!$BW$4:$BW$42,MATCH(ROW()-56,$BK$57:$BK$95,0)))</f>
        <v/>
      </c>
      <c r="BM91">
        <f>BM90+IF(AND(Lists!$CB$38&lt;&gt;"",ISNUMBER(SEARCH($O$4,Lists!$CB$38))),1,0)</f>
        <v/>
      </c>
      <c r="BN91">
        <f>IF(ROW()-56&gt;MAX($BM$57:$BM$95),"",INDEX(Lists!$CB$4:$CB$42,MATCH(ROW()-56,$BM$57:$BM$95,0)))</f>
        <v/>
      </c>
      <c r="BO91">
        <f>BO90+IF(AND(Lists!$CG$38&lt;&gt;"",ISNUMBER(SEARCH($P$4,Lists!$CG$38))),1,0)</f>
        <v/>
      </c>
      <c r="BP91">
        <f>IF(ROW()-56&gt;MAX($BO$57:$BO$95),"",INDEX(Lists!$CG$4:$CG$42,MATCH(ROW()-56,$BO$57:$BO$95,0)))</f>
        <v/>
      </c>
      <c r="BQ91">
        <f>BQ90+IF(AND(Lists!$CL$38&lt;&gt;"",ISNUMBER(SEARCH($Q$4,Lists!$CL$38))),1,0)</f>
        <v/>
      </c>
      <c r="BR91">
        <f>IF(ROW()-56&gt;MAX($BQ$57:$BQ$95),"",INDEX(Lists!$CL$4:$CL$42,MATCH(ROW()-56,$BQ$57:$BQ$95,0)))</f>
        <v/>
      </c>
      <c r="BS91">
        <f>BS90+IF(AND(Lists!$CQ$38&lt;&gt;"",ISNUMBER(SEARCH($R$4,Lists!$CQ$38))),1,0)</f>
        <v/>
      </c>
      <c r="BT91">
        <f>IF(ROW()-56&gt;MAX($BS$57:$BS$95),"",INDEX(Lists!$CQ$4:$CQ$42,MATCH(ROW()-56,$BS$57:$BS$95,0)))</f>
        <v/>
      </c>
      <c r="BU91">
        <f>BU90+IF(AND(Lists!$CV$38&lt;&gt;"",ISNUMBER(SEARCH($S$4,Lists!$CV$38))),1,0)</f>
        <v/>
      </c>
      <c r="BV91">
        <f>IF(ROW()-56&gt;MAX($BU$57:$BU$95),"",INDEX(Lists!$CV$4:$CV$42,MATCH(ROW()-56,$BU$57:$BU$95,0)))</f>
        <v/>
      </c>
      <c r="BW91">
        <f>BW90+IF(AND(Lists!$DA$38&lt;&gt;"",ISNUMBER(SEARCH($T$4,Lists!$DA$38))),1,0)</f>
        <v/>
      </c>
      <c r="BX91">
        <f>IF(ROW()-56&gt;MAX($BW$57:$BW$95),"",INDEX(Lists!$DA$4:$DA$42,MATCH(ROW()-56,$BW$57:$BW$95,0)))</f>
        <v/>
      </c>
      <c r="BY91">
        <f>BY90+IF(AND(Lists!$DF$38&lt;&gt;"",ISNUMBER(SEARCH($U$4,Lists!$DF$38))),1,0)</f>
        <v/>
      </c>
      <c r="BZ91">
        <f>IF(ROW()-56&gt;MAX($BY$57:$BY$95),"",INDEX(Lists!$DF$4:$DF$42,MATCH(ROW()-56,$BY$57:$BY$95,0)))</f>
        <v/>
      </c>
      <c r="CA91">
        <f>CA90+IF(AND(Lists!$DK$38&lt;&gt;"",ISNUMBER(SEARCH($V$4,Lists!$DK$38))),1,0)</f>
        <v/>
      </c>
      <c r="CB91">
        <f>IF(ROW()-56&gt;MAX($CA$57:$CA$95),"",INDEX(Lists!$DK$4:$DK$42,MATCH(ROW()-56,$CA$57:$CA$95,0)))</f>
        <v/>
      </c>
      <c r="CC91">
        <f>CC90+IF(AND(Lists!$DP$38&lt;&gt;"",ISNUMBER(SEARCH($W$4,Lists!$DP$38))),1,0)</f>
        <v/>
      </c>
      <c r="CD91">
        <f>IF(ROW()-56&gt;MAX($CC$57:$CC$95),"",INDEX(Lists!$DP$4:$DP$42,MATCH(ROW()-56,$CC$57:$CC$95,0)))</f>
        <v/>
      </c>
      <c r="CE91">
        <f>CE90+IF(AND(Lists!$DU$38&lt;&gt;"",ISNUMBER(SEARCH($X$4,Lists!$DU$38))),1,0)</f>
        <v/>
      </c>
      <c r="CF91">
        <f>IF(ROW()-56&gt;MAX($CE$57:$CE$95),"",INDEX(Lists!$DU$4:$DU$42,MATCH(ROW()-56,$CE$57:$CE$95,0)))</f>
        <v/>
      </c>
      <c r="CG91">
        <f>CG90+IF(AND(Lists!$DZ$38&lt;&gt;"",ISNUMBER(SEARCH($Y$4,Lists!$DZ$38))),1,0)</f>
        <v/>
      </c>
      <c r="CH91">
        <f>IF(ROW()-56&gt;MAX($CG$57:$CG$95),"",INDEX(Lists!$DZ$4:$DZ$42,MATCH(ROW()-56,$CG$57:$CG$95,0)))</f>
        <v/>
      </c>
      <c r="CI91">
        <f>CI90+IF(AND(Lists!$EE$38&lt;&gt;"",ISNUMBER(SEARCH($Z$4,Lists!$EE$38))),1,0)</f>
        <v/>
      </c>
      <c r="CJ91">
        <f>IF(ROW()-56&gt;MAX($CI$57:$CI$95),"",INDEX(Lists!$EE$4:$EE$42,MATCH(ROW()-56,$CI$57:$CI$95,0)))</f>
        <v/>
      </c>
      <c r="CK91">
        <f>CK90+IF(AND(Lists!$EJ$38&lt;&gt;"",ISNUMBER(SEARCH($AA$4,Lists!$EJ$38))),1,0)</f>
        <v/>
      </c>
      <c r="CL91">
        <f>IF(ROW()-56&gt;MAX($CK$57:$CK$95),"",INDEX(Lists!$EJ$4:$EJ$42,MATCH(ROW()-56,$CK$57:$CK$95,0)))</f>
        <v/>
      </c>
      <c r="CM91">
        <f>CM90+IF(AND(Lists!$EO$38&lt;&gt;"",ISNUMBER(SEARCH($AB$4,Lists!$EO$38))),1,0)</f>
        <v/>
      </c>
      <c r="CN91">
        <f>IF(ROW()-56&gt;MAX($CM$57:$CM$95),"",INDEX(Lists!$EO$4:$EO$42,MATCH(ROW()-56,$CM$57:$CM$95,0)))</f>
        <v/>
      </c>
      <c r="CO91">
        <f>CO90+IF(AND(Lists!$ET$38&lt;&gt;"",ISNUMBER(SEARCH($AC$4,Lists!$ET$38))),1,0)</f>
        <v/>
      </c>
      <c r="CP91">
        <f>IF(ROW()-56&gt;MAX($CO$57:$CO$95),"",INDEX(Lists!$ET$4:$ET$42,MATCH(ROW()-56,$CO$57:$CO$95,0)))</f>
        <v/>
      </c>
      <c r="CQ91">
        <f>CQ90+IF(AND(Lists!$EY$38&lt;&gt;"",ISNUMBER(SEARCH($AD$4,Lists!$EY$38))),1,0)</f>
        <v/>
      </c>
      <c r="CR91">
        <f>IF(ROW()-56&gt;MAX($CQ$57:$CQ$95),"",INDEX(Lists!$EY$4:$EY$42,MATCH(ROW()-56,$CQ$57:$CQ$95,0)))</f>
        <v/>
      </c>
      <c r="CS91">
        <f>CS90+IF(AND(Lists!$FD$38&lt;&gt;"",ISNUMBER(SEARCH($AE$4,Lists!$FD$38))),1,0)</f>
        <v/>
      </c>
      <c r="CT91">
        <f>IF(ROW()-56&gt;MAX($CS$57:$CS$95),"",INDEX(Lists!$FD$4:$FD$42,MATCH(ROW()-56,$CS$57:$CS$95,0)))</f>
        <v/>
      </c>
      <c r="CU91">
        <f>CU90+IF(AND(Lists!$FI$38&lt;&gt;"",ISNUMBER(SEARCH($AG$4,Lists!$FI$38))),1,0)</f>
        <v/>
      </c>
      <c r="CV91">
        <f>IF(ROW()-56&gt;MAX($CU$57:$CU$95),"",INDEX(Lists!$FI$4:$FI$42,MATCH(ROW()-56,$CU$57:$CU$95,0)))</f>
        <v/>
      </c>
      <c r="CW91">
        <f>CW90+IF(AND(Lists!$FN$38&lt;&gt;"",ISNUMBER(SEARCH($AH$4,Lists!$FN$38))),1,0)</f>
        <v/>
      </c>
      <c r="CX91">
        <f>IF(ROW()-56&gt;MAX($CW$57:$CW$95),"",INDEX(Lists!$FN$4:$FN$42,MATCH(ROW()-56,$CW$57:$CW$95,0)))</f>
        <v/>
      </c>
      <c r="CY91">
        <f>CY90+IF(AND(Lists!$FS$38&lt;&gt;"",ISNUMBER(SEARCH($AI$4,Lists!$FS$38))),1,0)</f>
        <v/>
      </c>
      <c r="CZ91">
        <f>IF(ROW()-56&gt;MAX($CY$57:$CY$95),"",INDEX(Lists!$FS$4:$FS$42,MATCH(ROW()-56,$CY$57:$CY$95,0)))</f>
        <v/>
      </c>
      <c r="DA91">
        <f>DA90+IF(AND(Lists!$FX$38&lt;&gt;"",ISNUMBER(SEARCH($AF$4,Lists!$FX$38))),1,0)</f>
        <v/>
      </c>
      <c r="DB91">
        <f>IF(ROW()-56&gt;MAX($DA$57:$DA$95),"",INDEX(Lists!$FX$4:$FX$42,MATCH(ROW()-56,$DA$57:$DA$95,0)))</f>
        <v/>
      </c>
      <c r="DG91">
        <f>IF($B$4="",1,IF($B$4="(blank)",--('Final Calculation Sheet'!$F$36=""),IF($B$4="(nonblank)",--('Final Calculation Sheet'!$F$36&lt;&gt;""),--ISNUMBER(SEARCH($B$4,'Final Calculation Sheet'!$F$36)))))</f>
        <v/>
      </c>
      <c r="DH91">
        <f>IF($C$4="",1,IF($C$4="(blank)",--('Final Calculation Sheet'!$G$36=""),IF($C$4="(nonblank)",--('Final Calculation Sheet'!$G$36&lt;&gt;""),--ISNUMBER(SEARCH($C$4,'Final Calculation Sheet'!$G$36)))))</f>
        <v/>
      </c>
      <c r="DI91">
        <f>IF($D$4="",1,IF($D$4="(blank)",--('Final Calculation Sheet'!$B$36=""),IF($D$4="(nonblank)",--('Final Calculation Sheet'!$B$36&lt;&gt;""),--ISNUMBER(SEARCH($D$4,'Final Calculation Sheet'!$B$36)))))</f>
        <v/>
      </c>
      <c r="DJ91">
        <f>IF($E$4="",1,IF($E$4="(blank)",--('Final Calculation Sheet'!$D$36=""),IF($E$4="(nonblank)",--('Final Calculation Sheet'!$D$36&lt;&gt;""),--ISNUMBER(SEARCH($E$4,'Final Calculation Sheet'!$D$36)))))</f>
        <v/>
      </c>
      <c r="DK91">
        <f>IF($F$4="",1,IF($F$4="(blank)",--('Final Calculation Sheet'!$A$36=""),IF($F$4="(nonblank)",--('Final Calculation Sheet'!$A$36&lt;&gt;""),--ISNUMBER(SEARCH($F$4,'Final Calculation Sheet'!$A$36)))))</f>
        <v/>
      </c>
      <c r="DL91">
        <f>IF($G$4="",1,IF($G$4="(blank)",--('Final Calculation Sheet'!$E$36=""),IF($G$4="(nonblank)",--('Final Calculation Sheet'!$E$36&lt;&gt;""),--ISNUMBER(SEARCH($G$4,'Final Calculation Sheet'!$E$36)))))</f>
        <v/>
      </c>
      <c r="DM91">
        <f>IF($H$4="",1,IF($H$4="(blank)",--('Final Calculation Sheet'!$C$36=""),IF($H$4="(nonblank)",--('Final Calculation Sheet'!$C$36&lt;&gt;""),--ISNUMBER(SEARCH($H$4,'Final Calculation Sheet'!$C$36)))))</f>
        <v/>
      </c>
      <c r="DN91">
        <f>IF($I$4="",1,IF($I$4="(blank)",--('Final Calculation Sheet'!$H$36=""),IF($I$4="(nonblank)",--('Final Calculation Sheet'!$H$36&lt;&gt;""),--ISNUMBER(SEARCH($I$4,'Final Calculation Sheet'!$H$36)))))</f>
        <v/>
      </c>
      <c r="DO91">
        <f>IF($J$4="",1,IF($J$4="(blank)",--('Final Calculation Sheet'!$I$36=""),IF($J$4="(nonblank)",--('Final Calculation Sheet'!$I$36&lt;&gt;""),--ISNUMBER(SEARCH($J$4,'Final Calculation Sheet'!$I$36)))))</f>
        <v/>
      </c>
      <c r="DP91">
        <f>IF($K$4="",1,IF($K$4="(blank)",--('Final Calculation Sheet'!$J$36=""),IF($K$4="(nonblank)",--('Final Calculation Sheet'!$J$36&lt;&gt;""),--ISNUMBER(SEARCH($K$4,'Final Calculation Sheet'!$J$36)))))</f>
        <v/>
      </c>
      <c r="DQ91">
        <f>IF($L$4="",1,IF($L$4="(blank)",--('Final Calculation Sheet'!$K$36=""),IF($L$4="(nonblank)",--('Final Calculation Sheet'!$K$36&lt;&gt;""),--ISNUMBER(SEARCH($L$4,'Final Calculation Sheet'!$K$36)))))</f>
        <v/>
      </c>
      <c r="DR91">
        <f>IF($M$4="",1,IF($M$4="(blank)",--('Final Calculation Sheet'!$L$36=""),IF($M$4="(nonblank)",--('Final Calculation Sheet'!$L$36&lt;&gt;""),--ISNUMBER(SEARCH($M$4,'Final Calculation Sheet'!$L$36)))))</f>
        <v/>
      </c>
      <c r="DS91">
        <f>IF($N$4="",1,IF($N$4="(blank)",--('Final Calculation Sheet'!$M$36=""),IF($N$4="(nonblank)",--('Final Calculation Sheet'!$M$36&lt;&gt;""),--ISNUMBER(SEARCH($N$4,'Final Calculation Sheet'!$M$36)))))</f>
        <v/>
      </c>
      <c r="DT91">
        <f>IF($O$4="",1,IF($O$4="(blank)",--('Final Calculation Sheet'!$N$36=""),IF($O$4="(nonblank)",--('Final Calculation Sheet'!$N$36&lt;&gt;""),--ISNUMBER(SEARCH($O$4,'Final Calculation Sheet'!$N$36)))))</f>
        <v/>
      </c>
      <c r="DU91">
        <f>IF($P$4="",1,IF($P$4="(blank)",--('Final Calculation Sheet'!$O$36=""),IF($P$4="(nonblank)",--('Final Calculation Sheet'!$O$36&lt;&gt;""),--ISNUMBER(SEARCH($P$4,'Final Calculation Sheet'!$O$36)))))</f>
        <v/>
      </c>
      <c r="DV91">
        <f>IF($Q$4="",1,IF($Q$4="(blank)",--('Final Calculation Sheet'!$P$36=""),IF($Q$4="(nonblank)",--('Final Calculation Sheet'!$P$36&lt;&gt;""),--ISNUMBER(SEARCH($Q$4,'Final Calculation Sheet'!$P$36)))))</f>
        <v/>
      </c>
      <c r="DW91">
        <f>IF($R$4="",1,IF($R$4="(blank)",--('Final Calculation Sheet'!$Q$36=""),IF($R$4="(nonblank)",--('Final Calculation Sheet'!$Q$36&lt;&gt;""),--ISNUMBER(SEARCH($R$4,'Final Calculation Sheet'!$Q$36)))))</f>
        <v/>
      </c>
      <c r="DX91">
        <f>IF($S$4="",1,IF($S$4="(blank)",--('Final Calculation Sheet'!$R$36=""),IF($S$4="(nonblank)",--('Final Calculation Sheet'!$R$36&lt;&gt;""),--ISNUMBER(SEARCH($S$4,'Final Calculation Sheet'!$R$36)))))</f>
        <v/>
      </c>
      <c r="DY91">
        <f>IF($T$4="",1,IF($T$4="(blank)",--('Final Calculation Sheet'!$S$36=""),IF($T$4="(nonblank)",--('Final Calculation Sheet'!$S$36&lt;&gt;""),--ISNUMBER(SEARCH($T$4,'Final Calculation Sheet'!$S$36)))))</f>
        <v/>
      </c>
      <c r="DZ91">
        <f>IF($U$4="",1,IF($U$4="(blank)",--('Final Calculation Sheet'!$T$36=""),IF($U$4="(nonblank)",--('Final Calculation Sheet'!$T$36&lt;&gt;""),--ISNUMBER(SEARCH($U$4,'Final Calculation Sheet'!$T$36)))))</f>
        <v/>
      </c>
      <c r="EA91">
        <f>IF($V$4="",1,IF($V$4="(blank)",--('Final Calculation Sheet'!$U$36=""),IF($V$4="(nonblank)",--('Final Calculation Sheet'!$U$36&lt;&gt;""),--ISNUMBER(SEARCH($V$4,'Final Calculation Sheet'!$U$36)))))</f>
        <v/>
      </c>
      <c r="EB91">
        <f>IF($W$4="",1,IF($W$4="(blank)",--('Final Calculation Sheet'!$V$36=""),IF($W$4="(nonblank)",--('Final Calculation Sheet'!$V$36&lt;&gt;""),--ISNUMBER(SEARCH($W$4,'Final Calculation Sheet'!$V$36)))))</f>
        <v/>
      </c>
      <c r="EC91">
        <f>IF($X$4="",1,IF($X$4="(blank)",--('Final Calculation Sheet'!$W$36=""),IF($X$4="(nonblank)",--('Final Calculation Sheet'!$W$36&lt;&gt;""),--ISNUMBER(SEARCH($X$4,'Final Calculation Sheet'!$W$36)))))</f>
        <v/>
      </c>
      <c r="ED91">
        <f>IF($Y$4="",1,IF($Y$4="(blank)",--('Final Calculation Sheet'!$X$36=""),IF($Y$4="(nonblank)",--('Final Calculation Sheet'!$X$36&lt;&gt;""),--ISNUMBER(SEARCH($Y$4,'Final Calculation Sheet'!$X$36)))))</f>
        <v/>
      </c>
      <c r="EE91">
        <f>IF($Z$4="",1,IF($Z$4="(blank)",--('Final Calculation Sheet'!$Y$36=""),IF($Z$4="(nonblank)",--('Final Calculation Sheet'!$Y$36&lt;&gt;""),--ISNUMBER(SEARCH($Z$4,'Final Calculation Sheet'!$Y$36)))))</f>
        <v/>
      </c>
      <c r="EF91">
        <f>IF($AA$4="",1,IF($AA$4="(blank)",--('Final Calculation Sheet'!$Z$36=""),IF($AA$4="(nonblank)",--('Final Calculation Sheet'!$Z$36&lt;&gt;""),--ISNUMBER(SEARCH($AA$4,'Final Calculation Sheet'!$Z$36)))))</f>
        <v/>
      </c>
      <c r="EG91">
        <f>IF($AB$4="",1,IF($AB$4="(blank)",--('Final Calculation Sheet'!$AA$36=""),IF($AB$4="(nonblank)",--('Final Calculation Sheet'!$AA$36&lt;&gt;""),--ISNUMBER(SEARCH($AB$4,'Final Calculation Sheet'!$AA$36)))))</f>
        <v/>
      </c>
      <c r="EH91">
        <f>IF($AC$4="",1,IF($AC$4="(blank)",--('Final Calculation Sheet'!$AB$36=""),IF($AC$4="(nonblank)",--('Final Calculation Sheet'!$AB$36&lt;&gt;""),--ISNUMBER(SEARCH($AC$4,'Final Calculation Sheet'!$AB$36)))))</f>
        <v/>
      </c>
      <c r="EI91">
        <f>IF($AD$4="",1,IF($AD$4="(blank)",--('Final Calculation Sheet'!$AC$36=""),IF($AD$4="(nonblank)",--('Final Calculation Sheet'!$AC$36&lt;&gt;""),--ISNUMBER(SEARCH($AD$4,'Final Calculation Sheet'!$AC$36)))))</f>
        <v/>
      </c>
      <c r="EJ91">
        <f>IF($AE$4="",1,IF($AE$4="(blank)",--('Final Calculation Sheet'!$AD$36=""),IF($AE$4="(nonblank)",--('Final Calculation Sheet'!$AD$36&lt;&gt;""),--ISNUMBER(SEARCH($AE$4,'Final Calculation Sheet'!$AD$36)))))</f>
        <v/>
      </c>
      <c r="EK91">
        <f>IF($AF$4="",1,IF($AF$4="(blank)",--(IF('Final Calculation Sheet'!$AD$36&lt;=5,"SETTLED","OUTSTANDING")=""),IF($AF$4="(nonblank)",--(IF('Final Calculation Sheet'!$AD$36&lt;=5,"SETTLED","OUTSTANDING")&lt;&gt;""),--ISNUMBER(SEARCH($AF$4,IF('Final Calculation Sheet'!$AD$36&lt;=5,"SETTLED","OUTSTANDING"))))))</f>
        <v/>
      </c>
      <c r="EL91">
        <f>IF($AG$4="",1,IF($AG$4="(blank)",--('Final Calculation Sheet'!$AF$36=""),IF($AG$4="(nonblank)",--('Final Calculation Sheet'!$AF$36&lt;&gt;""),--ISNUMBER(SEARCH($AG$4,'Final Calculation Sheet'!$AF$36)))))</f>
        <v/>
      </c>
      <c r="EM91">
        <f>IF($AH$4="",1,IF($AH$4="(blank)",--('Final Calculation Sheet'!$AG$36=""),IF($AH$4="(nonblank)",--('Final Calculation Sheet'!$AG$36&lt;&gt;""),--ISNUMBER(SEARCH($AH$4,'Final Calculation Sheet'!$AG$36)))))</f>
        <v/>
      </c>
      <c r="EN91">
        <f>IF($AI$4="",1,IF($AI$4="(blank)",--('Final Calculation Sheet'!$AH$36=""),IF($AI$4="(nonblank)",--('Final Calculation Sheet'!$AH$36&lt;&gt;""),--ISNUMBER(SEARCH($AI$4,'Final Calculation Sheet'!$AH$36)))))</f>
        <v/>
      </c>
    </row>
    <row r="92">
      <c r="AM92">
        <f>AM91+IF(AND(Lists!$O$39&lt;&gt;"",ISNUMBER(SEARCH($B$4,Lists!$O$39))),1,0)</f>
        <v/>
      </c>
      <c r="AN92">
        <f>IF(ROW()-56&gt;MAX($AM$57:$AM$95),"",INDEX(Lists!$O$4:$O$42,MATCH(ROW()-56,$AM$57:$AM$95,0)))</f>
        <v/>
      </c>
      <c r="AO92">
        <f>AO91+IF(AND(Lists!$T$39&lt;&gt;"",ISNUMBER(SEARCH($C$4,Lists!$T$39))),1,0)</f>
        <v/>
      </c>
      <c r="AP92">
        <f>IF(ROW()-56&gt;MAX($AO$57:$AO$95),"",INDEX(Lists!$T$4:$T$42,MATCH(ROW()-56,$AO$57:$AO$95,0)))</f>
        <v/>
      </c>
      <c r="AQ92">
        <f>AQ91+IF(AND(Lists!$Y$39&lt;&gt;"",ISNUMBER(SEARCH($D$4,Lists!$Y$39))),1,0)</f>
        <v/>
      </c>
      <c r="AR92">
        <f>IF(ROW()-56&gt;MAX($AQ$57:$AQ$95),"",INDEX(Lists!$Y$4:$Y$42,MATCH(ROW()-56,$AQ$57:$AQ$95,0)))</f>
        <v/>
      </c>
      <c r="AS92">
        <f>AS91+IF(AND(Lists!$AD$39&lt;&gt;"",ISNUMBER(SEARCH($E$4,Lists!$AD$39))),1,0)</f>
        <v/>
      </c>
      <c r="AT92">
        <f>IF(ROW()-56&gt;MAX($AS$57:$AS$95),"",INDEX(Lists!$AD$4:$AD$42,MATCH(ROW()-56,$AS$57:$AS$95,0)))</f>
        <v/>
      </c>
      <c r="AU92">
        <f>AU91+IF(AND(Lists!$AI$39&lt;&gt;"",ISNUMBER(SEARCH($F$4,Lists!$AI$39))),1,0)</f>
        <v/>
      </c>
      <c r="AV92">
        <f>IF(ROW()-56&gt;MAX($AU$57:$AU$95),"",INDEX(Lists!$AI$4:$AI$42,MATCH(ROW()-56,$AU$57:$AU$95,0)))</f>
        <v/>
      </c>
      <c r="AW92">
        <f>AW91+IF(AND(Lists!$AN$39&lt;&gt;"",ISNUMBER(SEARCH($G$4,Lists!$AN$39))),1,0)</f>
        <v/>
      </c>
      <c r="AX92">
        <f>IF(ROW()-56&gt;MAX($AW$57:$AW$95),"",INDEX(Lists!$AN$4:$AN$42,MATCH(ROW()-56,$AW$57:$AW$95,0)))</f>
        <v/>
      </c>
      <c r="AY92">
        <f>AY91+IF(AND(Lists!$AS$39&lt;&gt;"",ISNUMBER(SEARCH($H$4,Lists!$AS$39))),1,0)</f>
        <v/>
      </c>
      <c r="AZ92">
        <f>IF(ROW()-56&gt;MAX($AY$57:$AY$95),"",INDEX(Lists!$AS$4:$AS$42,MATCH(ROW()-56,$AY$57:$AY$95,0)))</f>
        <v/>
      </c>
      <c r="BA92">
        <f>BA91+IF(AND(Lists!$AX$39&lt;&gt;"",ISNUMBER(SEARCH($I$4,Lists!$AX$39))),1,0)</f>
        <v/>
      </c>
      <c r="BB92">
        <f>IF(ROW()-56&gt;MAX($BA$57:$BA$95),"",INDEX(Lists!$AX$4:$AX$42,MATCH(ROW()-56,$BA$57:$BA$95,0)))</f>
        <v/>
      </c>
      <c r="BC92">
        <f>BC91+IF(AND(Lists!$BC$39&lt;&gt;"",ISNUMBER(SEARCH($J$4,Lists!$BC$39))),1,0)</f>
        <v/>
      </c>
      <c r="BD92">
        <f>IF(ROW()-56&gt;MAX($BC$57:$BC$95),"",INDEX(Lists!$BC$4:$BC$42,MATCH(ROW()-56,$BC$57:$BC$95,0)))</f>
        <v/>
      </c>
      <c r="BE92">
        <f>BE91+IF(AND(Lists!$BH$39&lt;&gt;"",ISNUMBER(SEARCH($K$4,Lists!$BH$39))),1,0)</f>
        <v/>
      </c>
      <c r="BF92">
        <f>IF(ROW()-56&gt;MAX($BE$57:$BE$95),"",INDEX(Lists!$BH$4:$BH$42,MATCH(ROW()-56,$BE$57:$BE$95,0)))</f>
        <v/>
      </c>
      <c r="BG92">
        <f>BG91+IF(AND(Lists!$BM$39&lt;&gt;"",ISNUMBER(SEARCH($L$4,Lists!$BM$39))),1,0)</f>
        <v/>
      </c>
      <c r="BH92">
        <f>IF(ROW()-56&gt;MAX($BG$57:$BG$95),"",INDEX(Lists!$BM$4:$BM$42,MATCH(ROW()-56,$BG$57:$BG$95,0)))</f>
        <v/>
      </c>
      <c r="BI92">
        <f>BI91+IF(AND(Lists!$BR$39&lt;&gt;"",ISNUMBER(SEARCH($M$4,Lists!$BR$39))),1,0)</f>
        <v/>
      </c>
      <c r="BJ92">
        <f>IF(ROW()-56&gt;MAX($BI$57:$BI$95),"",INDEX(Lists!$BR$4:$BR$42,MATCH(ROW()-56,$BI$57:$BI$95,0)))</f>
        <v/>
      </c>
      <c r="BK92">
        <f>BK91+IF(AND(Lists!$BW$39&lt;&gt;"",ISNUMBER(SEARCH($N$4,Lists!$BW$39))),1,0)</f>
        <v/>
      </c>
      <c r="BL92">
        <f>IF(ROW()-56&gt;MAX($BK$57:$BK$95),"",INDEX(Lists!$BW$4:$BW$42,MATCH(ROW()-56,$BK$57:$BK$95,0)))</f>
        <v/>
      </c>
      <c r="BM92">
        <f>BM91+IF(AND(Lists!$CB$39&lt;&gt;"",ISNUMBER(SEARCH($O$4,Lists!$CB$39))),1,0)</f>
        <v/>
      </c>
      <c r="BN92">
        <f>IF(ROW()-56&gt;MAX($BM$57:$BM$95),"",INDEX(Lists!$CB$4:$CB$42,MATCH(ROW()-56,$BM$57:$BM$95,0)))</f>
        <v/>
      </c>
      <c r="BO92">
        <f>BO91+IF(AND(Lists!$CG$39&lt;&gt;"",ISNUMBER(SEARCH($P$4,Lists!$CG$39))),1,0)</f>
        <v/>
      </c>
      <c r="BP92">
        <f>IF(ROW()-56&gt;MAX($BO$57:$BO$95),"",INDEX(Lists!$CG$4:$CG$42,MATCH(ROW()-56,$BO$57:$BO$95,0)))</f>
        <v/>
      </c>
      <c r="BQ92">
        <f>BQ91+IF(AND(Lists!$CL$39&lt;&gt;"",ISNUMBER(SEARCH($Q$4,Lists!$CL$39))),1,0)</f>
        <v/>
      </c>
      <c r="BR92">
        <f>IF(ROW()-56&gt;MAX($BQ$57:$BQ$95),"",INDEX(Lists!$CL$4:$CL$42,MATCH(ROW()-56,$BQ$57:$BQ$95,0)))</f>
        <v/>
      </c>
      <c r="BS92">
        <f>BS91+IF(AND(Lists!$CQ$39&lt;&gt;"",ISNUMBER(SEARCH($R$4,Lists!$CQ$39))),1,0)</f>
        <v/>
      </c>
      <c r="BT92">
        <f>IF(ROW()-56&gt;MAX($BS$57:$BS$95),"",INDEX(Lists!$CQ$4:$CQ$42,MATCH(ROW()-56,$BS$57:$BS$95,0)))</f>
        <v/>
      </c>
      <c r="BU92">
        <f>BU91+IF(AND(Lists!$CV$39&lt;&gt;"",ISNUMBER(SEARCH($S$4,Lists!$CV$39))),1,0)</f>
        <v/>
      </c>
      <c r="BV92">
        <f>IF(ROW()-56&gt;MAX($BU$57:$BU$95),"",INDEX(Lists!$CV$4:$CV$42,MATCH(ROW()-56,$BU$57:$BU$95,0)))</f>
        <v/>
      </c>
      <c r="BW92">
        <f>BW91+IF(AND(Lists!$DA$39&lt;&gt;"",ISNUMBER(SEARCH($T$4,Lists!$DA$39))),1,0)</f>
        <v/>
      </c>
      <c r="BX92">
        <f>IF(ROW()-56&gt;MAX($BW$57:$BW$95),"",INDEX(Lists!$DA$4:$DA$42,MATCH(ROW()-56,$BW$57:$BW$95,0)))</f>
        <v/>
      </c>
      <c r="BY92">
        <f>BY91+IF(AND(Lists!$DF$39&lt;&gt;"",ISNUMBER(SEARCH($U$4,Lists!$DF$39))),1,0)</f>
        <v/>
      </c>
      <c r="BZ92">
        <f>IF(ROW()-56&gt;MAX($BY$57:$BY$95),"",INDEX(Lists!$DF$4:$DF$42,MATCH(ROW()-56,$BY$57:$BY$95,0)))</f>
        <v/>
      </c>
      <c r="CA92">
        <f>CA91+IF(AND(Lists!$DK$39&lt;&gt;"",ISNUMBER(SEARCH($V$4,Lists!$DK$39))),1,0)</f>
        <v/>
      </c>
      <c r="CB92">
        <f>IF(ROW()-56&gt;MAX($CA$57:$CA$95),"",INDEX(Lists!$DK$4:$DK$42,MATCH(ROW()-56,$CA$57:$CA$95,0)))</f>
        <v/>
      </c>
      <c r="CC92">
        <f>CC91+IF(AND(Lists!$DP$39&lt;&gt;"",ISNUMBER(SEARCH($W$4,Lists!$DP$39))),1,0)</f>
        <v/>
      </c>
      <c r="CD92">
        <f>IF(ROW()-56&gt;MAX($CC$57:$CC$95),"",INDEX(Lists!$DP$4:$DP$42,MATCH(ROW()-56,$CC$57:$CC$95,0)))</f>
        <v/>
      </c>
      <c r="CE92">
        <f>CE91+IF(AND(Lists!$DU$39&lt;&gt;"",ISNUMBER(SEARCH($X$4,Lists!$DU$39))),1,0)</f>
        <v/>
      </c>
      <c r="CF92">
        <f>IF(ROW()-56&gt;MAX($CE$57:$CE$95),"",INDEX(Lists!$DU$4:$DU$42,MATCH(ROW()-56,$CE$57:$CE$95,0)))</f>
        <v/>
      </c>
      <c r="CG92">
        <f>CG91+IF(AND(Lists!$DZ$39&lt;&gt;"",ISNUMBER(SEARCH($Y$4,Lists!$DZ$39))),1,0)</f>
        <v/>
      </c>
      <c r="CH92">
        <f>IF(ROW()-56&gt;MAX($CG$57:$CG$95),"",INDEX(Lists!$DZ$4:$DZ$42,MATCH(ROW()-56,$CG$57:$CG$95,0)))</f>
        <v/>
      </c>
      <c r="CI92">
        <f>CI91+IF(AND(Lists!$EE$39&lt;&gt;"",ISNUMBER(SEARCH($Z$4,Lists!$EE$39))),1,0)</f>
        <v/>
      </c>
      <c r="CJ92">
        <f>IF(ROW()-56&gt;MAX($CI$57:$CI$95),"",INDEX(Lists!$EE$4:$EE$42,MATCH(ROW()-56,$CI$57:$CI$95,0)))</f>
        <v/>
      </c>
      <c r="CK92">
        <f>CK91+IF(AND(Lists!$EJ$39&lt;&gt;"",ISNUMBER(SEARCH($AA$4,Lists!$EJ$39))),1,0)</f>
        <v/>
      </c>
      <c r="CL92">
        <f>IF(ROW()-56&gt;MAX($CK$57:$CK$95),"",INDEX(Lists!$EJ$4:$EJ$42,MATCH(ROW()-56,$CK$57:$CK$95,0)))</f>
        <v/>
      </c>
      <c r="CM92">
        <f>CM91+IF(AND(Lists!$EO$39&lt;&gt;"",ISNUMBER(SEARCH($AB$4,Lists!$EO$39))),1,0)</f>
        <v/>
      </c>
      <c r="CN92">
        <f>IF(ROW()-56&gt;MAX($CM$57:$CM$95),"",INDEX(Lists!$EO$4:$EO$42,MATCH(ROW()-56,$CM$57:$CM$95,0)))</f>
        <v/>
      </c>
      <c r="CO92">
        <f>CO91+IF(AND(Lists!$ET$39&lt;&gt;"",ISNUMBER(SEARCH($AC$4,Lists!$ET$39))),1,0)</f>
        <v/>
      </c>
      <c r="CP92">
        <f>IF(ROW()-56&gt;MAX($CO$57:$CO$95),"",INDEX(Lists!$ET$4:$ET$42,MATCH(ROW()-56,$CO$57:$CO$95,0)))</f>
        <v/>
      </c>
      <c r="CQ92">
        <f>CQ91+IF(AND(Lists!$EY$39&lt;&gt;"",ISNUMBER(SEARCH($AD$4,Lists!$EY$39))),1,0)</f>
        <v/>
      </c>
      <c r="CR92">
        <f>IF(ROW()-56&gt;MAX($CQ$57:$CQ$95),"",INDEX(Lists!$EY$4:$EY$42,MATCH(ROW()-56,$CQ$57:$CQ$95,0)))</f>
        <v/>
      </c>
      <c r="CS92">
        <f>CS91+IF(AND(Lists!$FD$39&lt;&gt;"",ISNUMBER(SEARCH($AE$4,Lists!$FD$39))),1,0)</f>
        <v/>
      </c>
      <c r="CT92">
        <f>IF(ROW()-56&gt;MAX($CS$57:$CS$95),"",INDEX(Lists!$FD$4:$FD$42,MATCH(ROW()-56,$CS$57:$CS$95,0)))</f>
        <v/>
      </c>
      <c r="CU92">
        <f>CU91+IF(AND(Lists!$FI$39&lt;&gt;"",ISNUMBER(SEARCH($AG$4,Lists!$FI$39))),1,0)</f>
        <v/>
      </c>
      <c r="CV92">
        <f>IF(ROW()-56&gt;MAX($CU$57:$CU$95),"",INDEX(Lists!$FI$4:$FI$42,MATCH(ROW()-56,$CU$57:$CU$95,0)))</f>
        <v/>
      </c>
      <c r="CW92">
        <f>CW91+IF(AND(Lists!$FN$39&lt;&gt;"",ISNUMBER(SEARCH($AH$4,Lists!$FN$39))),1,0)</f>
        <v/>
      </c>
      <c r="CX92">
        <f>IF(ROW()-56&gt;MAX($CW$57:$CW$95),"",INDEX(Lists!$FN$4:$FN$42,MATCH(ROW()-56,$CW$57:$CW$95,0)))</f>
        <v/>
      </c>
      <c r="CY92">
        <f>CY91+IF(AND(Lists!$FS$39&lt;&gt;"",ISNUMBER(SEARCH($AI$4,Lists!$FS$39))),1,0)</f>
        <v/>
      </c>
      <c r="CZ92">
        <f>IF(ROW()-56&gt;MAX($CY$57:$CY$95),"",INDEX(Lists!$FS$4:$FS$42,MATCH(ROW()-56,$CY$57:$CY$95,0)))</f>
        <v/>
      </c>
      <c r="DA92">
        <f>DA91+IF(AND(Lists!$FX$39&lt;&gt;"",ISNUMBER(SEARCH($AF$4,Lists!$FX$39))),1,0)</f>
        <v/>
      </c>
      <c r="DB92">
        <f>IF(ROW()-56&gt;MAX($DA$57:$DA$95),"",INDEX(Lists!$FX$4:$FX$42,MATCH(ROW()-56,$DA$57:$DA$95,0)))</f>
        <v/>
      </c>
      <c r="DG92">
        <f>IF($B$4="",1,IF($B$4="(blank)",--('Final Calculation Sheet'!$F$37=""),IF($B$4="(nonblank)",--('Final Calculation Sheet'!$F$37&lt;&gt;""),--ISNUMBER(SEARCH($B$4,'Final Calculation Sheet'!$F$37)))))</f>
        <v/>
      </c>
      <c r="DH92">
        <f>IF($C$4="",1,IF($C$4="(blank)",--('Final Calculation Sheet'!$G$37=""),IF($C$4="(nonblank)",--('Final Calculation Sheet'!$G$37&lt;&gt;""),--ISNUMBER(SEARCH($C$4,'Final Calculation Sheet'!$G$37)))))</f>
        <v/>
      </c>
      <c r="DI92">
        <f>IF($D$4="",1,IF($D$4="(blank)",--('Final Calculation Sheet'!$B$37=""),IF($D$4="(nonblank)",--('Final Calculation Sheet'!$B$37&lt;&gt;""),--ISNUMBER(SEARCH($D$4,'Final Calculation Sheet'!$B$37)))))</f>
        <v/>
      </c>
      <c r="DJ92">
        <f>IF($E$4="",1,IF($E$4="(blank)",--('Final Calculation Sheet'!$D$37=""),IF($E$4="(nonblank)",--('Final Calculation Sheet'!$D$37&lt;&gt;""),--ISNUMBER(SEARCH($E$4,'Final Calculation Sheet'!$D$37)))))</f>
        <v/>
      </c>
      <c r="DK92">
        <f>IF($F$4="",1,IF($F$4="(blank)",--('Final Calculation Sheet'!$A$37=""),IF($F$4="(nonblank)",--('Final Calculation Sheet'!$A$37&lt;&gt;""),--ISNUMBER(SEARCH($F$4,'Final Calculation Sheet'!$A$37)))))</f>
        <v/>
      </c>
      <c r="DL92">
        <f>IF($G$4="",1,IF($G$4="(blank)",--('Final Calculation Sheet'!$E$37=""),IF($G$4="(nonblank)",--('Final Calculation Sheet'!$E$37&lt;&gt;""),--ISNUMBER(SEARCH($G$4,'Final Calculation Sheet'!$E$37)))))</f>
        <v/>
      </c>
      <c r="DM92">
        <f>IF($H$4="",1,IF($H$4="(blank)",--('Final Calculation Sheet'!$C$37=""),IF($H$4="(nonblank)",--('Final Calculation Sheet'!$C$37&lt;&gt;""),--ISNUMBER(SEARCH($H$4,'Final Calculation Sheet'!$C$37)))))</f>
        <v/>
      </c>
      <c r="DN92">
        <f>IF($I$4="",1,IF($I$4="(blank)",--('Final Calculation Sheet'!$H$37=""),IF($I$4="(nonblank)",--('Final Calculation Sheet'!$H$37&lt;&gt;""),--ISNUMBER(SEARCH($I$4,'Final Calculation Sheet'!$H$37)))))</f>
        <v/>
      </c>
      <c r="DO92">
        <f>IF($J$4="",1,IF($J$4="(blank)",--('Final Calculation Sheet'!$I$37=""),IF($J$4="(nonblank)",--('Final Calculation Sheet'!$I$37&lt;&gt;""),--ISNUMBER(SEARCH($J$4,'Final Calculation Sheet'!$I$37)))))</f>
        <v/>
      </c>
      <c r="DP92">
        <f>IF($K$4="",1,IF($K$4="(blank)",--('Final Calculation Sheet'!$J$37=""),IF($K$4="(nonblank)",--('Final Calculation Sheet'!$J$37&lt;&gt;""),--ISNUMBER(SEARCH($K$4,'Final Calculation Sheet'!$J$37)))))</f>
        <v/>
      </c>
      <c r="DQ92">
        <f>IF($L$4="",1,IF($L$4="(blank)",--('Final Calculation Sheet'!$K$37=""),IF($L$4="(nonblank)",--('Final Calculation Sheet'!$K$37&lt;&gt;""),--ISNUMBER(SEARCH($L$4,'Final Calculation Sheet'!$K$37)))))</f>
        <v/>
      </c>
      <c r="DR92">
        <f>IF($M$4="",1,IF($M$4="(blank)",--('Final Calculation Sheet'!$L$37=""),IF($M$4="(nonblank)",--('Final Calculation Sheet'!$L$37&lt;&gt;""),--ISNUMBER(SEARCH($M$4,'Final Calculation Sheet'!$L$37)))))</f>
        <v/>
      </c>
      <c r="DS92">
        <f>IF($N$4="",1,IF($N$4="(blank)",--('Final Calculation Sheet'!$M$37=""),IF($N$4="(nonblank)",--('Final Calculation Sheet'!$M$37&lt;&gt;""),--ISNUMBER(SEARCH($N$4,'Final Calculation Sheet'!$M$37)))))</f>
        <v/>
      </c>
      <c r="DT92">
        <f>IF($O$4="",1,IF($O$4="(blank)",--('Final Calculation Sheet'!$N$37=""),IF($O$4="(nonblank)",--('Final Calculation Sheet'!$N$37&lt;&gt;""),--ISNUMBER(SEARCH($O$4,'Final Calculation Sheet'!$N$37)))))</f>
        <v/>
      </c>
      <c r="DU92">
        <f>IF($P$4="",1,IF($P$4="(blank)",--('Final Calculation Sheet'!$O$37=""),IF($P$4="(nonblank)",--('Final Calculation Sheet'!$O$37&lt;&gt;""),--ISNUMBER(SEARCH($P$4,'Final Calculation Sheet'!$O$37)))))</f>
        <v/>
      </c>
      <c r="DV92">
        <f>IF($Q$4="",1,IF($Q$4="(blank)",--('Final Calculation Sheet'!$P$37=""),IF($Q$4="(nonblank)",--('Final Calculation Sheet'!$P$37&lt;&gt;""),--ISNUMBER(SEARCH($Q$4,'Final Calculation Sheet'!$P$37)))))</f>
        <v/>
      </c>
      <c r="DW92">
        <f>IF($R$4="",1,IF($R$4="(blank)",--('Final Calculation Sheet'!$Q$37=""),IF($R$4="(nonblank)",--('Final Calculation Sheet'!$Q$37&lt;&gt;""),--ISNUMBER(SEARCH($R$4,'Final Calculation Sheet'!$Q$37)))))</f>
        <v/>
      </c>
      <c r="DX92">
        <f>IF($S$4="",1,IF($S$4="(blank)",--('Final Calculation Sheet'!$R$37=""),IF($S$4="(nonblank)",--('Final Calculation Sheet'!$R$37&lt;&gt;""),--ISNUMBER(SEARCH($S$4,'Final Calculation Sheet'!$R$37)))))</f>
        <v/>
      </c>
      <c r="DY92">
        <f>IF($T$4="",1,IF($T$4="(blank)",--('Final Calculation Sheet'!$S$37=""),IF($T$4="(nonblank)",--('Final Calculation Sheet'!$S$37&lt;&gt;""),--ISNUMBER(SEARCH($T$4,'Final Calculation Sheet'!$S$37)))))</f>
        <v/>
      </c>
      <c r="DZ92">
        <f>IF($U$4="",1,IF($U$4="(blank)",--('Final Calculation Sheet'!$T$37=""),IF($U$4="(nonblank)",--('Final Calculation Sheet'!$T$37&lt;&gt;""),--ISNUMBER(SEARCH($U$4,'Final Calculation Sheet'!$T$37)))))</f>
        <v/>
      </c>
      <c r="EA92">
        <f>IF($V$4="",1,IF($V$4="(blank)",--('Final Calculation Sheet'!$U$37=""),IF($V$4="(nonblank)",--('Final Calculation Sheet'!$U$37&lt;&gt;""),--ISNUMBER(SEARCH($V$4,'Final Calculation Sheet'!$U$37)))))</f>
        <v/>
      </c>
      <c r="EB92">
        <f>IF($W$4="",1,IF($W$4="(blank)",--('Final Calculation Sheet'!$V$37=""),IF($W$4="(nonblank)",--('Final Calculation Sheet'!$V$37&lt;&gt;""),--ISNUMBER(SEARCH($W$4,'Final Calculation Sheet'!$V$37)))))</f>
        <v/>
      </c>
      <c r="EC92">
        <f>IF($X$4="",1,IF($X$4="(blank)",--('Final Calculation Sheet'!$W$37=""),IF($X$4="(nonblank)",--('Final Calculation Sheet'!$W$37&lt;&gt;""),--ISNUMBER(SEARCH($X$4,'Final Calculation Sheet'!$W$37)))))</f>
        <v/>
      </c>
      <c r="ED92">
        <f>IF($Y$4="",1,IF($Y$4="(blank)",--('Final Calculation Sheet'!$X$37=""),IF($Y$4="(nonblank)",--('Final Calculation Sheet'!$X$37&lt;&gt;""),--ISNUMBER(SEARCH($Y$4,'Final Calculation Sheet'!$X$37)))))</f>
        <v/>
      </c>
      <c r="EE92">
        <f>IF($Z$4="",1,IF($Z$4="(blank)",--('Final Calculation Sheet'!$Y$37=""),IF($Z$4="(nonblank)",--('Final Calculation Sheet'!$Y$37&lt;&gt;""),--ISNUMBER(SEARCH($Z$4,'Final Calculation Sheet'!$Y$37)))))</f>
        <v/>
      </c>
      <c r="EF92">
        <f>IF($AA$4="",1,IF($AA$4="(blank)",--('Final Calculation Sheet'!$Z$37=""),IF($AA$4="(nonblank)",--('Final Calculation Sheet'!$Z$37&lt;&gt;""),--ISNUMBER(SEARCH($AA$4,'Final Calculation Sheet'!$Z$37)))))</f>
        <v/>
      </c>
      <c r="EG92">
        <f>IF($AB$4="",1,IF($AB$4="(blank)",--('Final Calculation Sheet'!$AA$37=""),IF($AB$4="(nonblank)",--('Final Calculation Sheet'!$AA$37&lt;&gt;""),--ISNUMBER(SEARCH($AB$4,'Final Calculation Sheet'!$AA$37)))))</f>
        <v/>
      </c>
      <c r="EH92">
        <f>IF($AC$4="",1,IF($AC$4="(blank)",--('Final Calculation Sheet'!$AB$37=""),IF($AC$4="(nonblank)",--('Final Calculation Sheet'!$AB$37&lt;&gt;""),--ISNUMBER(SEARCH($AC$4,'Final Calculation Sheet'!$AB$37)))))</f>
        <v/>
      </c>
      <c r="EI92">
        <f>IF($AD$4="",1,IF($AD$4="(blank)",--('Final Calculation Sheet'!$AC$37=""),IF($AD$4="(nonblank)",--('Final Calculation Sheet'!$AC$37&lt;&gt;""),--ISNUMBER(SEARCH($AD$4,'Final Calculation Sheet'!$AC$37)))))</f>
        <v/>
      </c>
      <c r="EJ92">
        <f>IF($AE$4="",1,IF($AE$4="(blank)",--('Final Calculation Sheet'!$AD$37=""),IF($AE$4="(nonblank)",--('Final Calculation Sheet'!$AD$37&lt;&gt;""),--ISNUMBER(SEARCH($AE$4,'Final Calculation Sheet'!$AD$37)))))</f>
        <v/>
      </c>
      <c r="EK92">
        <f>IF($AF$4="",1,IF($AF$4="(blank)",--(IF('Final Calculation Sheet'!$AD$37&lt;=5,"SETTLED","OUTSTANDING")=""),IF($AF$4="(nonblank)",--(IF('Final Calculation Sheet'!$AD$37&lt;=5,"SETTLED","OUTSTANDING")&lt;&gt;""),--ISNUMBER(SEARCH($AF$4,IF('Final Calculation Sheet'!$AD$37&lt;=5,"SETTLED","OUTSTANDING"))))))</f>
        <v/>
      </c>
      <c r="EL92">
        <f>IF($AG$4="",1,IF($AG$4="(blank)",--('Final Calculation Sheet'!$AF$37=""),IF($AG$4="(nonblank)",--('Final Calculation Sheet'!$AF$37&lt;&gt;""),--ISNUMBER(SEARCH($AG$4,'Final Calculation Sheet'!$AF$37)))))</f>
        <v/>
      </c>
      <c r="EM92">
        <f>IF($AH$4="",1,IF($AH$4="(blank)",--('Final Calculation Sheet'!$AG$37=""),IF($AH$4="(nonblank)",--('Final Calculation Sheet'!$AG$37&lt;&gt;""),--ISNUMBER(SEARCH($AH$4,'Final Calculation Sheet'!$AG$37)))))</f>
        <v/>
      </c>
      <c r="EN92">
        <f>IF($AI$4="",1,IF($AI$4="(blank)",--('Final Calculation Sheet'!$AH$37=""),IF($AI$4="(nonblank)",--('Final Calculation Sheet'!$AH$37&lt;&gt;""),--ISNUMBER(SEARCH($AI$4,'Final Calculation Sheet'!$AH$37)))))</f>
        <v/>
      </c>
    </row>
    <row r="93">
      <c r="AM93">
        <f>AM92+IF(AND(Lists!$O$40&lt;&gt;"",ISNUMBER(SEARCH($B$4,Lists!$O$40))),1,0)</f>
        <v/>
      </c>
      <c r="AN93">
        <f>IF(ROW()-56&gt;MAX($AM$57:$AM$95),"",INDEX(Lists!$O$4:$O$42,MATCH(ROW()-56,$AM$57:$AM$95,0)))</f>
        <v/>
      </c>
      <c r="AO93">
        <f>AO92+IF(AND(Lists!$T$40&lt;&gt;"",ISNUMBER(SEARCH($C$4,Lists!$T$40))),1,0)</f>
        <v/>
      </c>
      <c r="AP93">
        <f>IF(ROW()-56&gt;MAX($AO$57:$AO$95),"",INDEX(Lists!$T$4:$T$42,MATCH(ROW()-56,$AO$57:$AO$95,0)))</f>
        <v/>
      </c>
      <c r="AQ93">
        <f>AQ92+IF(AND(Lists!$Y$40&lt;&gt;"",ISNUMBER(SEARCH($D$4,Lists!$Y$40))),1,0)</f>
        <v/>
      </c>
      <c r="AR93">
        <f>IF(ROW()-56&gt;MAX($AQ$57:$AQ$95),"",INDEX(Lists!$Y$4:$Y$42,MATCH(ROW()-56,$AQ$57:$AQ$95,0)))</f>
        <v/>
      </c>
      <c r="AS93">
        <f>AS92+IF(AND(Lists!$AD$40&lt;&gt;"",ISNUMBER(SEARCH($E$4,Lists!$AD$40))),1,0)</f>
        <v/>
      </c>
      <c r="AT93">
        <f>IF(ROW()-56&gt;MAX($AS$57:$AS$95),"",INDEX(Lists!$AD$4:$AD$42,MATCH(ROW()-56,$AS$57:$AS$95,0)))</f>
        <v/>
      </c>
      <c r="AU93">
        <f>AU92+IF(AND(Lists!$AI$40&lt;&gt;"",ISNUMBER(SEARCH($F$4,Lists!$AI$40))),1,0)</f>
        <v/>
      </c>
      <c r="AV93">
        <f>IF(ROW()-56&gt;MAX($AU$57:$AU$95),"",INDEX(Lists!$AI$4:$AI$42,MATCH(ROW()-56,$AU$57:$AU$95,0)))</f>
        <v/>
      </c>
      <c r="AW93">
        <f>AW92+IF(AND(Lists!$AN$40&lt;&gt;"",ISNUMBER(SEARCH($G$4,Lists!$AN$40))),1,0)</f>
        <v/>
      </c>
      <c r="AX93">
        <f>IF(ROW()-56&gt;MAX($AW$57:$AW$95),"",INDEX(Lists!$AN$4:$AN$42,MATCH(ROW()-56,$AW$57:$AW$95,0)))</f>
        <v/>
      </c>
      <c r="AY93">
        <f>AY92+IF(AND(Lists!$AS$40&lt;&gt;"",ISNUMBER(SEARCH($H$4,Lists!$AS$40))),1,0)</f>
        <v/>
      </c>
      <c r="AZ93">
        <f>IF(ROW()-56&gt;MAX($AY$57:$AY$95),"",INDEX(Lists!$AS$4:$AS$42,MATCH(ROW()-56,$AY$57:$AY$95,0)))</f>
        <v/>
      </c>
      <c r="BA93">
        <f>BA92+IF(AND(Lists!$AX$40&lt;&gt;"",ISNUMBER(SEARCH($I$4,Lists!$AX$40))),1,0)</f>
        <v/>
      </c>
      <c r="BB93">
        <f>IF(ROW()-56&gt;MAX($BA$57:$BA$95),"",INDEX(Lists!$AX$4:$AX$42,MATCH(ROW()-56,$BA$57:$BA$95,0)))</f>
        <v/>
      </c>
      <c r="BC93">
        <f>BC92+IF(AND(Lists!$BC$40&lt;&gt;"",ISNUMBER(SEARCH($J$4,Lists!$BC$40))),1,0)</f>
        <v/>
      </c>
      <c r="BD93">
        <f>IF(ROW()-56&gt;MAX($BC$57:$BC$95),"",INDEX(Lists!$BC$4:$BC$42,MATCH(ROW()-56,$BC$57:$BC$95,0)))</f>
        <v/>
      </c>
      <c r="BE93">
        <f>BE92+IF(AND(Lists!$BH$40&lt;&gt;"",ISNUMBER(SEARCH($K$4,Lists!$BH$40))),1,0)</f>
        <v/>
      </c>
      <c r="BF93">
        <f>IF(ROW()-56&gt;MAX($BE$57:$BE$95),"",INDEX(Lists!$BH$4:$BH$42,MATCH(ROW()-56,$BE$57:$BE$95,0)))</f>
        <v/>
      </c>
      <c r="BG93">
        <f>BG92+IF(AND(Lists!$BM$40&lt;&gt;"",ISNUMBER(SEARCH($L$4,Lists!$BM$40))),1,0)</f>
        <v/>
      </c>
      <c r="BH93">
        <f>IF(ROW()-56&gt;MAX($BG$57:$BG$95),"",INDEX(Lists!$BM$4:$BM$42,MATCH(ROW()-56,$BG$57:$BG$95,0)))</f>
        <v/>
      </c>
      <c r="BI93">
        <f>BI92+IF(AND(Lists!$BR$40&lt;&gt;"",ISNUMBER(SEARCH($M$4,Lists!$BR$40))),1,0)</f>
        <v/>
      </c>
      <c r="BJ93">
        <f>IF(ROW()-56&gt;MAX($BI$57:$BI$95),"",INDEX(Lists!$BR$4:$BR$42,MATCH(ROW()-56,$BI$57:$BI$95,0)))</f>
        <v/>
      </c>
      <c r="BK93">
        <f>BK92+IF(AND(Lists!$BW$40&lt;&gt;"",ISNUMBER(SEARCH($N$4,Lists!$BW$40))),1,0)</f>
        <v/>
      </c>
      <c r="BL93">
        <f>IF(ROW()-56&gt;MAX($BK$57:$BK$95),"",INDEX(Lists!$BW$4:$BW$42,MATCH(ROW()-56,$BK$57:$BK$95,0)))</f>
        <v/>
      </c>
      <c r="BM93">
        <f>BM92+IF(AND(Lists!$CB$40&lt;&gt;"",ISNUMBER(SEARCH($O$4,Lists!$CB$40))),1,0)</f>
        <v/>
      </c>
      <c r="BN93">
        <f>IF(ROW()-56&gt;MAX($BM$57:$BM$95),"",INDEX(Lists!$CB$4:$CB$42,MATCH(ROW()-56,$BM$57:$BM$95,0)))</f>
        <v/>
      </c>
      <c r="BO93">
        <f>BO92+IF(AND(Lists!$CG$40&lt;&gt;"",ISNUMBER(SEARCH($P$4,Lists!$CG$40))),1,0)</f>
        <v/>
      </c>
      <c r="BP93">
        <f>IF(ROW()-56&gt;MAX($BO$57:$BO$95),"",INDEX(Lists!$CG$4:$CG$42,MATCH(ROW()-56,$BO$57:$BO$95,0)))</f>
        <v/>
      </c>
      <c r="BQ93">
        <f>BQ92+IF(AND(Lists!$CL$40&lt;&gt;"",ISNUMBER(SEARCH($Q$4,Lists!$CL$40))),1,0)</f>
        <v/>
      </c>
      <c r="BR93">
        <f>IF(ROW()-56&gt;MAX($BQ$57:$BQ$95),"",INDEX(Lists!$CL$4:$CL$42,MATCH(ROW()-56,$BQ$57:$BQ$95,0)))</f>
        <v/>
      </c>
      <c r="BS93">
        <f>BS92+IF(AND(Lists!$CQ$40&lt;&gt;"",ISNUMBER(SEARCH($R$4,Lists!$CQ$40))),1,0)</f>
        <v/>
      </c>
      <c r="BT93">
        <f>IF(ROW()-56&gt;MAX($BS$57:$BS$95),"",INDEX(Lists!$CQ$4:$CQ$42,MATCH(ROW()-56,$BS$57:$BS$95,0)))</f>
        <v/>
      </c>
      <c r="BU93">
        <f>BU92+IF(AND(Lists!$CV$40&lt;&gt;"",ISNUMBER(SEARCH($S$4,Lists!$CV$40))),1,0)</f>
        <v/>
      </c>
      <c r="BV93">
        <f>IF(ROW()-56&gt;MAX($BU$57:$BU$95),"",INDEX(Lists!$CV$4:$CV$42,MATCH(ROW()-56,$BU$57:$BU$95,0)))</f>
        <v/>
      </c>
      <c r="BW93">
        <f>BW92+IF(AND(Lists!$DA$40&lt;&gt;"",ISNUMBER(SEARCH($T$4,Lists!$DA$40))),1,0)</f>
        <v/>
      </c>
      <c r="BX93">
        <f>IF(ROW()-56&gt;MAX($BW$57:$BW$95),"",INDEX(Lists!$DA$4:$DA$42,MATCH(ROW()-56,$BW$57:$BW$95,0)))</f>
        <v/>
      </c>
      <c r="BY93">
        <f>BY92+IF(AND(Lists!$DF$40&lt;&gt;"",ISNUMBER(SEARCH($U$4,Lists!$DF$40))),1,0)</f>
        <v/>
      </c>
      <c r="BZ93">
        <f>IF(ROW()-56&gt;MAX($BY$57:$BY$95),"",INDEX(Lists!$DF$4:$DF$42,MATCH(ROW()-56,$BY$57:$BY$95,0)))</f>
        <v/>
      </c>
      <c r="CA93">
        <f>CA92+IF(AND(Lists!$DK$40&lt;&gt;"",ISNUMBER(SEARCH($V$4,Lists!$DK$40))),1,0)</f>
        <v/>
      </c>
      <c r="CB93">
        <f>IF(ROW()-56&gt;MAX($CA$57:$CA$95),"",INDEX(Lists!$DK$4:$DK$42,MATCH(ROW()-56,$CA$57:$CA$95,0)))</f>
        <v/>
      </c>
      <c r="CC93">
        <f>CC92+IF(AND(Lists!$DP$40&lt;&gt;"",ISNUMBER(SEARCH($W$4,Lists!$DP$40))),1,0)</f>
        <v/>
      </c>
      <c r="CD93">
        <f>IF(ROW()-56&gt;MAX($CC$57:$CC$95),"",INDEX(Lists!$DP$4:$DP$42,MATCH(ROW()-56,$CC$57:$CC$95,0)))</f>
        <v/>
      </c>
      <c r="CE93">
        <f>CE92+IF(AND(Lists!$DU$40&lt;&gt;"",ISNUMBER(SEARCH($X$4,Lists!$DU$40))),1,0)</f>
        <v/>
      </c>
      <c r="CF93">
        <f>IF(ROW()-56&gt;MAX($CE$57:$CE$95),"",INDEX(Lists!$DU$4:$DU$42,MATCH(ROW()-56,$CE$57:$CE$95,0)))</f>
        <v/>
      </c>
      <c r="CG93">
        <f>CG92+IF(AND(Lists!$DZ$40&lt;&gt;"",ISNUMBER(SEARCH($Y$4,Lists!$DZ$40))),1,0)</f>
        <v/>
      </c>
      <c r="CH93">
        <f>IF(ROW()-56&gt;MAX($CG$57:$CG$95),"",INDEX(Lists!$DZ$4:$DZ$42,MATCH(ROW()-56,$CG$57:$CG$95,0)))</f>
        <v/>
      </c>
      <c r="CI93">
        <f>CI92+IF(AND(Lists!$EE$40&lt;&gt;"",ISNUMBER(SEARCH($Z$4,Lists!$EE$40))),1,0)</f>
        <v/>
      </c>
      <c r="CJ93">
        <f>IF(ROW()-56&gt;MAX($CI$57:$CI$95),"",INDEX(Lists!$EE$4:$EE$42,MATCH(ROW()-56,$CI$57:$CI$95,0)))</f>
        <v/>
      </c>
      <c r="CK93">
        <f>CK92+IF(AND(Lists!$EJ$40&lt;&gt;"",ISNUMBER(SEARCH($AA$4,Lists!$EJ$40))),1,0)</f>
        <v/>
      </c>
      <c r="CL93">
        <f>IF(ROW()-56&gt;MAX($CK$57:$CK$95),"",INDEX(Lists!$EJ$4:$EJ$42,MATCH(ROW()-56,$CK$57:$CK$95,0)))</f>
        <v/>
      </c>
      <c r="CM93">
        <f>CM92+IF(AND(Lists!$EO$40&lt;&gt;"",ISNUMBER(SEARCH($AB$4,Lists!$EO$40))),1,0)</f>
        <v/>
      </c>
      <c r="CN93">
        <f>IF(ROW()-56&gt;MAX($CM$57:$CM$95),"",INDEX(Lists!$EO$4:$EO$42,MATCH(ROW()-56,$CM$57:$CM$95,0)))</f>
        <v/>
      </c>
      <c r="CO93">
        <f>CO92+IF(AND(Lists!$ET$40&lt;&gt;"",ISNUMBER(SEARCH($AC$4,Lists!$ET$40))),1,0)</f>
        <v/>
      </c>
      <c r="CP93">
        <f>IF(ROW()-56&gt;MAX($CO$57:$CO$95),"",INDEX(Lists!$ET$4:$ET$42,MATCH(ROW()-56,$CO$57:$CO$95,0)))</f>
        <v/>
      </c>
      <c r="CQ93">
        <f>CQ92+IF(AND(Lists!$EY$40&lt;&gt;"",ISNUMBER(SEARCH($AD$4,Lists!$EY$40))),1,0)</f>
        <v/>
      </c>
      <c r="CR93">
        <f>IF(ROW()-56&gt;MAX($CQ$57:$CQ$95),"",INDEX(Lists!$EY$4:$EY$42,MATCH(ROW()-56,$CQ$57:$CQ$95,0)))</f>
        <v/>
      </c>
      <c r="CS93">
        <f>CS92+IF(AND(Lists!$FD$40&lt;&gt;"",ISNUMBER(SEARCH($AE$4,Lists!$FD$40))),1,0)</f>
        <v/>
      </c>
      <c r="CT93">
        <f>IF(ROW()-56&gt;MAX($CS$57:$CS$95),"",INDEX(Lists!$FD$4:$FD$42,MATCH(ROW()-56,$CS$57:$CS$95,0)))</f>
        <v/>
      </c>
      <c r="CU93">
        <f>CU92+IF(AND(Lists!$FI$40&lt;&gt;"",ISNUMBER(SEARCH($AG$4,Lists!$FI$40))),1,0)</f>
        <v/>
      </c>
      <c r="CV93">
        <f>IF(ROW()-56&gt;MAX($CU$57:$CU$95),"",INDEX(Lists!$FI$4:$FI$42,MATCH(ROW()-56,$CU$57:$CU$95,0)))</f>
        <v/>
      </c>
      <c r="CW93">
        <f>CW92+IF(AND(Lists!$FN$40&lt;&gt;"",ISNUMBER(SEARCH($AH$4,Lists!$FN$40))),1,0)</f>
        <v/>
      </c>
      <c r="CX93">
        <f>IF(ROW()-56&gt;MAX($CW$57:$CW$95),"",INDEX(Lists!$FN$4:$FN$42,MATCH(ROW()-56,$CW$57:$CW$95,0)))</f>
        <v/>
      </c>
      <c r="CY93">
        <f>CY92+IF(AND(Lists!$FS$40&lt;&gt;"",ISNUMBER(SEARCH($AI$4,Lists!$FS$40))),1,0)</f>
        <v/>
      </c>
      <c r="CZ93">
        <f>IF(ROW()-56&gt;MAX($CY$57:$CY$95),"",INDEX(Lists!$FS$4:$FS$42,MATCH(ROW()-56,$CY$57:$CY$95,0)))</f>
        <v/>
      </c>
      <c r="DA93">
        <f>DA92+IF(AND(Lists!$FX$40&lt;&gt;"",ISNUMBER(SEARCH($AF$4,Lists!$FX$40))),1,0)</f>
        <v/>
      </c>
      <c r="DB93">
        <f>IF(ROW()-56&gt;MAX($DA$57:$DA$95),"",INDEX(Lists!$FX$4:$FX$42,MATCH(ROW()-56,$DA$57:$DA$95,0)))</f>
        <v/>
      </c>
      <c r="DG93">
        <f>IF($B$4="",1,IF($B$4="(blank)",--('Final Calculation Sheet'!$F$38=""),IF($B$4="(nonblank)",--('Final Calculation Sheet'!$F$38&lt;&gt;""),--ISNUMBER(SEARCH($B$4,'Final Calculation Sheet'!$F$38)))))</f>
        <v/>
      </c>
      <c r="DH93">
        <f>IF($C$4="",1,IF($C$4="(blank)",--('Final Calculation Sheet'!$G$38=""),IF($C$4="(nonblank)",--('Final Calculation Sheet'!$G$38&lt;&gt;""),--ISNUMBER(SEARCH($C$4,'Final Calculation Sheet'!$G$38)))))</f>
        <v/>
      </c>
      <c r="DI93">
        <f>IF($D$4="",1,IF($D$4="(blank)",--('Final Calculation Sheet'!$B$38=""),IF($D$4="(nonblank)",--('Final Calculation Sheet'!$B$38&lt;&gt;""),--ISNUMBER(SEARCH($D$4,'Final Calculation Sheet'!$B$38)))))</f>
        <v/>
      </c>
      <c r="DJ93">
        <f>IF($E$4="",1,IF($E$4="(blank)",--('Final Calculation Sheet'!$D$38=""),IF($E$4="(nonblank)",--('Final Calculation Sheet'!$D$38&lt;&gt;""),--ISNUMBER(SEARCH($E$4,'Final Calculation Sheet'!$D$38)))))</f>
        <v/>
      </c>
      <c r="DK93">
        <f>IF($F$4="",1,IF($F$4="(blank)",--('Final Calculation Sheet'!$A$38=""),IF($F$4="(nonblank)",--('Final Calculation Sheet'!$A$38&lt;&gt;""),--ISNUMBER(SEARCH($F$4,'Final Calculation Sheet'!$A$38)))))</f>
        <v/>
      </c>
      <c r="DL93">
        <f>IF($G$4="",1,IF($G$4="(blank)",--('Final Calculation Sheet'!$E$38=""),IF($G$4="(nonblank)",--('Final Calculation Sheet'!$E$38&lt;&gt;""),--ISNUMBER(SEARCH($G$4,'Final Calculation Sheet'!$E$38)))))</f>
        <v/>
      </c>
      <c r="DM93">
        <f>IF($H$4="",1,IF($H$4="(blank)",--('Final Calculation Sheet'!$C$38=""),IF($H$4="(nonblank)",--('Final Calculation Sheet'!$C$38&lt;&gt;""),--ISNUMBER(SEARCH($H$4,'Final Calculation Sheet'!$C$38)))))</f>
        <v/>
      </c>
      <c r="DN93">
        <f>IF($I$4="",1,IF($I$4="(blank)",--('Final Calculation Sheet'!$H$38=""),IF($I$4="(nonblank)",--('Final Calculation Sheet'!$H$38&lt;&gt;""),--ISNUMBER(SEARCH($I$4,'Final Calculation Sheet'!$H$38)))))</f>
        <v/>
      </c>
      <c r="DO93">
        <f>IF($J$4="",1,IF($J$4="(blank)",--('Final Calculation Sheet'!$I$38=""),IF($J$4="(nonblank)",--('Final Calculation Sheet'!$I$38&lt;&gt;""),--ISNUMBER(SEARCH($J$4,'Final Calculation Sheet'!$I$38)))))</f>
        <v/>
      </c>
      <c r="DP93">
        <f>IF($K$4="",1,IF($K$4="(blank)",--('Final Calculation Sheet'!$J$38=""),IF($K$4="(nonblank)",--('Final Calculation Sheet'!$J$38&lt;&gt;""),--ISNUMBER(SEARCH($K$4,'Final Calculation Sheet'!$J$38)))))</f>
        <v/>
      </c>
      <c r="DQ93">
        <f>IF($L$4="",1,IF($L$4="(blank)",--('Final Calculation Sheet'!$K$38=""),IF($L$4="(nonblank)",--('Final Calculation Sheet'!$K$38&lt;&gt;""),--ISNUMBER(SEARCH($L$4,'Final Calculation Sheet'!$K$38)))))</f>
        <v/>
      </c>
      <c r="DR93">
        <f>IF($M$4="",1,IF($M$4="(blank)",--('Final Calculation Sheet'!$L$38=""),IF($M$4="(nonblank)",--('Final Calculation Sheet'!$L$38&lt;&gt;""),--ISNUMBER(SEARCH($M$4,'Final Calculation Sheet'!$L$38)))))</f>
        <v/>
      </c>
      <c r="DS93">
        <f>IF($N$4="",1,IF($N$4="(blank)",--('Final Calculation Sheet'!$M$38=""),IF($N$4="(nonblank)",--('Final Calculation Sheet'!$M$38&lt;&gt;""),--ISNUMBER(SEARCH($N$4,'Final Calculation Sheet'!$M$38)))))</f>
        <v/>
      </c>
      <c r="DT93">
        <f>IF($O$4="",1,IF($O$4="(blank)",--('Final Calculation Sheet'!$N$38=""),IF($O$4="(nonblank)",--('Final Calculation Sheet'!$N$38&lt;&gt;""),--ISNUMBER(SEARCH($O$4,'Final Calculation Sheet'!$N$38)))))</f>
        <v/>
      </c>
      <c r="DU93">
        <f>IF($P$4="",1,IF($P$4="(blank)",--('Final Calculation Sheet'!$O$38=""),IF($P$4="(nonblank)",--('Final Calculation Sheet'!$O$38&lt;&gt;""),--ISNUMBER(SEARCH($P$4,'Final Calculation Sheet'!$O$38)))))</f>
        <v/>
      </c>
      <c r="DV93">
        <f>IF($Q$4="",1,IF($Q$4="(blank)",--('Final Calculation Sheet'!$P$38=""),IF($Q$4="(nonblank)",--('Final Calculation Sheet'!$P$38&lt;&gt;""),--ISNUMBER(SEARCH($Q$4,'Final Calculation Sheet'!$P$38)))))</f>
        <v/>
      </c>
      <c r="DW93">
        <f>IF($R$4="",1,IF($R$4="(blank)",--('Final Calculation Sheet'!$Q$38=""),IF($R$4="(nonblank)",--('Final Calculation Sheet'!$Q$38&lt;&gt;""),--ISNUMBER(SEARCH($R$4,'Final Calculation Sheet'!$Q$38)))))</f>
        <v/>
      </c>
      <c r="DX93">
        <f>IF($S$4="",1,IF($S$4="(blank)",--('Final Calculation Sheet'!$R$38=""),IF($S$4="(nonblank)",--('Final Calculation Sheet'!$R$38&lt;&gt;""),--ISNUMBER(SEARCH($S$4,'Final Calculation Sheet'!$R$38)))))</f>
        <v/>
      </c>
      <c r="DY93">
        <f>IF($T$4="",1,IF($T$4="(blank)",--('Final Calculation Sheet'!$S$38=""),IF($T$4="(nonblank)",--('Final Calculation Sheet'!$S$38&lt;&gt;""),--ISNUMBER(SEARCH($T$4,'Final Calculation Sheet'!$S$38)))))</f>
        <v/>
      </c>
      <c r="DZ93">
        <f>IF($U$4="",1,IF($U$4="(blank)",--('Final Calculation Sheet'!$T$38=""),IF($U$4="(nonblank)",--('Final Calculation Sheet'!$T$38&lt;&gt;""),--ISNUMBER(SEARCH($U$4,'Final Calculation Sheet'!$T$38)))))</f>
        <v/>
      </c>
      <c r="EA93">
        <f>IF($V$4="",1,IF($V$4="(blank)",--('Final Calculation Sheet'!$U$38=""),IF($V$4="(nonblank)",--('Final Calculation Sheet'!$U$38&lt;&gt;""),--ISNUMBER(SEARCH($V$4,'Final Calculation Sheet'!$U$38)))))</f>
        <v/>
      </c>
      <c r="EB93">
        <f>IF($W$4="",1,IF($W$4="(blank)",--('Final Calculation Sheet'!$V$38=""),IF($W$4="(nonblank)",--('Final Calculation Sheet'!$V$38&lt;&gt;""),--ISNUMBER(SEARCH($W$4,'Final Calculation Sheet'!$V$38)))))</f>
        <v/>
      </c>
      <c r="EC93">
        <f>IF($X$4="",1,IF($X$4="(blank)",--('Final Calculation Sheet'!$W$38=""),IF($X$4="(nonblank)",--('Final Calculation Sheet'!$W$38&lt;&gt;""),--ISNUMBER(SEARCH($X$4,'Final Calculation Sheet'!$W$38)))))</f>
        <v/>
      </c>
      <c r="ED93">
        <f>IF($Y$4="",1,IF($Y$4="(blank)",--('Final Calculation Sheet'!$X$38=""),IF($Y$4="(nonblank)",--('Final Calculation Sheet'!$X$38&lt;&gt;""),--ISNUMBER(SEARCH($Y$4,'Final Calculation Sheet'!$X$38)))))</f>
        <v/>
      </c>
      <c r="EE93">
        <f>IF($Z$4="",1,IF($Z$4="(blank)",--('Final Calculation Sheet'!$Y$38=""),IF($Z$4="(nonblank)",--('Final Calculation Sheet'!$Y$38&lt;&gt;""),--ISNUMBER(SEARCH($Z$4,'Final Calculation Sheet'!$Y$38)))))</f>
        <v/>
      </c>
      <c r="EF93">
        <f>IF($AA$4="",1,IF($AA$4="(blank)",--('Final Calculation Sheet'!$Z$38=""),IF($AA$4="(nonblank)",--('Final Calculation Sheet'!$Z$38&lt;&gt;""),--ISNUMBER(SEARCH($AA$4,'Final Calculation Sheet'!$Z$38)))))</f>
        <v/>
      </c>
      <c r="EG93">
        <f>IF($AB$4="",1,IF($AB$4="(blank)",--('Final Calculation Sheet'!$AA$38=""),IF($AB$4="(nonblank)",--('Final Calculation Sheet'!$AA$38&lt;&gt;""),--ISNUMBER(SEARCH($AB$4,'Final Calculation Sheet'!$AA$38)))))</f>
        <v/>
      </c>
      <c r="EH93">
        <f>IF($AC$4="",1,IF($AC$4="(blank)",--('Final Calculation Sheet'!$AB$38=""),IF($AC$4="(nonblank)",--('Final Calculation Sheet'!$AB$38&lt;&gt;""),--ISNUMBER(SEARCH($AC$4,'Final Calculation Sheet'!$AB$38)))))</f>
        <v/>
      </c>
      <c r="EI93">
        <f>IF($AD$4="",1,IF($AD$4="(blank)",--('Final Calculation Sheet'!$AC$38=""),IF($AD$4="(nonblank)",--('Final Calculation Sheet'!$AC$38&lt;&gt;""),--ISNUMBER(SEARCH($AD$4,'Final Calculation Sheet'!$AC$38)))))</f>
        <v/>
      </c>
      <c r="EJ93">
        <f>IF($AE$4="",1,IF($AE$4="(blank)",--('Final Calculation Sheet'!$AD$38=""),IF($AE$4="(nonblank)",--('Final Calculation Sheet'!$AD$38&lt;&gt;""),--ISNUMBER(SEARCH($AE$4,'Final Calculation Sheet'!$AD$38)))))</f>
        <v/>
      </c>
      <c r="EK93">
        <f>IF($AF$4="",1,IF($AF$4="(blank)",--(IF('Final Calculation Sheet'!$AD$38&lt;=5,"SETTLED","OUTSTANDING")=""),IF($AF$4="(nonblank)",--(IF('Final Calculation Sheet'!$AD$38&lt;=5,"SETTLED","OUTSTANDING")&lt;&gt;""),--ISNUMBER(SEARCH($AF$4,IF('Final Calculation Sheet'!$AD$38&lt;=5,"SETTLED","OUTSTANDING"))))))</f>
        <v/>
      </c>
      <c r="EL93">
        <f>IF($AG$4="",1,IF($AG$4="(blank)",--('Final Calculation Sheet'!$AF$38=""),IF($AG$4="(nonblank)",--('Final Calculation Sheet'!$AF$38&lt;&gt;""),--ISNUMBER(SEARCH($AG$4,'Final Calculation Sheet'!$AF$38)))))</f>
        <v/>
      </c>
      <c r="EM93">
        <f>IF($AH$4="",1,IF($AH$4="(blank)",--('Final Calculation Sheet'!$AG$38=""),IF($AH$4="(nonblank)",--('Final Calculation Sheet'!$AG$38&lt;&gt;""),--ISNUMBER(SEARCH($AH$4,'Final Calculation Sheet'!$AG$38)))))</f>
        <v/>
      </c>
      <c r="EN93">
        <f>IF($AI$4="",1,IF($AI$4="(blank)",--('Final Calculation Sheet'!$AH$38=""),IF($AI$4="(nonblank)",--('Final Calculation Sheet'!$AH$38&lt;&gt;""),--ISNUMBER(SEARCH($AI$4,'Final Calculation Sheet'!$AH$38)))))</f>
        <v/>
      </c>
    </row>
    <row r="94">
      <c r="AM94">
        <f>AM93+IF(AND(Lists!$O$41&lt;&gt;"",ISNUMBER(SEARCH($B$4,Lists!$O$41))),1,0)</f>
        <v/>
      </c>
      <c r="AN94">
        <f>IF(ROW()-56&gt;MAX($AM$57:$AM$95),"",INDEX(Lists!$O$4:$O$42,MATCH(ROW()-56,$AM$57:$AM$95,0)))</f>
        <v/>
      </c>
      <c r="AO94">
        <f>AO93+IF(AND(Lists!$T$41&lt;&gt;"",ISNUMBER(SEARCH($C$4,Lists!$T$41))),1,0)</f>
        <v/>
      </c>
      <c r="AP94">
        <f>IF(ROW()-56&gt;MAX($AO$57:$AO$95),"",INDEX(Lists!$T$4:$T$42,MATCH(ROW()-56,$AO$57:$AO$95,0)))</f>
        <v/>
      </c>
      <c r="AQ94">
        <f>AQ93+IF(AND(Lists!$Y$41&lt;&gt;"",ISNUMBER(SEARCH($D$4,Lists!$Y$41))),1,0)</f>
        <v/>
      </c>
      <c r="AR94">
        <f>IF(ROW()-56&gt;MAX($AQ$57:$AQ$95),"",INDEX(Lists!$Y$4:$Y$42,MATCH(ROW()-56,$AQ$57:$AQ$95,0)))</f>
        <v/>
      </c>
      <c r="AS94">
        <f>AS93+IF(AND(Lists!$AD$41&lt;&gt;"",ISNUMBER(SEARCH($E$4,Lists!$AD$41))),1,0)</f>
        <v/>
      </c>
      <c r="AT94">
        <f>IF(ROW()-56&gt;MAX($AS$57:$AS$95),"",INDEX(Lists!$AD$4:$AD$42,MATCH(ROW()-56,$AS$57:$AS$95,0)))</f>
        <v/>
      </c>
      <c r="AU94">
        <f>AU93+IF(AND(Lists!$AI$41&lt;&gt;"",ISNUMBER(SEARCH($F$4,Lists!$AI$41))),1,0)</f>
        <v/>
      </c>
      <c r="AV94">
        <f>IF(ROW()-56&gt;MAX($AU$57:$AU$95),"",INDEX(Lists!$AI$4:$AI$42,MATCH(ROW()-56,$AU$57:$AU$95,0)))</f>
        <v/>
      </c>
      <c r="AW94">
        <f>AW93+IF(AND(Lists!$AN$41&lt;&gt;"",ISNUMBER(SEARCH($G$4,Lists!$AN$41))),1,0)</f>
        <v/>
      </c>
      <c r="AX94">
        <f>IF(ROW()-56&gt;MAX($AW$57:$AW$95),"",INDEX(Lists!$AN$4:$AN$42,MATCH(ROW()-56,$AW$57:$AW$95,0)))</f>
        <v/>
      </c>
      <c r="AY94">
        <f>AY93+IF(AND(Lists!$AS$41&lt;&gt;"",ISNUMBER(SEARCH($H$4,Lists!$AS$41))),1,0)</f>
        <v/>
      </c>
      <c r="AZ94">
        <f>IF(ROW()-56&gt;MAX($AY$57:$AY$95),"",INDEX(Lists!$AS$4:$AS$42,MATCH(ROW()-56,$AY$57:$AY$95,0)))</f>
        <v/>
      </c>
      <c r="BA94">
        <f>BA93+IF(AND(Lists!$AX$41&lt;&gt;"",ISNUMBER(SEARCH($I$4,Lists!$AX$41))),1,0)</f>
        <v/>
      </c>
      <c r="BB94">
        <f>IF(ROW()-56&gt;MAX($BA$57:$BA$95),"",INDEX(Lists!$AX$4:$AX$42,MATCH(ROW()-56,$BA$57:$BA$95,0)))</f>
        <v/>
      </c>
      <c r="BC94">
        <f>BC93+IF(AND(Lists!$BC$41&lt;&gt;"",ISNUMBER(SEARCH($J$4,Lists!$BC$41))),1,0)</f>
        <v/>
      </c>
      <c r="BD94">
        <f>IF(ROW()-56&gt;MAX($BC$57:$BC$95),"",INDEX(Lists!$BC$4:$BC$42,MATCH(ROW()-56,$BC$57:$BC$95,0)))</f>
        <v/>
      </c>
      <c r="BE94">
        <f>BE93+IF(AND(Lists!$BH$41&lt;&gt;"",ISNUMBER(SEARCH($K$4,Lists!$BH$41))),1,0)</f>
        <v/>
      </c>
      <c r="BF94">
        <f>IF(ROW()-56&gt;MAX($BE$57:$BE$95),"",INDEX(Lists!$BH$4:$BH$42,MATCH(ROW()-56,$BE$57:$BE$95,0)))</f>
        <v/>
      </c>
      <c r="BG94">
        <f>BG93+IF(AND(Lists!$BM$41&lt;&gt;"",ISNUMBER(SEARCH($L$4,Lists!$BM$41))),1,0)</f>
        <v/>
      </c>
      <c r="BH94">
        <f>IF(ROW()-56&gt;MAX($BG$57:$BG$95),"",INDEX(Lists!$BM$4:$BM$42,MATCH(ROW()-56,$BG$57:$BG$95,0)))</f>
        <v/>
      </c>
      <c r="BI94">
        <f>BI93+IF(AND(Lists!$BR$41&lt;&gt;"",ISNUMBER(SEARCH($M$4,Lists!$BR$41))),1,0)</f>
        <v/>
      </c>
      <c r="BJ94">
        <f>IF(ROW()-56&gt;MAX($BI$57:$BI$95),"",INDEX(Lists!$BR$4:$BR$42,MATCH(ROW()-56,$BI$57:$BI$95,0)))</f>
        <v/>
      </c>
      <c r="BK94">
        <f>BK93+IF(AND(Lists!$BW$41&lt;&gt;"",ISNUMBER(SEARCH($N$4,Lists!$BW$41))),1,0)</f>
        <v/>
      </c>
      <c r="BL94">
        <f>IF(ROW()-56&gt;MAX($BK$57:$BK$95),"",INDEX(Lists!$BW$4:$BW$42,MATCH(ROW()-56,$BK$57:$BK$95,0)))</f>
        <v/>
      </c>
      <c r="BM94">
        <f>BM93+IF(AND(Lists!$CB$41&lt;&gt;"",ISNUMBER(SEARCH($O$4,Lists!$CB$41))),1,0)</f>
        <v/>
      </c>
      <c r="BN94">
        <f>IF(ROW()-56&gt;MAX($BM$57:$BM$95),"",INDEX(Lists!$CB$4:$CB$42,MATCH(ROW()-56,$BM$57:$BM$95,0)))</f>
        <v/>
      </c>
      <c r="BO94">
        <f>BO93+IF(AND(Lists!$CG$41&lt;&gt;"",ISNUMBER(SEARCH($P$4,Lists!$CG$41))),1,0)</f>
        <v/>
      </c>
      <c r="BP94">
        <f>IF(ROW()-56&gt;MAX($BO$57:$BO$95),"",INDEX(Lists!$CG$4:$CG$42,MATCH(ROW()-56,$BO$57:$BO$95,0)))</f>
        <v/>
      </c>
      <c r="BQ94">
        <f>BQ93+IF(AND(Lists!$CL$41&lt;&gt;"",ISNUMBER(SEARCH($Q$4,Lists!$CL$41))),1,0)</f>
        <v/>
      </c>
      <c r="BR94">
        <f>IF(ROW()-56&gt;MAX($BQ$57:$BQ$95),"",INDEX(Lists!$CL$4:$CL$42,MATCH(ROW()-56,$BQ$57:$BQ$95,0)))</f>
        <v/>
      </c>
      <c r="BS94">
        <f>BS93+IF(AND(Lists!$CQ$41&lt;&gt;"",ISNUMBER(SEARCH($R$4,Lists!$CQ$41))),1,0)</f>
        <v/>
      </c>
      <c r="BT94">
        <f>IF(ROW()-56&gt;MAX($BS$57:$BS$95),"",INDEX(Lists!$CQ$4:$CQ$42,MATCH(ROW()-56,$BS$57:$BS$95,0)))</f>
        <v/>
      </c>
      <c r="BU94">
        <f>BU93+IF(AND(Lists!$CV$41&lt;&gt;"",ISNUMBER(SEARCH($S$4,Lists!$CV$41))),1,0)</f>
        <v/>
      </c>
      <c r="BV94">
        <f>IF(ROW()-56&gt;MAX($BU$57:$BU$95),"",INDEX(Lists!$CV$4:$CV$42,MATCH(ROW()-56,$BU$57:$BU$95,0)))</f>
        <v/>
      </c>
      <c r="BW94">
        <f>BW93+IF(AND(Lists!$DA$41&lt;&gt;"",ISNUMBER(SEARCH($T$4,Lists!$DA$41))),1,0)</f>
        <v/>
      </c>
      <c r="BX94">
        <f>IF(ROW()-56&gt;MAX($BW$57:$BW$95),"",INDEX(Lists!$DA$4:$DA$42,MATCH(ROW()-56,$BW$57:$BW$95,0)))</f>
        <v/>
      </c>
      <c r="BY94">
        <f>BY93+IF(AND(Lists!$DF$41&lt;&gt;"",ISNUMBER(SEARCH($U$4,Lists!$DF$41))),1,0)</f>
        <v/>
      </c>
      <c r="BZ94">
        <f>IF(ROW()-56&gt;MAX($BY$57:$BY$95),"",INDEX(Lists!$DF$4:$DF$42,MATCH(ROW()-56,$BY$57:$BY$95,0)))</f>
        <v/>
      </c>
      <c r="CA94">
        <f>CA93+IF(AND(Lists!$DK$41&lt;&gt;"",ISNUMBER(SEARCH($V$4,Lists!$DK$41))),1,0)</f>
        <v/>
      </c>
      <c r="CB94">
        <f>IF(ROW()-56&gt;MAX($CA$57:$CA$95),"",INDEX(Lists!$DK$4:$DK$42,MATCH(ROW()-56,$CA$57:$CA$95,0)))</f>
        <v/>
      </c>
      <c r="CC94">
        <f>CC93+IF(AND(Lists!$DP$41&lt;&gt;"",ISNUMBER(SEARCH($W$4,Lists!$DP$41))),1,0)</f>
        <v/>
      </c>
      <c r="CD94">
        <f>IF(ROW()-56&gt;MAX($CC$57:$CC$95),"",INDEX(Lists!$DP$4:$DP$42,MATCH(ROW()-56,$CC$57:$CC$95,0)))</f>
        <v/>
      </c>
      <c r="CE94">
        <f>CE93+IF(AND(Lists!$DU$41&lt;&gt;"",ISNUMBER(SEARCH($X$4,Lists!$DU$41))),1,0)</f>
        <v/>
      </c>
      <c r="CF94">
        <f>IF(ROW()-56&gt;MAX($CE$57:$CE$95),"",INDEX(Lists!$DU$4:$DU$42,MATCH(ROW()-56,$CE$57:$CE$95,0)))</f>
        <v/>
      </c>
      <c r="CG94">
        <f>CG93+IF(AND(Lists!$DZ$41&lt;&gt;"",ISNUMBER(SEARCH($Y$4,Lists!$DZ$41))),1,0)</f>
        <v/>
      </c>
      <c r="CH94">
        <f>IF(ROW()-56&gt;MAX($CG$57:$CG$95),"",INDEX(Lists!$DZ$4:$DZ$42,MATCH(ROW()-56,$CG$57:$CG$95,0)))</f>
        <v/>
      </c>
      <c r="CI94">
        <f>CI93+IF(AND(Lists!$EE$41&lt;&gt;"",ISNUMBER(SEARCH($Z$4,Lists!$EE$41))),1,0)</f>
        <v/>
      </c>
      <c r="CJ94">
        <f>IF(ROW()-56&gt;MAX($CI$57:$CI$95),"",INDEX(Lists!$EE$4:$EE$42,MATCH(ROW()-56,$CI$57:$CI$95,0)))</f>
        <v/>
      </c>
      <c r="CK94">
        <f>CK93+IF(AND(Lists!$EJ$41&lt;&gt;"",ISNUMBER(SEARCH($AA$4,Lists!$EJ$41))),1,0)</f>
        <v/>
      </c>
      <c r="CL94">
        <f>IF(ROW()-56&gt;MAX($CK$57:$CK$95),"",INDEX(Lists!$EJ$4:$EJ$42,MATCH(ROW()-56,$CK$57:$CK$95,0)))</f>
        <v/>
      </c>
      <c r="CM94">
        <f>CM93+IF(AND(Lists!$EO$41&lt;&gt;"",ISNUMBER(SEARCH($AB$4,Lists!$EO$41))),1,0)</f>
        <v/>
      </c>
      <c r="CN94">
        <f>IF(ROW()-56&gt;MAX($CM$57:$CM$95),"",INDEX(Lists!$EO$4:$EO$42,MATCH(ROW()-56,$CM$57:$CM$95,0)))</f>
        <v/>
      </c>
      <c r="CO94">
        <f>CO93+IF(AND(Lists!$ET$41&lt;&gt;"",ISNUMBER(SEARCH($AC$4,Lists!$ET$41))),1,0)</f>
        <v/>
      </c>
      <c r="CP94">
        <f>IF(ROW()-56&gt;MAX($CO$57:$CO$95),"",INDEX(Lists!$ET$4:$ET$42,MATCH(ROW()-56,$CO$57:$CO$95,0)))</f>
        <v/>
      </c>
      <c r="CQ94">
        <f>CQ93+IF(AND(Lists!$EY$41&lt;&gt;"",ISNUMBER(SEARCH($AD$4,Lists!$EY$41))),1,0)</f>
        <v/>
      </c>
      <c r="CR94">
        <f>IF(ROW()-56&gt;MAX($CQ$57:$CQ$95),"",INDEX(Lists!$EY$4:$EY$42,MATCH(ROW()-56,$CQ$57:$CQ$95,0)))</f>
        <v/>
      </c>
      <c r="CS94">
        <f>CS93+IF(AND(Lists!$FD$41&lt;&gt;"",ISNUMBER(SEARCH($AE$4,Lists!$FD$41))),1,0)</f>
        <v/>
      </c>
      <c r="CT94">
        <f>IF(ROW()-56&gt;MAX($CS$57:$CS$95),"",INDEX(Lists!$FD$4:$FD$42,MATCH(ROW()-56,$CS$57:$CS$95,0)))</f>
        <v/>
      </c>
      <c r="CU94">
        <f>CU93+IF(AND(Lists!$FI$41&lt;&gt;"",ISNUMBER(SEARCH($AG$4,Lists!$FI$41))),1,0)</f>
        <v/>
      </c>
      <c r="CV94">
        <f>IF(ROW()-56&gt;MAX($CU$57:$CU$95),"",INDEX(Lists!$FI$4:$FI$42,MATCH(ROW()-56,$CU$57:$CU$95,0)))</f>
        <v/>
      </c>
      <c r="CW94">
        <f>CW93+IF(AND(Lists!$FN$41&lt;&gt;"",ISNUMBER(SEARCH($AH$4,Lists!$FN$41))),1,0)</f>
        <v/>
      </c>
      <c r="CX94">
        <f>IF(ROW()-56&gt;MAX($CW$57:$CW$95),"",INDEX(Lists!$FN$4:$FN$42,MATCH(ROW()-56,$CW$57:$CW$95,0)))</f>
        <v/>
      </c>
      <c r="CY94">
        <f>CY93+IF(AND(Lists!$FS$41&lt;&gt;"",ISNUMBER(SEARCH($AI$4,Lists!$FS$41))),1,0)</f>
        <v/>
      </c>
      <c r="CZ94">
        <f>IF(ROW()-56&gt;MAX($CY$57:$CY$95),"",INDEX(Lists!$FS$4:$FS$42,MATCH(ROW()-56,$CY$57:$CY$95,0)))</f>
        <v/>
      </c>
      <c r="DA94">
        <f>DA93+IF(AND(Lists!$FX$41&lt;&gt;"",ISNUMBER(SEARCH($AF$4,Lists!$FX$41))),1,0)</f>
        <v/>
      </c>
      <c r="DB94">
        <f>IF(ROW()-56&gt;MAX($DA$57:$DA$95),"",INDEX(Lists!$FX$4:$FX$42,MATCH(ROW()-56,$DA$57:$DA$95,0)))</f>
        <v/>
      </c>
      <c r="DG94">
        <f>IF($B$4="",1,IF($B$4="(blank)",--('Final Calculation Sheet'!$F$39=""),IF($B$4="(nonblank)",--('Final Calculation Sheet'!$F$39&lt;&gt;""),--ISNUMBER(SEARCH($B$4,'Final Calculation Sheet'!$F$39)))))</f>
        <v/>
      </c>
      <c r="DH94">
        <f>IF($C$4="",1,IF($C$4="(blank)",--('Final Calculation Sheet'!$G$39=""),IF($C$4="(nonblank)",--('Final Calculation Sheet'!$G$39&lt;&gt;""),--ISNUMBER(SEARCH($C$4,'Final Calculation Sheet'!$G$39)))))</f>
        <v/>
      </c>
      <c r="DI94">
        <f>IF($D$4="",1,IF($D$4="(blank)",--('Final Calculation Sheet'!$B$39=""),IF($D$4="(nonblank)",--('Final Calculation Sheet'!$B$39&lt;&gt;""),--ISNUMBER(SEARCH($D$4,'Final Calculation Sheet'!$B$39)))))</f>
        <v/>
      </c>
      <c r="DJ94">
        <f>IF($E$4="",1,IF($E$4="(blank)",--('Final Calculation Sheet'!$D$39=""),IF($E$4="(nonblank)",--('Final Calculation Sheet'!$D$39&lt;&gt;""),--ISNUMBER(SEARCH($E$4,'Final Calculation Sheet'!$D$39)))))</f>
        <v/>
      </c>
      <c r="DK94">
        <f>IF($F$4="",1,IF($F$4="(blank)",--('Final Calculation Sheet'!$A$39=""),IF($F$4="(nonblank)",--('Final Calculation Sheet'!$A$39&lt;&gt;""),--ISNUMBER(SEARCH($F$4,'Final Calculation Sheet'!$A$39)))))</f>
        <v/>
      </c>
      <c r="DL94">
        <f>IF($G$4="",1,IF($G$4="(blank)",--('Final Calculation Sheet'!$E$39=""),IF($G$4="(nonblank)",--('Final Calculation Sheet'!$E$39&lt;&gt;""),--ISNUMBER(SEARCH($G$4,'Final Calculation Sheet'!$E$39)))))</f>
        <v/>
      </c>
      <c r="DM94">
        <f>IF($H$4="",1,IF($H$4="(blank)",--('Final Calculation Sheet'!$C$39=""),IF($H$4="(nonblank)",--('Final Calculation Sheet'!$C$39&lt;&gt;""),--ISNUMBER(SEARCH($H$4,'Final Calculation Sheet'!$C$39)))))</f>
        <v/>
      </c>
      <c r="DN94">
        <f>IF($I$4="",1,IF($I$4="(blank)",--('Final Calculation Sheet'!$H$39=""),IF($I$4="(nonblank)",--('Final Calculation Sheet'!$H$39&lt;&gt;""),--ISNUMBER(SEARCH($I$4,'Final Calculation Sheet'!$H$39)))))</f>
        <v/>
      </c>
      <c r="DO94">
        <f>IF($J$4="",1,IF($J$4="(blank)",--('Final Calculation Sheet'!$I$39=""),IF($J$4="(nonblank)",--('Final Calculation Sheet'!$I$39&lt;&gt;""),--ISNUMBER(SEARCH($J$4,'Final Calculation Sheet'!$I$39)))))</f>
        <v/>
      </c>
      <c r="DP94">
        <f>IF($K$4="",1,IF($K$4="(blank)",--('Final Calculation Sheet'!$J$39=""),IF($K$4="(nonblank)",--('Final Calculation Sheet'!$J$39&lt;&gt;""),--ISNUMBER(SEARCH($K$4,'Final Calculation Sheet'!$J$39)))))</f>
        <v/>
      </c>
      <c r="DQ94">
        <f>IF($L$4="",1,IF($L$4="(blank)",--('Final Calculation Sheet'!$K$39=""),IF($L$4="(nonblank)",--('Final Calculation Sheet'!$K$39&lt;&gt;""),--ISNUMBER(SEARCH($L$4,'Final Calculation Sheet'!$K$39)))))</f>
        <v/>
      </c>
      <c r="DR94">
        <f>IF($M$4="",1,IF($M$4="(blank)",--('Final Calculation Sheet'!$L$39=""),IF($M$4="(nonblank)",--('Final Calculation Sheet'!$L$39&lt;&gt;""),--ISNUMBER(SEARCH($M$4,'Final Calculation Sheet'!$L$39)))))</f>
        <v/>
      </c>
      <c r="DS94">
        <f>IF($N$4="",1,IF($N$4="(blank)",--('Final Calculation Sheet'!$M$39=""),IF($N$4="(nonblank)",--('Final Calculation Sheet'!$M$39&lt;&gt;""),--ISNUMBER(SEARCH($N$4,'Final Calculation Sheet'!$M$39)))))</f>
        <v/>
      </c>
      <c r="DT94">
        <f>IF($O$4="",1,IF($O$4="(blank)",--('Final Calculation Sheet'!$N$39=""),IF($O$4="(nonblank)",--('Final Calculation Sheet'!$N$39&lt;&gt;""),--ISNUMBER(SEARCH($O$4,'Final Calculation Sheet'!$N$39)))))</f>
        <v/>
      </c>
      <c r="DU94">
        <f>IF($P$4="",1,IF($P$4="(blank)",--('Final Calculation Sheet'!$O$39=""),IF($P$4="(nonblank)",--('Final Calculation Sheet'!$O$39&lt;&gt;""),--ISNUMBER(SEARCH($P$4,'Final Calculation Sheet'!$O$39)))))</f>
        <v/>
      </c>
      <c r="DV94">
        <f>IF($Q$4="",1,IF($Q$4="(blank)",--('Final Calculation Sheet'!$P$39=""),IF($Q$4="(nonblank)",--('Final Calculation Sheet'!$P$39&lt;&gt;""),--ISNUMBER(SEARCH($Q$4,'Final Calculation Sheet'!$P$39)))))</f>
        <v/>
      </c>
      <c r="DW94">
        <f>IF($R$4="",1,IF($R$4="(blank)",--('Final Calculation Sheet'!$Q$39=""),IF($R$4="(nonblank)",--('Final Calculation Sheet'!$Q$39&lt;&gt;""),--ISNUMBER(SEARCH($R$4,'Final Calculation Sheet'!$Q$39)))))</f>
        <v/>
      </c>
      <c r="DX94">
        <f>IF($S$4="",1,IF($S$4="(blank)",--('Final Calculation Sheet'!$R$39=""),IF($S$4="(nonblank)",--('Final Calculation Sheet'!$R$39&lt;&gt;""),--ISNUMBER(SEARCH($S$4,'Final Calculation Sheet'!$R$39)))))</f>
        <v/>
      </c>
      <c r="DY94">
        <f>IF($T$4="",1,IF($T$4="(blank)",--('Final Calculation Sheet'!$S$39=""),IF($T$4="(nonblank)",--('Final Calculation Sheet'!$S$39&lt;&gt;""),--ISNUMBER(SEARCH($T$4,'Final Calculation Sheet'!$S$39)))))</f>
        <v/>
      </c>
      <c r="DZ94">
        <f>IF($U$4="",1,IF($U$4="(blank)",--('Final Calculation Sheet'!$T$39=""),IF($U$4="(nonblank)",--('Final Calculation Sheet'!$T$39&lt;&gt;""),--ISNUMBER(SEARCH($U$4,'Final Calculation Sheet'!$T$39)))))</f>
        <v/>
      </c>
      <c r="EA94">
        <f>IF($V$4="",1,IF($V$4="(blank)",--('Final Calculation Sheet'!$U$39=""),IF($V$4="(nonblank)",--('Final Calculation Sheet'!$U$39&lt;&gt;""),--ISNUMBER(SEARCH($V$4,'Final Calculation Sheet'!$U$39)))))</f>
        <v/>
      </c>
      <c r="EB94">
        <f>IF($W$4="",1,IF($W$4="(blank)",--('Final Calculation Sheet'!$V$39=""),IF($W$4="(nonblank)",--('Final Calculation Sheet'!$V$39&lt;&gt;""),--ISNUMBER(SEARCH($W$4,'Final Calculation Sheet'!$V$39)))))</f>
        <v/>
      </c>
      <c r="EC94">
        <f>IF($X$4="",1,IF($X$4="(blank)",--('Final Calculation Sheet'!$W$39=""),IF($X$4="(nonblank)",--('Final Calculation Sheet'!$W$39&lt;&gt;""),--ISNUMBER(SEARCH($X$4,'Final Calculation Sheet'!$W$39)))))</f>
        <v/>
      </c>
      <c r="ED94">
        <f>IF($Y$4="",1,IF($Y$4="(blank)",--('Final Calculation Sheet'!$X$39=""),IF($Y$4="(nonblank)",--('Final Calculation Sheet'!$X$39&lt;&gt;""),--ISNUMBER(SEARCH($Y$4,'Final Calculation Sheet'!$X$39)))))</f>
        <v/>
      </c>
      <c r="EE94">
        <f>IF($Z$4="",1,IF($Z$4="(blank)",--('Final Calculation Sheet'!$Y$39=""),IF($Z$4="(nonblank)",--('Final Calculation Sheet'!$Y$39&lt;&gt;""),--ISNUMBER(SEARCH($Z$4,'Final Calculation Sheet'!$Y$39)))))</f>
        <v/>
      </c>
      <c r="EF94">
        <f>IF($AA$4="",1,IF($AA$4="(blank)",--('Final Calculation Sheet'!$Z$39=""),IF($AA$4="(nonblank)",--('Final Calculation Sheet'!$Z$39&lt;&gt;""),--ISNUMBER(SEARCH($AA$4,'Final Calculation Sheet'!$Z$39)))))</f>
        <v/>
      </c>
      <c r="EG94">
        <f>IF($AB$4="",1,IF($AB$4="(blank)",--('Final Calculation Sheet'!$AA$39=""),IF($AB$4="(nonblank)",--('Final Calculation Sheet'!$AA$39&lt;&gt;""),--ISNUMBER(SEARCH($AB$4,'Final Calculation Sheet'!$AA$39)))))</f>
        <v/>
      </c>
      <c r="EH94">
        <f>IF($AC$4="",1,IF($AC$4="(blank)",--('Final Calculation Sheet'!$AB$39=""),IF($AC$4="(nonblank)",--('Final Calculation Sheet'!$AB$39&lt;&gt;""),--ISNUMBER(SEARCH($AC$4,'Final Calculation Sheet'!$AB$39)))))</f>
        <v/>
      </c>
      <c r="EI94">
        <f>IF($AD$4="",1,IF($AD$4="(blank)",--('Final Calculation Sheet'!$AC$39=""),IF($AD$4="(nonblank)",--('Final Calculation Sheet'!$AC$39&lt;&gt;""),--ISNUMBER(SEARCH($AD$4,'Final Calculation Sheet'!$AC$39)))))</f>
        <v/>
      </c>
      <c r="EJ94">
        <f>IF($AE$4="",1,IF($AE$4="(blank)",--('Final Calculation Sheet'!$AD$39=""),IF($AE$4="(nonblank)",--('Final Calculation Sheet'!$AD$39&lt;&gt;""),--ISNUMBER(SEARCH($AE$4,'Final Calculation Sheet'!$AD$39)))))</f>
        <v/>
      </c>
      <c r="EK94">
        <f>IF($AF$4="",1,IF($AF$4="(blank)",--(IF('Final Calculation Sheet'!$AD$39&lt;=5,"SETTLED","OUTSTANDING")=""),IF($AF$4="(nonblank)",--(IF('Final Calculation Sheet'!$AD$39&lt;=5,"SETTLED","OUTSTANDING")&lt;&gt;""),--ISNUMBER(SEARCH($AF$4,IF('Final Calculation Sheet'!$AD$39&lt;=5,"SETTLED","OUTSTANDING"))))))</f>
        <v/>
      </c>
      <c r="EL94">
        <f>IF($AG$4="",1,IF($AG$4="(blank)",--('Final Calculation Sheet'!$AF$39=""),IF($AG$4="(nonblank)",--('Final Calculation Sheet'!$AF$39&lt;&gt;""),--ISNUMBER(SEARCH($AG$4,'Final Calculation Sheet'!$AF$39)))))</f>
        <v/>
      </c>
      <c r="EM94">
        <f>IF($AH$4="",1,IF($AH$4="(blank)",--('Final Calculation Sheet'!$AG$39=""),IF($AH$4="(nonblank)",--('Final Calculation Sheet'!$AG$39&lt;&gt;""),--ISNUMBER(SEARCH($AH$4,'Final Calculation Sheet'!$AG$39)))))</f>
        <v/>
      </c>
      <c r="EN94">
        <f>IF($AI$4="",1,IF($AI$4="(blank)",--('Final Calculation Sheet'!$AH$39=""),IF($AI$4="(nonblank)",--('Final Calculation Sheet'!$AH$39&lt;&gt;""),--ISNUMBER(SEARCH($AI$4,'Final Calculation Sheet'!$AH$39)))))</f>
        <v/>
      </c>
    </row>
    <row r="95">
      <c r="AM95">
        <f>AM94+IF(AND(Lists!$O$42&lt;&gt;"",ISNUMBER(SEARCH($B$4,Lists!$O$42))),1,0)</f>
        <v/>
      </c>
      <c r="AN95">
        <f>IF(ROW()-56&gt;MAX($AM$57:$AM$95),"",INDEX(Lists!$O$4:$O$42,MATCH(ROW()-56,$AM$57:$AM$95,0)))</f>
        <v/>
      </c>
      <c r="AO95">
        <f>AO94+IF(AND(Lists!$T$42&lt;&gt;"",ISNUMBER(SEARCH($C$4,Lists!$T$42))),1,0)</f>
        <v/>
      </c>
      <c r="AP95">
        <f>IF(ROW()-56&gt;MAX($AO$57:$AO$95),"",INDEX(Lists!$T$4:$T$42,MATCH(ROW()-56,$AO$57:$AO$95,0)))</f>
        <v/>
      </c>
      <c r="AQ95">
        <f>AQ94+IF(AND(Lists!$Y$42&lt;&gt;"",ISNUMBER(SEARCH($D$4,Lists!$Y$42))),1,0)</f>
        <v/>
      </c>
      <c r="AR95">
        <f>IF(ROW()-56&gt;MAX($AQ$57:$AQ$95),"",INDEX(Lists!$Y$4:$Y$42,MATCH(ROW()-56,$AQ$57:$AQ$95,0)))</f>
        <v/>
      </c>
      <c r="AS95">
        <f>AS94+IF(AND(Lists!$AD$42&lt;&gt;"",ISNUMBER(SEARCH($E$4,Lists!$AD$42))),1,0)</f>
        <v/>
      </c>
      <c r="AT95">
        <f>IF(ROW()-56&gt;MAX($AS$57:$AS$95),"",INDEX(Lists!$AD$4:$AD$42,MATCH(ROW()-56,$AS$57:$AS$95,0)))</f>
        <v/>
      </c>
      <c r="AU95">
        <f>AU94+IF(AND(Lists!$AI$42&lt;&gt;"",ISNUMBER(SEARCH($F$4,Lists!$AI$42))),1,0)</f>
        <v/>
      </c>
      <c r="AV95">
        <f>IF(ROW()-56&gt;MAX($AU$57:$AU$95),"",INDEX(Lists!$AI$4:$AI$42,MATCH(ROW()-56,$AU$57:$AU$95,0)))</f>
        <v/>
      </c>
      <c r="AW95">
        <f>AW94+IF(AND(Lists!$AN$42&lt;&gt;"",ISNUMBER(SEARCH($G$4,Lists!$AN$42))),1,0)</f>
        <v/>
      </c>
      <c r="AX95">
        <f>IF(ROW()-56&gt;MAX($AW$57:$AW$95),"",INDEX(Lists!$AN$4:$AN$42,MATCH(ROW()-56,$AW$57:$AW$95,0)))</f>
        <v/>
      </c>
      <c r="AY95">
        <f>AY94+IF(AND(Lists!$AS$42&lt;&gt;"",ISNUMBER(SEARCH($H$4,Lists!$AS$42))),1,0)</f>
        <v/>
      </c>
      <c r="AZ95">
        <f>IF(ROW()-56&gt;MAX($AY$57:$AY$95),"",INDEX(Lists!$AS$4:$AS$42,MATCH(ROW()-56,$AY$57:$AY$95,0)))</f>
        <v/>
      </c>
      <c r="BA95">
        <f>BA94+IF(AND(Lists!$AX$42&lt;&gt;"",ISNUMBER(SEARCH($I$4,Lists!$AX$42))),1,0)</f>
        <v/>
      </c>
      <c r="BB95">
        <f>IF(ROW()-56&gt;MAX($BA$57:$BA$95),"",INDEX(Lists!$AX$4:$AX$42,MATCH(ROW()-56,$BA$57:$BA$95,0)))</f>
        <v/>
      </c>
      <c r="BC95">
        <f>BC94+IF(AND(Lists!$BC$42&lt;&gt;"",ISNUMBER(SEARCH($J$4,Lists!$BC$42))),1,0)</f>
        <v/>
      </c>
      <c r="BD95">
        <f>IF(ROW()-56&gt;MAX($BC$57:$BC$95),"",INDEX(Lists!$BC$4:$BC$42,MATCH(ROW()-56,$BC$57:$BC$95,0)))</f>
        <v/>
      </c>
      <c r="BE95">
        <f>BE94+IF(AND(Lists!$BH$42&lt;&gt;"",ISNUMBER(SEARCH($K$4,Lists!$BH$42))),1,0)</f>
        <v/>
      </c>
      <c r="BF95">
        <f>IF(ROW()-56&gt;MAX($BE$57:$BE$95),"",INDEX(Lists!$BH$4:$BH$42,MATCH(ROW()-56,$BE$57:$BE$95,0)))</f>
        <v/>
      </c>
      <c r="BG95">
        <f>BG94+IF(AND(Lists!$BM$42&lt;&gt;"",ISNUMBER(SEARCH($L$4,Lists!$BM$42))),1,0)</f>
        <v/>
      </c>
      <c r="BH95">
        <f>IF(ROW()-56&gt;MAX($BG$57:$BG$95),"",INDEX(Lists!$BM$4:$BM$42,MATCH(ROW()-56,$BG$57:$BG$95,0)))</f>
        <v/>
      </c>
      <c r="BI95">
        <f>BI94+IF(AND(Lists!$BR$42&lt;&gt;"",ISNUMBER(SEARCH($M$4,Lists!$BR$42))),1,0)</f>
        <v/>
      </c>
      <c r="BJ95">
        <f>IF(ROW()-56&gt;MAX($BI$57:$BI$95),"",INDEX(Lists!$BR$4:$BR$42,MATCH(ROW()-56,$BI$57:$BI$95,0)))</f>
        <v/>
      </c>
      <c r="BK95">
        <f>BK94+IF(AND(Lists!$BW$42&lt;&gt;"",ISNUMBER(SEARCH($N$4,Lists!$BW$42))),1,0)</f>
        <v/>
      </c>
      <c r="BL95">
        <f>IF(ROW()-56&gt;MAX($BK$57:$BK$95),"",INDEX(Lists!$BW$4:$BW$42,MATCH(ROW()-56,$BK$57:$BK$95,0)))</f>
        <v/>
      </c>
      <c r="BM95">
        <f>BM94+IF(AND(Lists!$CB$42&lt;&gt;"",ISNUMBER(SEARCH($O$4,Lists!$CB$42))),1,0)</f>
        <v/>
      </c>
      <c r="BN95">
        <f>IF(ROW()-56&gt;MAX($BM$57:$BM$95),"",INDEX(Lists!$CB$4:$CB$42,MATCH(ROW()-56,$BM$57:$BM$95,0)))</f>
        <v/>
      </c>
      <c r="BO95">
        <f>BO94+IF(AND(Lists!$CG$42&lt;&gt;"",ISNUMBER(SEARCH($P$4,Lists!$CG$42))),1,0)</f>
        <v/>
      </c>
      <c r="BP95">
        <f>IF(ROW()-56&gt;MAX($BO$57:$BO$95),"",INDEX(Lists!$CG$4:$CG$42,MATCH(ROW()-56,$BO$57:$BO$95,0)))</f>
        <v/>
      </c>
      <c r="BQ95">
        <f>BQ94+IF(AND(Lists!$CL$42&lt;&gt;"",ISNUMBER(SEARCH($Q$4,Lists!$CL$42))),1,0)</f>
        <v/>
      </c>
      <c r="BR95">
        <f>IF(ROW()-56&gt;MAX($BQ$57:$BQ$95),"",INDEX(Lists!$CL$4:$CL$42,MATCH(ROW()-56,$BQ$57:$BQ$95,0)))</f>
        <v/>
      </c>
      <c r="BS95">
        <f>BS94+IF(AND(Lists!$CQ$42&lt;&gt;"",ISNUMBER(SEARCH($R$4,Lists!$CQ$42))),1,0)</f>
        <v/>
      </c>
      <c r="BT95">
        <f>IF(ROW()-56&gt;MAX($BS$57:$BS$95),"",INDEX(Lists!$CQ$4:$CQ$42,MATCH(ROW()-56,$BS$57:$BS$95,0)))</f>
        <v/>
      </c>
      <c r="BU95">
        <f>BU94+IF(AND(Lists!$CV$42&lt;&gt;"",ISNUMBER(SEARCH($S$4,Lists!$CV$42))),1,0)</f>
        <v/>
      </c>
      <c r="BV95">
        <f>IF(ROW()-56&gt;MAX($BU$57:$BU$95),"",INDEX(Lists!$CV$4:$CV$42,MATCH(ROW()-56,$BU$57:$BU$95,0)))</f>
        <v/>
      </c>
      <c r="BW95">
        <f>BW94+IF(AND(Lists!$DA$42&lt;&gt;"",ISNUMBER(SEARCH($T$4,Lists!$DA$42))),1,0)</f>
        <v/>
      </c>
      <c r="BX95">
        <f>IF(ROW()-56&gt;MAX($BW$57:$BW$95),"",INDEX(Lists!$DA$4:$DA$42,MATCH(ROW()-56,$BW$57:$BW$95,0)))</f>
        <v/>
      </c>
      <c r="BY95">
        <f>BY94+IF(AND(Lists!$DF$42&lt;&gt;"",ISNUMBER(SEARCH($U$4,Lists!$DF$42))),1,0)</f>
        <v/>
      </c>
      <c r="BZ95">
        <f>IF(ROW()-56&gt;MAX($BY$57:$BY$95),"",INDEX(Lists!$DF$4:$DF$42,MATCH(ROW()-56,$BY$57:$BY$95,0)))</f>
        <v/>
      </c>
      <c r="CA95">
        <f>CA94+IF(AND(Lists!$DK$42&lt;&gt;"",ISNUMBER(SEARCH($V$4,Lists!$DK$42))),1,0)</f>
        <v/>
      </c>
      <c r="CB95">
        <f>IF(ROW()-56&gt;MAX($CA$57:$CA$95),"",INDEX(Lists!$DK$4:$DK$42,MATCH(ROW()-56,$CA$57:$CA$95,0)))</f>
        <v/>
      </c>
      <c r="CC95">
        <f>CC94+IF(AND(Lists!$DP$42&lt;&gt;"",ISNUMBER(SEARCH($W$4,Lists!$DP$42))),1,0)</f>
        <v/>
      </c>
      <c r="CD95">
        <f>IF(ROW()-56&gt;MAX($CC$57:$CC$95),"",INDEX(Lists!$DP$4:$DP$42,MATCH(ROW()-56,$CC$57:$CC$95,0)))</f>
        <v/>
      </c>
      <c r="CE95">
        <f>CE94+IF(AND(Lists!$DU$42&lt;&gt;"",ISNUMBER(SEARCH($X$4,Lists!$DU$42))),1,0)</f>
        <v/>
      </c>
      <c r="CF95">
        <f>IF(ROW()-56&gt;MAX($CE$57:$CE$95),"",INDEX(Lists!$DU$4:$DU$42,MATCH(ROW()-56,$CE$57:$CE$95,0)))</f>
        <v/>
      </c>
      <c r="CG95">
        <f>CG94+IF(AND(Lists!$DZ$42&lt;&gt;"",ISNUMBER(SEARCH($Y$4,Lists!$DZ$42))),1,0)</f>
        <v/>
      </c>
      <c r="CH95">
        <f>IF(ROW()-56&gt;MAX($CG$57:$CG$95),"",INDEX(Lists!$DZ$4:$DZ$42,MATCH(ROW()-56,$CG$57:$CG$95,0)))</f>
        <v/>
      </c>
      <c r="CI95">
        <f>CI94+IF(AND(Lists!$EE$42&lt;&gt;"",ISNUMBER(SEARCH($Z$4,Lists!$EE$42))),1,0)</f>
        <v/>
      </c>
      <c r="CJ95">
        <f>IF(ROW()-56&gt;MAX($CI$57:$CI$95),"",INDEX(Lists!$EE$4:$EE$42,MATCH(ROW()-56,$CI$57:$CI$95,0)))</f>
        <v/>
      </c>
      <c r="CK95">
        <f>CK94+IF(AND(Lists!$EJ$42&lt;&gt;"",ISNUMBER(SEARCH($AA$4,Lists!$EJ$42))),1,0)</f>
        <v/>
      </c>
      <c r="CL95">
        <f>IF(ROW()-56&gt;MAX($CK$57:$CK$95),"",INDEX(Lists!$EJ$4:$EJ$42,MATCH(ROW()-56,$CK$57:$CK$95,0)))</f>
        <v/>
      </c>
      <c r="CM95">
        <f>CM94+IF(AND(Lists!$EO$42&lt;&gt;"",ISNUMBER(SEARCH($AB$4,Lists!$EO$42))),1,0)</f>
        <v/>
      </c>
      <c r="CN95">
        <f>IF(ROW()-56&gt;MAX($CM$57:$CM$95),"",INDEX(Lists!$EO$4:$EO$42,MATCH(ROW()-56,$CM$57:$CM$95,0)))</f>
        <v/>
      </c>
      <c r="CO95">
        <f>CO94+IF(AND(Lists!$ET$42&lt;&gt;"",ISNUMBER(SEARCH($AC$4,Lists!$ET$42))),1,0)</f>
        <v/>
      </c>
      <c r="CP95">
        <f>IF(ROW()-56&gt;MAX($CO$57:$CO$95),"",INDEX(Lists!$ET$4:$ET$42,MATCH(ROW()-56,$CO$57:$CO$95,0)))</f>
        <v/>
      </c>
      <c r="CQ95">
        <f>CQ94+IF(AND(Lists!$EY$42&lt;&gt;"",ISNUMBER(SEARCH($AD$4,Lists!$EY$42))),1,0)</f>
        <v/>
      </c>
      <c r="CR95">
        <f>IF(ROW()-56&gt;MAX($CQ$57:$CQ$95),"",INDEX(Lists!$EY$4:$EY$42,MATCH(ROW()-56,$CQ$57:$CQ$95,0)))</f>
        <v/>
      </c>
      <c r="CS95">
        <f>CS94+IF(AND(Lists!$FD$42&lt;&gt;"",ISNUMBER(SEARCH($AE$4,Lists!$FD$42))),1,0)</f>
        <v/>
      </c>
      <c r="CT95">
        <f>IF(ROW()-56&gt;MAX($CS$57:$CS$95),"",INDEX(Lists!$FD$4:$FD$42,MATCH(ROW()-56,$CS$57:$CS$95,0)))</f>
        <v/>
      </c>
      <c r="CU95">
        <f>CU94+IF(AND(Lists!$FI$42&lt;&gt;"",ISNUMBER(SEARCH($AG$4,Lists!$FI$42))),1,0)</f>
        <v/>
      </c>
      <c r="CV95">
        <f>IF(ROW()-56&gt;MAX($CU$57:$CU$95),"",INDEX(Lists!$FI$4:$FI$42,MATCH(ROW()-56,$CU$57:$CU$95,0)))</f>
        <v/>
      </c>
      <c r="CW95">
        <f>CW94+IF(AND(Lists!$FN$42&lt;&gt;"",ISNUMBER(SEARCH($AH$4,Lists!$FN$42))),1,0)</f>
        <v/>
      </c>
      <c r="CX95">
        <f>IF(ROW()-56&gt;MAX($CW$57:$CW$95),"",INDEX(Lists!$FN$4:$FN$42,MATCH(ROW()-56,$CW$57:$CW$95,0)))</f>
        <v/>
      </c>
      <c r="CY95">
        <f>CY94+IF(AND(Lists!$FS$42&lt;&gt;"",ISNUMBER(SEARCH($AI$4,Lists!$FS$42))),1,0)</f>
        <v/>
      </c>
      <c r="CZ95">
        <f>IF(ROW()-56&gt;MAX($CY$57:$CY$95),"",INDEX(Lists!$FS$4:$FS$42,MATCH(ROW()-56,$CY$57:$CY$95,0)))</f>
        <v/>
      </c>
      <c r="DA95">
        <f>DA94+IF(AND(Lists!$FX$42&lt;&gt;"",ISNUMBER(SEARCH($AF$4,Lists!$FX$42))),1,0)</f>
        <v/>
      </c>
      <c r="DB95">
        <f>IF(ROW()-56&gt;MAX($DA$57:$DA$95),"",INDEX(Lists!$FX$4:$FX$42,MATCH(ROW()-56,$DA$57:$DA$95,0)))</f>
        <v/>
      </c>
      <c r="DG95">
        <f>IF($B$4="",1,IF($B$4="(blank)",--('Final Calculation Sheet'!$F$40=""),IF($B$4="(nonblank)",--('Final Calculation Sheet'!$F$40&lt;&gt;""),--ISNUMBER(SEARCH($B$4,'Final Calculation Sheet'!$F$40)))))</f>
        <v/>
      </c>
      <c r="DH95">
        <f>IF($C$4="",1,IF($C$4="(blank)",--('Final Calculation Sheet'!$G$40=""),IF($C$4="(nonblank)",--('Final Calculation Sheet'!$G$40&lt;&gt;""),--ISNUMBER(SEARCH($C$4,'Final Calculation Sheet'!$G$40)))))</f>
        <v/>
      </c>
      <c r="DI95">
        <f>IF($D$4="",1,IF($D$4="(blank)",--('Final Calculation Sheet'!$B$40=""),IF($D$4="(nonblank)",--('Final Calculation Sheet'!$B$40&lt;&gt;""),--ISNUMBER(SEARCH($D$4,'Final Calculation Sheet'!$B$40)))))</f>
        <v/>
      </c>
      <c r="DJ95">
        <f>IF($E$4="",1,IF($E$4="(blank)",--('Final Calculation Sheet'!$D$40=""),IF($E$4="(nonblank)",--('Final Calculation Sheet'!$D$40&lt;&gt;""),--ISNUMBER(SEARCH($E$4,'Final Calculation Sheet'!$D$40)))))</f>
        <v/>
      </c>
      <c r="DK95">
        <f>IF($F$4="",1,IF($F$4="(blank)",--('Final Calculation Sheet'!$A$40=""),IF($F$4="(nonblank)",--('Final Calculation Sheet'!$A$40&lt;&gt;""),--ISNUMBER(SEARCH($F$4,'Final Calculation Sheet'!$A$40)))))</f>
        <v/>
      </c>
      <c r="DL95">
        <f>IF($G$4="",1,IF($G$4="(blank)",--('Final Calculation Sheet'!$E$40=""),IF($G$4="(nonblank)",--('Final Calculation Sheet'!$E$40&lt;&gt;""),--ISNUMBER(SEARCH($G$4,'Final Calculation Sheet'!$E$40)))))</f>
        <v/>
      </c>
      <c r="DM95">
        <f>IF($H$4="",1,IF($H$4="(blank)",--('Final Calculation Sheet'!$C$40=""),IF($H$4="(nonblank)",--('Final Calculation Sheet'!$C$40&lt;&gt;""),--ISNUMBER(SEARCH($H$4,'Final Calculation Sheet'!$C$40)))))</f>
        <v/>
      </c>
      <c r="DN95">
        <f>IF($I$4="",1,IF($I$4="(blank)",--('Final Calculation Sheet'!$H$40=""),IF($I$4="(nonblank)",--('Final Calculation Sheet'!$H$40&lt;&gt;""),--ISNUMBER(SEARCH($I$4,'Final Calculation Sheet'!$H$40)))))</f>
        <v/>
      </c>
      <c r="DO95">
        <f>IF($J$4="",1,IF($J$4="(blank)",--('Final Calculation Sheet'!$I$40=""),IF($J$4="(nonblank)",--('Final Calculation Sheet'!$I$40&lt;&gt;""),--ISNUMBER(SEARCH($J$4,'Final Calculation Sheet'!$I$40)))))</f>
        <v/>
      </c>
      <c r="DP95">
        <f>IF($K$4="",1,IF($K$4="(blank)",--('Final Calculation Sheet'!$J$40=""),IF($K$4="(nonblank)",--('Final Calculation Sheet'!$J$40&lt;&gt;""),--ISNUMBER(SEARCH($K$4,'Final Calculation Sheet'!$J$40)))))</f>
        <v/>
      </c>
      <c r="DQ95">
        <f>IF($L$4="",1,IF($L$4="(blank)",--('Final Calculation Sheet'!$K$40=""),IF($L$4="(nonblank)",--('Final Calculation Sheet'!$K$40&lt;&gt;""),--ISNUMBER(SEARCH($L$4,'Final Calculation Sheet'!$K$40)))))</f>
        <v/>
      </c>
      <c r="DR95">
        <f>IF($M$4="",1,IF($M$4="(blank)",--('Final Calculation Sheet'!$L$40=""),IF($M$4="(nonblank)",--('Final Calculation Sheet'!$L$40&lt;&gt;""),--ISNUMBER(SEARCH($M$4,'Final Calculation Sheet'!$L$40)))))</f>
        <v/>
      </c>
      <c r="DS95">
        <f>IF($N$4="",1,IF($N$4="(blank)",--('Final Calculation Sheet'!$M$40=""),IF($N$4="(nonblank)",--('Final Calculation Sheet'!$M$40&lt;&gt;""),--ISNUMBER(SEARCH($N$4,'Final Calculation Sheet'!$M$40)))))</f>
        <v/>
      </c>
      <c r="DT95">
        <f>IF($O$4="",1,IF($O$4="(blank)",--('Final Calculation Sheet'!$N$40=""),IF($O$4="(nonblank)",--('Final Calculation Sheet'!$N$40&lt;&gt;""),--ISNUMBER(SEARCH($O$4,'Final Calculation Sheet'!$N$40)))))</f>
        <v/>
      </c>
      <c r="DU95">
        <f>IF($P$4="",1,IF($P$4="(blank)",--('Final Calculation Sheet'!$O$40=""),IF($P$4="(nonblank)",--('Final Calculation Sheet'!$O$40&lt;&gt;""),--ISNUMBER(SEARCH($P$4,'Final Calculation Sheet'!$O$40)))))</f>
        <v/>
      </c>
      <c r="DV95">
        <f>IF($Q$4="",1,IF($Q$4="(blank)",--('Final Calculation Sheet'!$P$40=""),IF($Q$4="(nonblank)",--('Final Calculation Sheet'!$P$40&lt;&gt;""),--ISNUMBER(SEARCH($Q$4,'Final Calculation Sheet'!$P$40)))))</f>
        <v/>
      </c>
      <c r="DW95">
        <f>IF($R$4="",1,IF($R$4="(blank)",--('Final Calculation Sheet'!$Q$40=""),IF($R$4="(nonblank)",--('Final Calculation Sheet'!$Q$40&lt;&gt;""),--ISNUMBER(SEARCH($R$4,'Final Calculation Sheet'!$Q$40)))))</f>
        <v/>
      </c>
      <c r="DX95">
        <f>IF($S$4="",1,IF($S$4="(blank)",--('Final Calculation Sheet'!$R$40=""),IF($S$4="(nonblank)",--('Final Calculation Sheet'!$R$40&lt;&gt;""),--ISNUMBER(SEARCH($S$4,'Final Calculation Sheet'!$R$40)))))</f>
        <v/>
      </c>
      <c r="DY95">
        <f>IF($T$4="",1,IF($T$4="(blank)",--('Final Calculation Sheet'!$S$40=""),IF($T$4="(nonblank)",--('Final Calculation Sheet'!$S$40&lt;&gt;""),--ISNUMBER(SEARCH($T$4,'Final Calculation Sheet'!$S$40)))))</f>
        <v/>
      </c>
      <c r="DZ95">
        <f>IF($U$4="",1,IF($U$4="(blank)",--('Final Calculation Sheet'!$T$40=""),IF($U$4="(nonblank)",--('Final Calculation Sheet'!$T$40&lt;&gt;""),--ISNUMBER(SEARCH($U$4,'Final Calculation Sheet'!$T$40)))))</f>
        <v/>
      </c>
      <c r="EA95">
        <f>IF($V$4="",1,IF($V$4="(blank)",--('Final Calculation Sheet'!$U$40=""),IF($V$4="(nonblank)",--('Final Calculation Sheet'!$U$40&lt;&gt;""),--ISNUMBER(SEARCH($V$4,'Final Calculation Sheet'!$U$40)))))</f>
        <v/>
      </c>
      <c r="EB95">
        <f>IF($W$4="",1,IF($W$4="(blank)",--('Final Calculation Sheet'!$V$40=""),IF($W$4="(nonblank)",--('Final Calculation Sheet'!$V$40&lt;&gt;""),--ISNUMBER(SEARCH($W$4,'Final Calculation Sheet'!$V$40)))))</f>
        <v/>
      </c>
      <c r="EC95">
        <f>IF($X$4="",1,IF($X$4="(blank)",--('Final Calculation Sheet'!$W$40=""),IF($X$4="(nonblank)",--('Final Calculation Sheet'!$W$40&lt;&gt;""),--ISNUMBER(SEARCH($X$4,'Final Calculation Sheet'!$W$40)))))</f>
        <v/>
      </c>
      <c r="ED95">
        <f>IF($Y$4="",1,IF($Y$4="(blank)",--('Final Calculation Sheet'!$X$40=""),IF($Y$4="(nonblank)",--('Final Calculation Sheet'!$X$40&lt;&gt;""),--ISNUMBER(SEARCH($Y$4,'Final Calculation Sheet'!$X$40)))))</f>
        <v/>
      </c>
      <c r="EE95">
        <f>IF($Z$4="",1,IF($Z$4="(blank)",--('Final Calculation Sheet'!$Y$40=""),IF($Z$4="(nonblank)",--('Final Calculation Sheet'!$Y$40&lt;&gt;""),--ISNUMBER(SEARCH($Z$4,'Final Calculation Sheet'!$Y$40)))))</f>
        <v/>
      </c>
      <c r="EF95">
        <f>IF($AA$4="",1,IF($AA$4="(blank)",--('Final Calculation Sheet'!$Z$40=""),IF($AA$4="(nonblank)",--('Final Calculation Sheet'!$Z$40&lt;&gt;""),--ISNUMBER(SEARCH($AA$4,'Final Calculation Sheet'!$Z$40)))))</f>
        <v/>
      </c>
      <c r="EG95">
        <f>IF($AB$4="",1,IF($AB$4="(blank)",--('Final Calculation Sheet'!$AA$40=""),IF($AB$4="(nonblank)",--('Final Calculation Sheet'!$AA$40&lt;&gt;""),--ISNUMBER(SEARCH($AB$4,'Final Calculation Sheet'!$AA$40)))))</f>
        <v/>
      </c>
      <c r="EH95">
        <f>IF($AC$4="",1,IF($AC$4="(blank)",--('Final Calculation Sheet'!$AB$40=""),IF($AC$4="(nonblank)",--('Final Calculation Sheet'!$AB$40&lt;&gt;""),--ISNUMBER(SEARCH($AC$4,'Final Calculation Sheet'!$AB$40)))))</f>
        <v/>
      </c>
      <c r="EI95">
        <f>IF($AD$4="",1,IF($AD$4="(blank)",--('Final Calculation Sheet'!$AC$40=""),IF($AD$4="(nonblank)",--('Final Calculation Sheet'!$AC$40&lt;&gt;""),--ISNUMBER(SEARCH($AD$4,'Final Calculation Sheet'!$AC$40)))))</f>
        <v/>
      </c>
      <c r="EJ95">
        <f>IF($AE$4="",1,IF($AE$4="(blank)",--('Final Calculation Sheet'!$AD$40=""),IF($AE$4="(nonblank)",--('Final Calculation Sheet'!$AD$40&lt;&gt;""),--ISNUMBER(SEARCH($AE$4,'Final Calculation Sheet'!$AD$40)))))</f>
        <v/>
      </c>
      <c r="EK95">
        <f>IF($AF$4="",1,IF($AF$4="(blank)",--(IF('Final Calculation Sheet'!$AD$40&lt;=5,"SETTLED","OUTSTANDING")=""),IF($AF$4="(nonblank)",--(IF('Final Calculation Sheet'!$AD$40&lt;=5,"SETTLED","OUTSTANDING")&lt;&gt;""),--ISNUMBER(SEARCH($AF$4,IF('Final Calculation Sheet'!$AD$40&lt;=5,"SETTLED","OUTSTANDING"))))))</f>
        <v/>
      </c>
      <c r="EL95">
        <f>IF($AG$4="",1,IF($AG$4="(blank)",--('Final Calculation Sheet'!$AF$40=""),IF($AG$4="(nonblank)",--('Final Calculation Sheet'!$AF$40&lt;&gt;""),--ISNUMBER(SEARCH($AG$4,'Final Calculation Sheet'!$AF$40)))))</f>
        <v/>
      </c>
      <c r="EM95">
        <f>IF($AH$4="",1,IF($AH$4="(blank)",--('Final Calculation Sheet'!$AG$40=""),IF($AH$4="(nonblank)",--('Final Calculation Sheet'!$AG$40&lt;&gt;""),--ISNUMBER(SEARCH($AH$4,'Final Calculation Sheet'!$AG$40)))))</f>
        <v/>
      </c>
      <c r="EN95">
        <f>IF($AI$4="",1,IF($AI$4="(blank)",--('Final Calculation Sheet'!$AH$40=""),IF($AI$4="(nonblank)",--('Final Calculation Sheet'!$AH$40&lt;&gt;""),--ISNUMBER(SEARCH($AI$4,'Final Calculation Sheet'!$AH$40)))))</f>
        <v/>
      </c>
    </row>
  </sheetData>
  <mergeCells count="2">
    <mergeCell ref="A2:AI2"/>
    <mergeCell ref="A1:AI1"/>
  </mergeCells>
  <conditionalFormatting sqref="A7:AI58">
    <cfRule type="expression" priority="1" dxfId="50">
      <formula>AND(ISNUMBER($A7),$B7&lt;&gt;"",COUNTIF($B$4:$AI$4,"&lt;&gt;")&gt;0,$AJ7=0)</formula>
    </cfRule>
  </conditionalFormatting>
  <conditionalFormatting sqref="AE7:AE58">
    <cfRule type="cellIs" priority="2" operator="greaterThan" dxfId="0">
      <formula>5</formula>
    </cfRule>
  </conditionalFormatting>
  <conditionalFormatting sqref="AF7:AF58">
    <cfRule type="cellIs" priority="3" operator="equal" dxfId="2">
      <formula>"SETTLED"</formula>
    </cfRule>
    <cfRule type="cellIs" priority="4" operator="equal" dxfId="0">
      <formula>"OUTSTANDING"</formula>
    </cfRule>
  </conditionalFormatting>
  <conditionalFormatting sqref="B7:B56">
    <cfRule type="expression" priority="5" dxfId="3">
      <formula>AND(ISNUMBER($A7),$B$4&lt;&gt;"",IF($B$4="(blank)",B7="",IF($B$4="(nonblank)",B7&lt;&gt;"",ISNUMBER(SEARCH($B$4,B7)))))</formula>
    </cfRule>
  </conditionalFormatting>
  <conditionalFormatting sqref="C7:C56">
    <cfRule type="expression" priority="6" dxfId="3">
      <formula>AND(ISNUMBER($A7),$C$4&lt;&gt;"",IF($C$4="(blank)",C7="",IF($C$4="(nonblank)",C7&lt;&gt;"",ISNUMBER(SEARCH($C$4,C7)))))</formula>
    </cfRule>
  </conditionalFormatting>
  <conditionalFormatting sqref="D7:D56">
    <cfRule type="expression" priority="7" dxfId="3">
      <formula>AND(ISNUMBER($A7),$D$4&lt;&gt;"",IF($D$4="(blank)",D7="",IF($D$4="(nonblank)",D7&lt;&gt;"",ISNUMBER(SEARCH($D$4,D7)))))</formula>
    </cfRule>
  </conditionalFormatting>
  <conditionalFormatting sqref="E7:E56">
    <cfRule type="expression" priority="8" dxfId="3">
      <formula>AND(ISNUMBER($A7),$E$4&lt;&gt;"",IF($E$4="(blank)",E7="",IF($E$4="(nonblank)",E7&lt;&gt;"",ISNUMBER(SEARCH($E$4,E7)))))</formula>
    </cfRule>
  </conditionalFormatting>
  <conditionalFormatting sqref="F7:F56">
    <cfRule type="expression" priority="9" dxfId="3">
      <formula>AND(ISNUMBER($A7),$F$4&lt;&gt;"",IF($F$4="(blank)",F7="",IF($F$4="(nonblank)",F7&lt;&gt;"",ISNUMBER(SEARCH($F$4,F7)))))</formula>
    </cfRule>
  </conditionalFormatting>
  <conditionalFormatting sqref="G7:G56">
    <cfRule type="expression" priority="10" dxfId="3">
      <formula>AND(ISNUMBER($A7),$G$4&lt;&gt;"",IF($G$4="(blank)",G7="",IF($G$4="(nonblank)",G7&lt;&gt;"",ISNUMBER(SEARCH($G$4,G7)))))</formula>
    </cfRule>
  </conditionalFormatting>
  <conditionalFormatting sqref="H7:H56">
    <cfRule type="expression" priority="11" dxfId="3">
      <formula>AND(ISNUMBER($A7),$H$4&lt;&gt;"",IF($H$4="(blank)",H7="",IF($H$4="(nonblank)",H7&lt;&gt;"",ISNUMBER(SEARCH($H$4,H7)))))</formula>
    </cfRule>
  </conditionalFormatting>
  <conditionalFormatting sqref="I7:I56">
    <cfRule type="expression" priority="12" dxfId="3">
      <formula>AND(ISNUMBER($A7),$I$4&lt;&gt;"",IF($I$4="(blank)",I7="",IF($I$4="(nonblank)",I7&lt;&gt;"",ISNUMBER(SEARCH($I$4,I7)))))</formula>
    </cfRule>
  </conditionalFormatting>
  <conditionalFormatting sqref="J7:J56">
    <cfRule type="expression" priority="13" dxfId="3">
      <formula>AND(ISNUMBER($A7),$J$4&lt;&gt;"",IF($J$4="(blank)",J7="",IF($J$4="(nonblank)",J7&lt;&gt;"",ISNUMBER(SEARCH($J$4,J7)))))</formula>
    </cfRule>
  </conditionalFormatting>
  <conditionalFormatting sqref="K7:K56">
    <cfRule type="expression" priority="14" dxfId="3">
      <formula>AND(ISNUMBER($A7),$K$4&lt;&gt;"",IF($K$4="(blank)",K7="",IF($K$4="(nonblank)",K7&lt;&gt;"",ISNUMBER(SEARCH($K$4,K7)))))</formula>
    </cfRule>
  </conditionalFormatting>
  <conditionalFormatting sqref="L7:L56">
    <cfRule type="expression" priority="15" dxfId="3">
      <formula>AND(ISNUMBER($A7),$L$4&lt;&gt;"",IF($L$4="(blank)",L7="",IF($L$4="(nonblank)",L7&lt;&gt;"",ISNUMBER(SEARCH($L$4,L7)))))</formula>
    </cfRule>
  </conditionalFormatting>
  <conditionalFormatting sqref="M7:M56">
    <cfRule type="expression" priority="16" dxfId="3">
      <formula>AND(ISNUMBER($A7),$M$4&lt;&gt;"",IF($M$4="(blank)",M7="",IF($M$4="(nonblank)",M7&lt;&gt;"",ISNUMBER(SEARCH($M$4,M7)))))</formula>
    </cfRule>
  </conditionalFormatting>
  <conditionalFormatting sqref="N7:N56">
    <cfRule type="expression" priority="17" dxfId="3">
      <formula>AND(ISNUMBER($A7),$N$4&lt;&gt;"",IF($N$4="(blank)",N7="",IF($N$4="(nonblank)",N7&lt;&gt;"",ISNUMBER(SEARCH($N$4,N7)))))</formula>
    </cfRule>
  </conditionalFormatting>
  <conditionalFormatting sqref="O7:O56">
    <cfRule type="expression" priority="18" dxfId="3">
      <formula>AND(ISNUMBER($A7),$O$4&lt;&gt;"",IF($O$4="(blank)",O7="",IF($O$4="(nonblank)",O7&lt;&gt;"",ISNUMBER(SEARCH($O$4,O7)))))</formula>
    </cfRule>
  </conditionalFormatting>
  <conditionalFormatting sqref="P7:P56">
    <cfRule type="expression" priority="19" dxfId="3">
      <formula>AND(ISNUMBER($A7),$P$4&lt;&gt;"",IF($P$4="(blank)",P7="",IF($P$4="(nonblank)",P7&lt;&gt;"",ISNUMBER(SEARCH($P$4,P7)))))</formula>
    </cfRule>
  </conditionalFormatting>
  <conditionalFormatting sqref="Q7:Q56">
    <cfRule type="expression" priority="20" dxfId="3">
      <formula>AND(ISNUMBER($A7),$Q$4&lt;&gt;"",IF($Q$4="(blank)",Q7="",IF($Q$4="(nonblank)",Q7&lt;&gt;"",ISNUMBER(SEARCH($Q$4,Q7)))))</formula>
    </cfRule>
  </conditionalFormatting>
  <conditionalFormatting sqref="R7:R56">
    <cfRule type="expression" priority="21" dxfId="3">
      <formula>AND(ISNUMBER($A7),$R$4&lt;&gt;"",IF($R$4="(blank)",R7="",IF($R$4="(nonblank)",R7&lt;&gt;"",ISNUMBER(SEARCH($R$4,R7)))))</formula>
    </cfRule>
  </conditionalFormatting>
  <conditionalFormatting sqref="S7:S56">
    <cfRule type="expression" priority="22" dxfId="3">
      <formula>AND(ISNUMBER($A7),$S$4&lt;&gt;"",IF($S$4="(blank)",S7="",IF($S$4="(nonblank)",S7&lt;&gt;"",ISNUMBER(SEARCH($S$4,S7)))))</formula>
    </cfRule>
  </conditionalFormatting>
  <conditionalFormatting sqref="T7:T56">
    <cfRule type="expression" priority="23" dxfId="3">
      <formula>AND(ISNUMBER($A7),$T$4&lt;&gt;"",IF($T$4="(blank)",T7="",IF($T$4="(nonblank)",T7&lt;&gt;"",ISNUMBER(SEARCH($T$4,T7)))))</formula>
    </cfRule>
  </conditionalFormatting>
  <conditionalFormatting sqref="U7:U56">
    <cfRule type="expression" priority="24" dxfId="3">
      <formula>AND(ISNUMBER($A7),$U$4&lt;&gt;"",IF($U$4="(blank)",U7="",IF($U$4="(nonblank)",U7&lt;&gt;"",ISNUMBER(SEARCH($U$4,U7)))))</formula>
    </cfRule>
  </conditionalFormatting>
  <conditionalFormatting sqref="V7:V56">
    <cfRule type="expression" priority="25" dxfId="3">
      <formula>AND(ISNUMBER($A7),$V$4&lt;&gt;"",IF($V$4="(blank)",V7="",IF($V$4="(nonblank)",V7&lt;&gt;"",ISNUMBER(SEARCH($V$4,V7)))))</formula>
    </cfRule>
  </conditionalFormatting>
  <conditionalFormatting sqref="W7:W56">
    <cfRule type="expression" priority="26" dxfId="3">
      <formula>AND(ISNUMBER($A7),$W$4&lt;&gt;"",IF($W$4="(blank)",W7="",IF($W$4="(nonblank)",W7&lt;&gt;"",ISNUMBER(SEARCH($W$4,W7)))))</formula>
    </cfRule>
  </conditionalFormatting>
  <conditionalFormatting sqref="X7:X56">
    <cfRule type="expression" priority="27" dxfId="3">
      <formula>AND(ISNUMBER($A7),$X$4&lt;&gt;"",IF($X$4="(blank)",X7="",IF($X$4="(nonblank)",X7&lt;&gt;"",ISNUMBER(SEARCH($X$4,X7)))))</formula>
    </cfRule>
  </conditionalFormatting>
  <conditionalFormatting sqref="Y7:Y56">
    <cfRule type="expression" priority="28" dxfId="3">
      <formula>AND(ISNUMBER($A7),$Y$4&lt;&gt;"",IF($Y$4="(blank)",Y7="",IF($Y$4="(nonblank)",Y7&lt;&gt;"",ISNUMBER(SEARCH($Y$4,Y7)))))</formula>
    </cfRule>
  </conditionalFormatting>
  <conditionalFormatting sqref="Z7:Z56">
    <cfRule type="expression" priority="29" dxfId="3">
      <formula>AND(ISNUMBER($A7),$Z$4&lt;&gt;"",IF($Z$4="(blank)",Z7="",IF($Z$4="(nonblank)",Z7&lt;&gt;"",ISNUMBER(SEARCH($Z$4,Z7)))))</formula>
    </cfRule>
  </conditionalFormatting>
  <conditionalFormatting sqref="AA7:AA56">
    <cfRule type="expression" priority="30" dxfId="3">
      <formula>AND(ISNUMBER($A7),$AA$4&lt;&gt;"",IF($AA$4="(blank)",AA7="",IF($AA$4="(nonblank)",AA7&lt;&gt;"",ISNUMBER(SEARCH($AA$4,AA7)))))</formula>
    </cfRule>
  </conditionalFormatting>
  <conditionalFormatting sqref="AB7:AB56">
    <cfRule type="expression" priority="31" dxfId="3">
      <formula>AND(ISNUMBER($A7),$AB$4&lt;&gt;"",IF($AB$4="(blank)",AB7="",IF($AB$4="(nonblank)",AB7&lt;&gt;"",ISNUMBER(SEARCH($AB$4,AB7)))))</formula>
    </cfRule>
  </conditionalFormatting>
  <conditionalFormatting sqref="AC7:AC56">
    <cfRule type="expression" priority="32" dxfId="3">
      <formula>AND(ISNUMBER($A7),$AC$4&lt;&gt;"",IF($AC$4="(blank)",AC7="",IF($AC$4="(nonblank)",AC7&lt;&gt;"",ISNUMBER(SEARCH($AC$4,AC7)))))</formula>
    </cfRule>
  </conditionalFormatting>
  <conditionalFormatting sqref="AD7:AD56">
    <cfRule type="expression" priority="33" dxfId="3">
      <formula>AND(ISNUMBER($A7),$AD$4&lt;&gt;"",IF($AD$4="(blank)",AD7="",IF($AD$4="(nonblank)",AD7&lt;&gt;"",ISNUMBER(SEARCH($AD$4,AD7)))))</formula>
    </cfRule>
  </conditionalFormatting>
  <conditionalFormatting sqref="AE7:AE56">
    <cfRule type="expression" priority="34" dxfId="3">
      <formula>AND(ISNUMBER($A7),$AE$4&lt;&gt;"",IF($AE$4="(blank)",AE7="",IF($AE$4="(nonblank)",AE7&lt;&gt;"",ISNUMBER(SEARCH($AE$4,AE7)))))</formula>
    </cfRule>
  </conditionalFormatting>
  <conditionalFormatting sqref="AG7:AG56">
    <cfRule type="expression" priority="35" dxfId="3">
      <formula>AND(ISNUMBER($A7),$AG$4&lt;&gt;"",IF($AG$4="(blank)",AG7="",IF($AG$4="(nonblank)",AG7&lt;&gt;"",ISNUMBER(SEARCH($AG$4,AG7)))))</formula>
    </cfRule>
  </conditionalFormatting>
  <conditionalFormatting sqref="AH7:AH56">
    <cfRule type="expression" priority="36" dxfId="3">
      <formula>AND(ISNUMBER($A7),$AH$4&lt;&gt;"",IF($AH$4="(blank)",AH7="",IF($AH$4="(nonblank)",AH7&lt;&gt;"",ISNUMBER(SEARCH($AH$4,AH7)))))</formula>
    </cfRule>
  </conditionalFormatting>
  <conditionalFormatting sqref="AI7:AI56">
    <cfRule type="expression" priority="37" dxfId="3">
      <formula>AND(ISNUMBER($A7),$AI$4&lt;&gt;"",IF($AI$4="(blank)",AI7="",IF($AI$4="(nonblank)",AI7&lt;&gt;"",ISNUMBER(SEARCH($AI$4,AI7)))))</formula>
    </cfRule>
  </conditionalFormatting>
  <conditionalFormatting sqref="AF7:AF56">
    <cfRule type="expression" priority="38" dxfId="3">
      <formula>AND(ISNUMBER($A7),$AF$4&lt;&gt;"",IF($AF$4="(blank)",AF7="",IF($AF$4="(nonblank)",AF7&lt;&gt;"",ISNUMBER(SEARCH($AF$4,AF7)))))</formula>
    </cfRule>
  </conditionalFormatting>
  <dataValidations count="34">
    <dataValidation sqref="B4" showDropDown="0" showInputMessage="0" showErrorMessage="0" allowBlank="0" type="list">
      <formula1>SUGN_B</formula1>
      <formula2>0</formula2>
    </dataValidation>
    <dataValidation sqref="C4" showDropDown="0" showInputMessage="0" showErrorMessage="0" allowBlank="0" type="list">
      <formula1>SUGN_C</formula1>
      <formula2>0</formula2>
    </dataValidation>
    <dataValidation sqref="D4" showDropDown="0" showInputMessage="0" showErrorMessage="0" allowBlank="0" type="list">
      <formula1>SUGN_D</formula1>
      <formula2>0</formula2>
    </dataValidation>
    <dataValidation sqref="E4" showDropDown="0" showInputMessage="0" showErrorMessage="0" allowBlank="0" type="list">
      <formula1>SUGN_E</formula1>
      <formula2>0</formula2>
    </dataValidation>
    <dataValidation sqref="F4" showDropDown="0" showInputMessage="0" showErrorMessage="0" allowBlank="0" type="list">
      <formula1>SUGN_F</formula1>
      <formula2>0</formula2>
    </dataValidation>
    <dataValidation sqref="G4" showDropDown="0" showInputMessage="0" showErrorMessage="0" allowBlank="0" type="list">
      <formula1>SUGN_G</formula1>
      <formula2>0</formula2>
    </dataValidation>
    <dataValidation sqref="H4" showDropDown="0" showInputMessage="0" showErrorMessage="0" allowBlank="0" type="list">
      <formula1>SUGN_H</formula1>
      <formula2>0</formula2>
    </dataValidation>
    <dataValidation sqref="I4" showDropDown="0" showInputMessage="0" showErrorMessage="0" allowBlank="0" type="list">
      <formula1>SUGN_I</formula1>
      <formula2>0</formula2>
    </dataValidation>
    <dataValidation sqref="J4" showDropDown="0" showInputMessage="0" showErrorMessage="0" allowBlank="0" type="list">
      <formula1>SUGN_J</formula1>
      <formula2>0</formula2>
    </dataValidation>
    <dataValidation sqref="K4" showDropDown="0" showInputMessage="0" showErrorMessage="0" allowBlank="0" type="list">
      <formula1>SUGN_K</formula1>
      <formula2>0</formula2>
    </dataValidation>
    <dataValidation sqref="L4" showDropDown="0" showInputMessage="0" showErrorMessage="0" allowBlank="0" type="list">
      <formula1>SUGN_L</formula1>
      <formula2>0</formula2>
    </dataValidation>
    <dataValidation sqref="M4" showDropDown="0" showInputMessage="0" showErrorMessage="0" allowBlank="0" type="list">
      <formula1>SUGN_M</formula1>
      <formula2>0</formula2>
    </dataValidation>
    <dataValidation sqref="N4" showDropDown="0" showInputMessage="0" showErrorMessage="0" allowBlank="0" type="list">
      <formula1>SUGN_N</formula1>
      <formula2>0</formula2>
    </dataValidation>
    <dataValidation sqref="O4" showDropDown="0" showInputMessage="0" showErrorMessage="0" allowBlank="0" type="list">
      <formula1>SUGN_O</formula1>
      <formula2>0</formula2>
    </dataValidation>
    <dataValidation sqref="P4" showDropDown="0" showInputMessage="0" showErrorMessage="0" allowBlank="0" type="list">
      <formula1>SUGN_P</formula1>
      <formula2>0</formula2>
    </dataValidation>
    <dataValidation sqref="Q4" showDropDown="0" showInputMessage="0" showErrorMessage="0" allowBlank="0" type="list">
      <formula1>SUGN_Q</formula1>
      <formula2>0</formula2>
    </dataValidation>
    <dataValidation sqref="R4" showDropDown="0" showInputMessage="0" showErrorMessage="0" allowBlank="0" type="list">
      <formula1>SUGN_R</formula1>
      <formula2>0</formula2>
    </dataValidation>
    <dataValidation sqref="S4" showDropDown="0" showInputMessage="0" showErrorMessage="0" allowBlank="0" type="list">
      <formula1>SUGN_S</formula1>
      <formula2>0</formula2>
    </dataValidation>
    <dataValidation sqref="T4" showDropDown="0" showInputMessage="0" showErrorMessage="0" allowBlank="0" type="list">
      <formula1>SUGN_T</formula1>
      <formula2>0</formula2>
    </dataValidation>
    <dataValidation sqref="U4" showDropDown="0" showInputMessage="0" showErrorMessage="0" allowBlank="0" type="list">
      <formula1>SUGN_U</formula1>
      <formula2>0</formula2>
    </dataValidation>
    <dataValidation sqref="V4" showDropDown="0" showInputMessage="0" showErrorMessage="0" allowBlank="0" type="list">
      <formula1>SUGN_V</formula1>
      <formula2>0</formula2>
    </dataValidation>
    <dataValidation sqref="W4" showDropDown="0" showInputMessage="0" showErrorMessage="0" allowBlank="0" type="list">
      <formula1>SUGN_W</formula1>
      <formula2>0</formula2>
    </dataValidation>
    <dataValidation sqref="X4" showDropDown="0" showInputMessage="0" showErrorMessage="0" allowBlank="0" type="list">
      <formula1>SUGN_X</formula1>
      <formula2>0</formula2>
    </dataValidation>
    <dataValidation sqref="Y4" showDropDown="0" showInputMessage="0" showErrorMessage="0" allowBlank="0" type="list">
      <formula1>SUGN_Y</formula1>
      <formula2>0</formula2>
    </dataValidation>
    <dataValidation sqref="Z4" showDropDown="0" showInputMessage="0" showErrorMessage="0" allowBlank="0" type="list">
      <formula1>SUGN_Z</formula1>
      <formula2>0</formula2>
    </dataValidation>
    <dataValidation sqref="AA4" showDropDown="0" showInputMessage="0" showErrorMessage="0" allowBlank="0" type="list">
      <formula1>SUGN_AA</formula1>
      <formula2>0</formula2>
    </dataValidation>
    <dataValidation sqref="AB4" showDropDown="0" showInputMessage="0" showErrorMessage="0" allowBlank="0" type="list">
      <formula1>SUGN_AB</formula1>
      <formula2>0</formula2>
    </dataValidation>
    <dataValidation sqref="AC4" showDropDown="0" showInputMessage="0" showErrorMessage="0" allowBlank="0" type="list">
      <formula1>SUGN_AC</formula1>
      <formula2>0</formula2>
    </dataValidation>
    <dataValidation sqref="AD4" showDropDown="0" showInputMessage="0" showErrorMessage="0" allowBlank="0" type="list">
      <formula1>SUGN_AD</formula1>
      <formula2>0</formula2>
    </dataValidation>
    <dataValidation sqref="AE4" showDropDown="0" showInputMessage="0" showErrorMessage="0" allowBlank="0" type="list">
      <formula1>SUGN_AE</formula1>
      <formula2>0</formula2>
    </dataValidation>
    <dataValidation sqref="AG4" showDropDown="0" showInputMessage="0" showErrorMessage="0" allowBlank="0" type="list">
      <formula1>SUGN_AF</formula1>
      <formula2>0</formula2>
    </dataValidation>
    <dataValidation sqref="AH4" showDropDown="0" showInputMessage="0" showErrorMessage="0" allowBlank="0" type="list">
      <formula1>SUGN_AG</formula1>
      <formula2>0</formula2>
    </dataValidation>
    <dataValidation sqref="AI4" showDropDown="0" showInputMessage="0" showErrorMessage="0" allowBlank="0" type="list">
      <formula1>SUGN_AH</formula1>
      <formula2>0</formula2>
    </dataValidation>
    <dataValidation sqref="AF4" showDropDown="0" showInputMessage="0" showErrorMessage="0" allowBlank="0" type="list">
      <formula1>SUGN_AI</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codeName="Sheet4">
    <outlinePr summaryBelow="1" summaryRight="1"/>
    <pageSetUpPr/>
  </sheetPr>
  <dimension ref="A1:VU114"/>
  <sheetViews>
    <sheetView zoomScaleNormal="100" workbookViewId="0">
      <selection activeCell="A1" sqref="A1"/>
    </sheetView>
  </sheetViews>
  <sheetFormatPr baseColWidth="8" defaultColWidth="8.7109375" defaultRowHeight="15"/>
  <cols>
    <col width="30" customWidth="1" style="137" min="1" max="1"/>
    <col width="30" customWidth="1" style="137" min="5" max="6"/>
    <col width="30" customWidth="1" style="137" min="10" max="11"/>
    <col width="30" customWidth="1" style="137" min="15" max="16"/>
    <col width="30" customWidth="1" style="137" min="20" max="21"/>
    <col width="30" customWidth="1" style="137" min="25" max="26"/>
    <col width="30" customWidth="1" style="137" min="30" max="31"/>
    <col width="30" customWidth="1" style="137" min="35" max="36"/>
    <col width="30" customWidth="1" style="137" min="40" max="41"/>
    <col width="30" customWidth="1" style="137" min="45" max="46"/>
    <col width="30" customWidth="1" style="137" min="50" max="51"/>
    <col width="30" customWidth="1" style="137" min="55" max="56"/>
    <col width="30" customWidth="1" style="137" min="60" max="61"/>
    <col width="30" customWidth="1" style="137" min="65" max="66"/>
    <col width="30" customWidth="1" style="137" min="70" max="71"/>
    <col width="30" customWidth="1" style="137" min="75" max="76"/>
    <col width="30" customWidth="1" style="137" min="80" max="81"/>
    <col width="30" customWidth="1" style="137" min="85" max="86"/>
    <col width="30" customWidth="1" style="137" min="90" max="91"/>
    <col width="30" customWidth="1" style="137" min="95" max="96"/>
    <col width="30" customWidth="1" style="137" min="100" max="101"/>
    <col width="30" customWidth="1" style="137" min="105" max="106"/>
    <col width="30" customWidth="1" style="137" min="110" max="111"/>
    <col width="30" customWidth="1" style="137" min="115" max="116"/>
    <col width="30" customWidth="1" style="137" min="120" max="121"/>
    <col width="30" customWidth="1" style="137" min="125" max="126"/>
    <col width="30" customWidth="1" style="137" min="130" max="131"/>
    <col width="30" customWidth="1" style="137" min="135" max="136"/>
    <col width="30" customWidth="1" style="137" min="140" max="141"/>
    <col width="30" customWidth="1" style="137" min="145" max="146"/>
    <col width="30" customWidth="1" style="137" min="150" max="151"/>
    <col width="30" customWidth="1" style="137" min="155" max="156"/>
    <col width="30" customWidth="1" style="137" min="160" max="161"/>
    <col width="30" customWidth="1" style="137" min="165" max="166"/>
    <col width="30" customWidth="1" style="137" min="170" max="171"/>
    <col width="30" customWidth="1" style="137" min="175" max="176"/>
    <col width="30" customWidth="1" style="137" min="180" max="180"/>
  </cols>
  <sheetData>
    <row r="1">
      <c r="A1" t="inlineStr">
        <is>
          <t>Search-dropdown lists — live from Final Calculation Sheet, sorted ascending. SUG_* = Live Search cascading dropdowns (cols FY–LD). SUGN_* = Buyer Groups cascading dropdowns (cols LE–QJ), driven by hidden match helpers Buyer Groups!DG:EN.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c r="GC3" t="inlineStr">
        <is>
          <t>B cascade: FY (all-other-filters flag)</t>
        </is>
      </c>
      <c r="GD3" t="inlineStr">
        <is>
          <t>B cascade: FZ (candidate present flag)</t>
        </is>
      </c>
      <c r="GE3" t="inlineStr">
        <is>
          <t>B cascade: GA (running count)</t>
        </is>
      </c>
      <c r="GF3" t="inlineStr">
        <is>
          <t>B cascade: GB (dynamic dropdown list)</t>
        </is>
      </c>
      <c r="GG3" t="inlineStr">
        <is>
          <t>C cascade: FY (all-other-filters flag)</t>
        </is>
      </c>
      <c r="GH3" t="inlineStr">
        <is>
          <t>C cascade: FZ (candidate present flag)</t>
        </is>
      </c>
      <c r="GI3" t="inlineStr">
        <is>
          <t>C cascade: GA (running count)</t>
        </is>
      </c>
      <c r="GJ3" t="inlineStr">
        <is>
          <t>C cascade: GB (dynamic dropdown list)</t>
        </is>
      </c>
      <c r="GK3" t="inlineStr">
        <is>
          <t>E cascade: FY (all-other-filters flag)</t>
        </is>
      </c>
      <c r="GL3" t="inlineStr">
        <is>
          <t>E cascade: FZ (candidate present flag)</t>
        </is>
      </c>
      <c r="GM3" t="inlineStr">
        <is>
          <t>E cascade: GA (running count)</t>
        </is>
      </c>
      <c r="GN3" t="inlineStr">
        <is>
          <t>E cascade: GB (dynamic dropdown list)</t>
        </is>
      </c>
      <c r="GO3" t="inlineStr">
        <is>
          <t>F cascade: FY (all-other-filters flag)</t>
        </is>
      </c>
      <c r="GP3" t="inlineStr">
        <is>
          <t>F cascade: FZ (candidate present flag)</t>
        </is>
      </c>
      <c r="GQ3" t="inlineStr">
        <is>
          <t>F cascade: GA (running count)</t>
        </is>
      </c>
      <c r="GR3" t="inlineStr">
        <is>
          <t>F cascade: GB (dynamic dropdown list)</t>
        </is>
      </c>
      <c r="GS3" t="inlineStr">
        <is>
          <t>G cascade: FY (all-other-filters flag)</t>
        </is>
      </c>
      <c r="GT3" t="inlineStr">
        <is>
          <t>G cascade: FZ (candidate present flag)</t>
        </is>
      </c>
      <c r="GU3" t="inlineStr">
        <is>
          <t>G cascade: GA (running count)</t>
        </is>
      </c>
      <c r="GV3" t="inlineStr">
        <is>
          <t>G cascade: GB (dynamic dropdown list)</t>
        </is>
      </c>
      <c r="GW3" t="inlineStr">
        <is>
          <t>H cascade: FY (all-other-filters flag)</t>
        </is>
      </c>
      <c r="GX3" t="inlineStr">
        <is>
          <t>H cascade: FZ (candidate present flag)</t>
        </is>
      </c>
      <c r="GY3" t="inlineStr">
        <is>
          <t>H cascade: GA (running count)</t>
        </is>
      </c>
      <c r="GZ3" t="inlineStr">
        <is>
          <t>H cascade: GB (dynamic dropdown list)</t>
        </is>
      </c>
      <c r="HA3" t="inlineStr">
        <is>
          <t>I cascade: FY (all-other-filters flag)</t>
        </is>
      </c>
      <c r="HB3" t="inlineStr">
        <is>
          <t>I cascade: FZ (candidate present flag)</t>
        </is>
      </c>
      <c r="HC3" t="inlineStr">
        <is>
          <t>I cascade: GA (running count)</t>
        </is>
      </c>
      <c r="HD3" t="inlineStr">
        <is>
          <t>I cascade: GB (dynamic dropdown list)</t>
        </is>
      </c>
      <c r="HE3" t="inlineStr">
        <is>
          <t>J cascade: FY (all-other-filters flag)</t>
        </is>
      </c>
      <c r="HF3" t="inlineStr">
        <is>
          <t>J cascade: FZ (candidate present flag)</t>
        </is>
      </c>
      <c r="HG3" t="inlineStr">
        <is>
          <t>J cascade: GA (running count)</t>
        </is>
      </c>
      <c r="HH3" t="inlineStr">
        <is>
          <t>J cascade: GB (dynamic dropdown list)</t>
        </is>
      </c>
      <c r="HI3" t="inlineStr">
        <is>
          <t>K cascade: FY (all-other-filters flag)</t>
        </is>
      </c>
      <c r="HJ3" t="inlineStr">
        <is>
          <t>K cascade: FZ (candidate present flag)</t>
        </is>
      </c>
      <c r="HK3" t="inlineStr">
        <is>
          <t>K cascade: GA (running count)</t>
        </is>
      </c>
      <c r="HL3" t="inlineStr">
        <is>
          <t>K cascade: GB (dynamic dropdown list)</t>
        </is>
      </c>
      <c r="HM3" t="inlineStr">
        <is>
          <t>L cascade: FY (all-other-filters flag)</t>
        </is>
      </c>
      <c r="HN3" t="inlineStr">
        <is>
          <t>L cascade: FZ (candidate present flag)</t>
        </is>
      </c>
      <c r="HO3" t="inlineStr">
        <is>
          <t>L cascade: GA (running count)</t>
        </is>
      </c>
      <c r="HP3" t="inlineStr">
        <is>
          <t>L cascade: GB (dynamic dropdown list)</t>
        </is>
      </c>
      <c r="HQ3" t="inlineStr">
        <is>
          <t>M cascade: FY (all-other-filters flag)</t>
        </is>
      </c>
      <c r="HR3" t="inlineStr">
        <is>
          <t>M cascade: FZ (candidate present flag)</t>
        </is>
      </c>
      <c r="HS3" t="inlineStr">
        <is>
          <t>M cascade: GA (running count)</t>
        </is>
      </c>
      <c r="HT3" t="inlineStr">
        <is>
          <t>M cascade: GB (dynamic dropdown list)</t>
        </is>
      </c>
      <c r="HU3" t="inlineStr">
        <is>
          <t>N cascade: FY (all-other-filters flag)</t>
        </is>
      </c>
      <c r="HV3" t="inlineStr">
        <is>
          <t>N cascade: FZ (candidate present flag)</t>
        </is>
      </c>
      <c r="HW3" t="inlineStr">
        <is>
          <t>N cascade: GA (running count)</t>
        </is>
      </c>
      <c r="HX3" t="inlineStr">
        <is>
          <t>N cascade: GB (dynamic dropdown list)</t>
        </is>
      </c>
      <c r="HY3" t="inlineStr">
        <is>
          <t>O cascade: FY (all-other-filters flag)</t>
        </is>
      </c>
      <c r="HZ3" t="inlineStr">
        <is>
          <t>O cascade: FZ (candidate present flag)</t>
        </is>
      </c>
      <c r="IA3" t="inlineStr">
        <is>
          <t>O cascade: GA (running count)</t>
        </is>
      </c>
      <c r="IB3" t="inlineStr">
        <is>
          <t>O cascade: GB (dynamic dropdown list)</t>
        </is>
      </c>
      <c r="IC3" t="inlineStr">
        <is>
          <t>P cascade: FY (all-other-filters flag)</t>
        </is>
      </c>
      <c r="ID3" t="inlineStr">
        <is>
          <t>P cascade: FZ (candidate present flag)</t>
        </is>
      </c>
      <c r="IE3" t="inlineStr">
        <is>
          <t>P cascade: GA (running count)</t>
        </is>
      </c>
      <c r="IF3" t="inlineStr">
        <is>
          <t>P cascade: GB (dynamic dropdown list)</t>
        </is>
      </c>
      <c r="IG3" t="inlineStr">
        <is>
          <t>Q cascade: FY (all-other-filters flag)</t>
        </is>
      </c>
      <c r="IH3" t="inlineStr">
        <is>
          <t>Q cascade: FZ (candidate present flag)</t>
        </is>
      </c>
      <c r="II3" t="inlineStr">
        <is>
          <t>Q cascade: GA (running count)</t>
        </is>
      </c>
      <c r="IJ3" t="inlineStr">
        <is>
          <t>Q cascade: GB (dynamic dropdown list)</t>
        </is>
      </c>
      <c r="IK3" t="inlineStr">
        <is>
          <t>R cascade: FY (all-other-filters flag)</t>
        </is>
      </c>
      <c r="IL3" t="inlineStr">
        <is>
          <t>R cascade: FZ (candidate present flag)</t>
        </is>
      </c>
      <c r="IM3" t="inlineStr">
        <is>
          <t>R cascade: GA (running count)</t>
        </is>
      </c>
      <c r="IN3" t="inlineStr">
        <is>
          <t>R cascade: GB (dynamic dropdown list)</t>
        </is>
      </c>
      <c r="IO3" t="inlineStr">
        <is>
          <t>S cascade: FY (all-other-filters flag)</t>
        </is>
      </c>
      <c r="IP3" t="inlineStr">
        <is>
          <t>S cascade: FZ (candidate present flag)</t>
        </is>
      </c>
      <c r="IQ3" t="inlineStr">
        <is>
          <t>S cascade: GA (running count)</t>
        </is>
      </c>
      <c r="IR3" t="inlineStr">
        <is>
          <t>S cascade: GB (dynamic dropdown list)</t>
        </is>
      </c>
      <c r="IS3" t="inlineStr">
        <is>
          <t>T cascade: FY (all-other-filters flag)</t>
        </is>
      </c>
      <c r="IT3" t="inlineStr">
        <is>
          <t>T cascade: FZ (candidate present flag)</t>
        </is>
      </c>
      <c r="IU3" t="inlineStr">
        <is>
          <t>T cascade: GA (running count)</t>
        </is>
      </c>
      <c r="IV3" t="inlineStr">
        <is>
          <t>T cascade: GB (dynamic dropdown list)</t>
        </is>
      </c>
      <c r="IW3" t="inlineStr">
        <is>
          <t>U cascade: FY (all-other-filters flag)</t>
        </is>
      </c>
      <c r="IX3" t="inlineStr">
        <is>
          <t>U cascade: FZ (candidate present flag)</t>
        </is>
      </c>
      <c r="IY3" t="inlineStr">
        <is>
          <t>U cascade: GA (running count)</t>
        </is>
      </c>
      <c r="IZ3" t="inlineStr">
        <is>
          <t>U cascade: GB (dynamic dropdown list)</t>
        </is>
      </c>
      <c r="JA3" t="inlineStr">
        <is>
          <t>V cascade: FY (all-other-filters flag)</t>
        </is>
      </c>
      <c r="JB3" t="inlineStr">
        <is>
          <t>V cascade: FZ (candidate present flag)</t>
        </is>
      </c>
      <c r="JC3" t="inlineStr">
        <is>
          <t>V cascade: GA (running count)</t>
        </is>
      </c>
      <c r="JD3" t="inlineStr">
        <is>
          <t>V cascade: GB (dynamic dropdown list)</t>
        </is>
      </c>
      <c r="JE3" t="inlineStr">
        <is>
          <t>W cascade: FY (all-other-filters flag)</t>
        </is>
      </c>
      <c r="JF3" t="inlineStr">
        <is>
          <t>W cascade: FZ (candidate present flag)</t>
        </is>
      </c>
      <c r="JG3" t="inlineStr">
        <is>
          <t>W cascade: GA (running count)</t>
        </is>
      </c>
      <c r="JH3" t="inlineStr">
        <is>
          <t>W cascade: GB (dynamic dropdown list)</t>
        </is>
      </c>
      <c r="JI3" t="inlineStr">
        <is>
          <t>X cascade: FY (all-other-filters flag)</t>
        </is>
      </c>
      <c r="JJ3" t="inlineStr">
        <is>
          <t>X cascade: FZ (candidate present flag)</t>
        </is>
      </c>
      <c r="JK3" t="inlineStr">
        <is>
          <t>X cascade: GA (running count)</t>
        </is>
      </c>
      <c r="JL3" t="inlineStr">
        <is>
          <t>X cascade: GB (dynamic dropdown list)</t>
        </is>
      </c>
      <c r="JM3" t="inlineStr">
        <is>
          <t>Y cascade: FY (all-other-filters flag)</t>
        </is>
      </c>
      <c r="JN3" t="inlineStr">
        <is>
          <t>Y cascade: FZ (candidate present flag)</t>
        </is>
      </c>
      <c r="JO3" t="inlineStr">
        <is>
          <t>Y cascade: GA (running count)</t>
        </is>
      </c>
      <c r="JP3" t="inlineStr">
        <is>
          <t>Y cascade: GB (dynamic dropdown list)</t>
        </is>
      </c>
      <c r="JQ3" t="inlineStr">
        <is>
          <t>Z cascade: FY (all-other-filters flag)</t>
        </is>
      </c>
      <c r="JR3" t="inlineStr">
        <is>
          <t>Z cascade: FZ (candidate present flag)</t>
        </is>
      </c>
      <c r="JS3" t="inlineStr">
        <is>
          <t>Z cascade: GA (running count)</t>
        </is>
      </c>
      <c r="JT3" t="inlineStr">
        <is>
          <t>Z cascade: GB (dynamic dropdown list)</t>
        </is>
      </c>
      <c r="JU3" t="inlineStr">
        <is>
          <t>AA cascade: FY (all-other-filters flag)</t>
        </is>
      </c>
      <c r="JV3" t="inlineStr">
        <is>
          <t>AA cascade: FZ (candidate present flag)</t>
        </is>
      </c>
      <c r="JW3" t="inlineStr">
        <is>
          <t>AA cascade: GA (running count)</t>
        </is>
      </c>
      <c r="JX3" t="inlineStr">
        <is>
          <t>AA cascade: GB (dynamic dropdown list)</t>
        </is>
      </c>
      <c r="JY3" t="inlineStr">
        <is>
          <t>AB cascade: FY (all-other-filters flag)</t>
        </is>
      </c>
      <c r="JZ3" t="inlineStr">
        <is>
          <t>AB cascade: FZ (candidate present flag)</t>
        </is>
      </c>
      <c r="KA3" t="inlineStr">
        <is>
          <t>AB cascade: GA (running count)</t>
        </is>
      </c>
      <c r="KB3" t="inlineStr">
        <is>
          <t>AB cascade: GB (dynamic dropdown list)</t>
        </is>
      </c>
      <c r="KC3" t="inlineStr">
        <is>
          <t>AC cascade: FY (all-other-filters flag)</t>
        </is>
      </c>
      <c r="KD3" t="inlineStr">
        <is>
          <t>AC cascade: FZ (candidate present flag)</t>
        </is>
      </c>
      <c r="KE3" t="inlineStr">
        <is>
          <t>AC cascade: GA (running count)</t>
        </is>
      </c>
      <c r="KF3" t="inlineStr">
        <is>
          <t>AC cascade: GB (dynamic dropdown list)</t>
        </is>
      </c>
      <c r="KG3" t="inlineStr">
        <is>
          <t>AD cascade: FY (all-other-filters flag)</t>
        </is>
      </c>
      <c r="KH3" t="inlineStr">
        <is>
          <t>AD cascade: FZ (candidate present flag)</t>
        </is>
      </c>
      <c r="KI3" t="inlineStr">
        <is>
          <t>AD cascade: GA (running count)</t>
        </is>
      </c>
      <c r="KJ3" t="inlineStr">
        <is>
          <t>AD cascade: GB (dynamic dropdown list)</t>
        </is>
      </c>
      <c r="KK3" t="inlineStr">
        <is>
          <t>AE cascade: FY (all-other-filters flag)</t>
        </is>
      </c>
      <c r="KL3" t="inlineStr">
        <is>
          <t>AE cascade: FZ (candidate present flag)</t>
        </is>
      </c>
      <c r="KM3" t="inlineStr">
        <is>
          <t>AE cascade: GA (running count)</t>
        </is>
      </c>
      <c r="KN3" t="inlineStr">
        <is>
          <t>AE cascade: GB (dynamic dropdown list)</t>
        </is>
      </c>
      <c r="KO3" t="inlineStr">
        <is>
          <t>AF cascade: FY (all-other-filters flag)</t>
        </is>
      </c>
      <c r="KP3" t="inlineStr">
        <is>
          <t>AF cascade: FZ (candidate present flag)</t>
        </is>
      </c>
      <c r="KQ3" t="inlineStr">
        <is>
          <t>AF cascade: GA (running count)</t>
        </is>
      </c>
      <c r="KR3" t="inlineStr">
        <is>
          <t>AF cascade: GB (dynamic dropdown list)</t>
        </is>
      </c>
      <c r="KS3" t="inlineStr">
        <is>
          <t>AG cascade: FY (all-other-filters flag)</t>
        </is>
      </c>
      <c r="KT3" t="inlineStr">
        <is>
          <t>AG cascade: FZ (candidate present flag)</t>
        </is>
      </c>
      <c r="KU3" t="inlineStr">
        <is>
          <t>AG cascade: GA (running count)</t>
        </is>
      </c>
      <c r="KV3" t="inlineStr">
        <is>
          <t>AG cascade: GB (dynamic dropdown list)</t>
        </is>
      </c>
      <c r="KW3" t="inlineStr">
        <is>
          <t>AH cascade: FY (all-other-filters flag)</t>
        </is>
      </c>
      <c r="KX3" t="inlineStr">
        <is>
          <t>AH cascade: FZ (candidate present flag)</t>
        </is>
      </c>
      <c r="KY3" t="inlineStr">
        <is>
          <t>AH cascade: GA (running count)</t>
        </is>
      </c>
      <c r="KZ3" t="inlineStr">
        <is>
          <t>AH cascade: GB (dynamic dropdown list)</t>
        </is>
      </c>
      <c r="LA3" t="inlineStr">
        <is>
          <t>AI cascade: FY (all-other-filters flag)</t>
        </is>
      </c>
      <c r="LB3" t="inlineStr">
        <is>
          <t>AI cascade: FZ (candidate present flag)</t>
        </is>
      </c>
      <c r="LC3" t="inlineStr">
        <is>
          <t>AI cascade: GA (running count)</t>
        </is>
      </c>
      <c r="LD3" t="inlineStr">
        <is>
          <t>AI cascade: GB (dynamic dropdown list)</t>
        </is>
      </c>
      <c r="LE3" t="inlineStr">
        <is>
          <t>BG B cascade: FY (all-other-filters flag)</t>
        </is>
      </c>
      <c r="LF3" t="inlineStr">
        <is>
          <t>BG B cascade: FZ (candidate present flag)</t>
        </is>
      </c>
      <c r="LG3" t="inlineStr">
        <is>
          <t>BG B cascade: GA (running count)</t>
        </is>
      </c>
      <c r="LH3" t="inlineStr">
        <is>
          <t>BG B cascade: GB (dynamic dropdown list)</t>
        </is>
      </c>
      <c r="LI3" t="inlineStr">
        <is>
          <t>BG C cascade: FY (all-other-filters flag)</t>
        </is>
      </c>
      <c r="LJ3" t="inlineStr">
        <is>
          <t>BG C cascade: FZ (candidate present flag)</t>
        </is>
      </c>
      <c r="LK3" t="inlineStr">
        <is>
          <t>BG C cascade: GA (running count)</t>
        </is>
      </c>
      <c r="LL3" t="inlineStr">
        <is>
          <t>BG C cascade: GB (dynamic dropdown list)</t>
        </is>
      </c>
      <c r="LM3" t="inlineStr">
        <is>
          <t>BG D cascade: FY (all-other-filters flag)</t>
        </is>
      </c>
      <c r="LN3" t="inlineStr">
        <is>
          <t>BG D cascade: FZ (candidate present flag)</t>
        </is>
      </c>
      <c r="LO3" t="inlineStr">
        <is>
          <t>BG D cascade: GA (running count)</t>
        </is>
      </c>
      <c r="LP3" t="inlineStr">
        <is>
          <t>BG D cascade: GB (dynamic dropdown list)</t>
        </is>
      </c>
      <c r="LQ3" t="inlineStr">
        <is>
          <t>BG E cascade: FY (all-other-filters flag)</t>
        </is>
      </c>
      <c r="LR3" t="inlineStr">
        <is>
          <t>BG E cascade: FZ (candidate present flag)</t>
        </is>
      </c>
      <c r="LS3" t="inlineStr">
        <is>
          <t>BG E cascade: GA (running count)</t>
        </is>
      </c>
      <c r="LT3" t="inlineStr">
        <is>
          <t>BG E cascade: GB (dynamic dropdown list)</t>
        </is>
      </c>
      <c r="LU3" t="inlineStr">
        <is>
          <t>BG F cascade: FY (all-other-filters flag)</t>
        </is>
      </c>
      <c r="LV3" t="inlineStr">
        <is>
          <t>BG F cascade: FZ (candidate present flag)</t>
        </is>
      </c>
      <c r="LW3" t="inlineStr">
        <is>
          <t>BG F cascade: GA (running count)</t>
        </is>
      </c>
      <c r="LX3" t="inlineStr">
        <is>
          <t>BG F cascade: GB (dynamic dropdown list)</t>
        </is>
      </c>
      <c r="LY3" t="inlineStr">
        <is>
          <t>BG G cascade: FY (all-other-filters flag)</t>
        </is>
      </c>
      <c r="LZ3" t="inlineStr">
        <is>
          <t>BG G cascade: FZ (candidate present flag)</t>
        </is>
      </c>
      <c r="MA3" t="inlineStr">
        <is>
          <t>BG G cascade: GA (running count)</t>
        </is>
      </c>
      <c r="MB3" t="inlineStr">
        <is>
          <t>BG G cascade: GB (dynamic dropdown list)</t>
        </is>
      </c>
      <c r="MC3" t="inlineStr">
        <is>
          <t>BG H cascade: FY (all-other-filters flag)</t>
        </is>
      </c>
      <c r="MD3" t="inlineStr">
        <is>
          <t>BG H cascade: FZ (candidate present flag)</t>
        </is>
      </c>
      <c r="ME3" t="inlineStr">
        <is>
          <t>BG H cascade: GA (running count)</t>
        </is>
      </c>
      <c r="MF3" t="inlineStr">
        <is>
          <t>BG H cascade: GB (dynamic dropdown list)</t>
        </is>
      </c>
      <c r="MG3" t="inlineStr">
        <is>
          <t>BG I cascade: FY (all-other-filters flag)</t>
        </is>
      </c>
      <c r="MH3" t="inlineStr">
        <is>
          <t>BG I cascade: FZ (candidate present flag)</t>
        </is>
      </c>
      <c r="MI3" t="inlineStr">
        <is>
          <t>BG I cascade: GA (running count)</t>
        </is>
      </c>
      <c r="MJ3" t="inlineStr">
        <is>
          <t>BG I cascade: GB (dynamic dropdown list)</t>
        </is>
      </c>
      <c r="MK3" t="inlineStr">
        <is>
          <t>BG J cascade: FY (all-other-filters flag)</t>
        </is>
      </c>
      <c r="ML3" t="inlineStr">
        <is>
          <t>BG J cascade: FZ (candidate present flag)</t>
        </is>
      </c>
      <c r="MM3" t="inlineStr">
        <is>
          <t>BG J cascade: GA (running count)</t>
        </is>
      </c>
      <c r="MN3" t="inlineStr">
        <is>
          <t>BG J cascade: GB (dynamic dropdown list)</t>
        </is>
      </c>
      <c r="MO3" t="inlineStr">
        <is>
          <t>BG K cascade: FY (all-other-filters flag)</t>
        </is>
      </c>
      <c r="MP3" t="inlineStr">
        <is>
          <t>BG K cascade: FZ (candidate present flag)</t>
        </is>
      </c>
      <c r="MQ3" t="inlineStr">
        <is>
          <t>BG K cascade: GA (running count)</t>
        </is>
      </c>
      <c r="MR3" t="inlineStr">
        <is>
          <t>BG K cascade: GB (dynamic dropdown list)</t>
        </is>
      </c>
      <c r="MS3" t="inlineStr">
        <is>
          <t>BG L cascade: FY (all-other-filters flag)</t>
        </is>
      </c>
      <c r="MT3" t="inlineStr">
        <is>
          <t>BG L cascade: FZ (candidate present flag)</t>
        </is>
      </c>
      <c r="MU3" t="inlineStr">
        <is>
          <t>BG L cascade: GA (running count)</t>
        </is>
      </c>
      <c r="MV3" t="inlineStr">
        <is>
          <t>BG L cascade: GB (dynamic dropdown list)</t>
        </is>
      </c>
      <c r="MW3" t="inlineStr">
        <is>
          <t>BG M cascade: FY (all-other-filters flag)</t>
        </is>
      </c>
      <c r="MX3" t="inlineStr">
        <is>
          <t>BG M cascade: FZ (candidate present flag)</t>
        </is>
      </c>
      <c r="MY3" t="inlineStr">
        <is>
          <t>BG M cascade: GA (running count)</t>
        </is>
      </c>
      <c r="MZ3" t="inlineStr">
        <is>
          <t>BG M cascade: GB (dynamic dropdown list)</t>
        </is>
      </c>
      <c r="NA3" t="inlineStr">
        <is>
          <t>BG N cascade: FY (all-other-filters flag)</t>
        </is>
      </c>
      <c r="NB3" t="inlineStr">
        <is>
          <t>BG N cascade: FZ (candidate present flag)</t>
        </is>
      </c>
      <c r="NC3" t="inlineStr">
        <is>
          <t>BG N cascade: GA (running count)</t>
        </is>
      </c>
      <c r="ND3" t="inlineStr">
        <is>
          <t>BG N cascade: GB (dynamic dropdown list)</t>
        </is>
      </c>
      <c r="NE3" t="inlineStr">
        <is>
          <t>BG O cascade: FY (all-other-filters flag)</t>
        </is>
      </c>
      <c r="NF3" t="inlineStr">
        <is>
          <t>BG O cascade: FZ (candidate present flag)</t>
        </is>
      </c>
      <c r="NG3" t="inlineStr">
        <is>
          <t>BG O cascade: GA (running count)</t>
        </is>
      </c>
      <c r="NH3" t="inlineStr">
        <is>
          <t>BG O cascade: GB (dynamic dropdown list)</t>
        </is>
      </c>
      <c r="NI3" t="inlineStr">
        <is>
          <t>BG P cascade: FY (all-other-filters flag)</t>
        </is>
      </c>
      <c r="NJ3" t="inlineStr">
        <is>
          <t>BG P cascade: FZ (candidate present flag)</t>
        </is>
      </c>
      <c r="NK3" t="inlineStr">
        <is>
          <t>BG P cascade: GA (running count)</t>
        </is>
      </c>
      <c r="NL3" t="inlineStr">
        <is>
          <t>BG P cascade: GB (dynamic dropdown list)</t>
        </is>
      </c>
      <c r="NM3" t="inlineStr">
        <is>
          <t>BG Q cascade: FY (all-other-filters flag)</t>
        </is>
      </c>
      <c r="NN3" t="inlineStr">
        <is>
          <t>BG Q cascade: FZ (candidate present flag)</t>
        </is>
      </c>
      <c r="NO3" t="inlineStr">
        <is>
          <t>BG Q cascade: GA (running count)</t>
        </is>
      </c>
      <c r="NP3" t="inlineStr">
        <is>
          <t>BG Q cascade: GB (dynamic dropdown list)</t>
        </is>
      </c>
      <c r="NQ3" t="inlineStr">
        <is>
          <t>BG R cascade: FY (all-other-filters flag)</t>
        </is>
      </c>
      <c r="NR3" t="inlineStr">
        <is>
          <t>BG R cascade: FZ (candidate present flag)</t>
        </is>
      </c>
      <c r="NS3" t="inlineStr">
        <is>
          <t>BG R cascade: GA (running count)</t>
        </is>
      </c>
      <c r="NT3" t="inlineStr">
        <is>
          <t>BG R cascade: GB (dynamic dropdown list)</t>
        </is>
      </c>
      <c r="NU3" t="inlineStr">
        <is>
          <t>BG S cascade: FY (all-other-filters flag)</t>
        </is>
      </c>
      <c r="NV3" t="inlineStr">
        <is>
          <t>BG S cascade: FZ (candidate present flag)</t>
        </is>
      </c>
      <c r="NW3" t="inlineStr">
        <is>
          <t>BG S cascade: GA (running count)</t>
        </is>
      </c>
      <c r="NX3" t="inlineStr">
        <is>
          <t>BG S cascade: GB (dynamic dropdown list)</t>
        </is>
      </c>
      <c r="NY3" t="inlineStr">
        <is>
          <t>BG T cascade: FY (all-other-filters flag)</t>
        </is>
      </c>
      <c r="NZ3" t="inlineStr">
        <is>
          <t>BG T cascade: FZ (candidate present flag)</t>
        </is>
      </c>
      <c r="OA3" t="inlineStr">
        <is>
          <t>BG T cascade: GA (running count)</t>
        </is>
      </c>
      <c r="OB3" t="inlineStr">
        <is>
          <t>BG T cascade: GB (dynamic dropdown list)</t>
        </is>
      </c>
      <c r="OC3" t="inlineStr">
        <is>
          <t>BG U cascade: FY (all-other-filters flag)</t>
        </is>
      </c>
      <c r="OD3" t="inlineStr">
        <is>
          <t>BG U cascade: FZ (candidate present flag)</t>
        </is>
      </c>
      <c r="OE3" t="inlineStr">
        <is>
          <t>BG U cascade: GA (running count)</t>
        </is>
      </c>
      <c r="OF3" t="inlineStr">
        <is>
          <t>BG U cascade: GB (dynamic dropdown list)</t>
        </is>
      </c>
      <c r="OG3" t="inlineStr">
        <is>
          <t>BG V cascade: FY (all-other-filters flag)</t>
        </is>
      </c>
      <c r="OH3" t="inlineStr">
        <is>
          <t>BG V cascade: FZ (candidate present flag)</t>
        </is>
      </c>
      <c r="OI3" t="inlineStr">
        <is>
          <t>BG V cascade: GA (running count)</t>
        </is>
      </c>
      <c r="OJ3" t="inlineStr">
        <is>
          <t>BG V cascade: GB (dynamic dropdown list)</t>
        </is>
      </c>
      <c r="OK3" t="inlineStr">
        <is>
          <t>BG W cascade: FY (all-other-filters flag)</t>
        </is>
      </c>
      <c r="OL3" t="inlineStr">
        <is>
          <t>BG W cascade: FZ (candidate present flag)</t>
        </is>
      </c>
      <c r="OM3" t="inlineStr">
        <is>
          <t>BG W cascade: GA (running count)</t>
        </is>
      </c>
      <c r="ON3" t="inlineStr">
        <is>
          <t>BG W cascade: GB (dynamic dropdown list)</t>
        </is>
      </c>
      <c r="OO3" t="inlineStr">
        <is>
          <t>BG X cascade: FY (all-other-filters flag)</t>
        </is>
      </c>
      <c r="OP3" t="inlineStr">
        <is>
          <t>BG X cascade: FZ (candidate present flag)</t>
        </is>
      </c>
      <c r="OQ3" t="inlineStr">
        <is>
          <t>BG X cascade: GA (running count)</t>
        </is>
      </c>
      <c r="OR3" t="inlineStr">
        <is>
          <t>BG X cascade: GB (dynamic dropdown list)</t>
        </is>
      </c>
      <c r="OS3" t="inlineStr">
        <is>
          <t>BG Y cascade: FY (all-other-filters flag)</t>
        </is>
      </c>
      <c r="OT3" t="inlineStr">
        <is>
          <t>BG Y cascade: FZ (candidate present flag)</t>
        </is>
      </c>
      <c r="OU3" t="inlineStr">
        <is>
          <t>BG Y cascade: GA (running count)</t>
        </is>
      </c>
      <c r="OV3" t="inlineStr">
        <is>
          <t>BG Y cascade: GB (dynamic dropdown list)</t>
        </is>
      </c>
      <c r="OW3" t="inlineStr">
        <is>
          <t>BG Z cascade: FY (all-other-filters flag)</t>
        </is>
      </c>
      <c r="OX3" t="inlineStr">
        <is>
          <t>BG Z cascade: FZ (candidate present flag)</t>
        </is>
      </c>
      <c r="OY3" t="inlineStr">
        <is>
          <t>BG Z cascade: GA (running count)</t>
        </is>
      </c>
      <c r="OZ3" t="inlineStr">
        <is>
          <t>BG Z cascade: GB (dynamic dropdown list)</t>
        </is>
      </c>
      <c r="PA3" t="inlineStr">
        <is>
          <t>BG AA cascade: FY (all-other-filters flag)</t>
        </is>
      </c>
      <c r="PB3" t="inlineStr">
        <is>
          <t>BG AA cascade: FZ (candidate present flag)</t>
        </is>
      </c>
      <c r="PC3" t="inlineStr">
        <is>
          <t>BG AA cascade: GA (running count)</t>
        </is>
      </c>
      <c r="PD3" t="inlineStr">
        <is>
          <t>BG AA cascade: GB (dynamic dropdown list)</t>
        </is>
      </c>
      <c r="PE3" t="inlineStr">
        <is>
          <t>BG AB cascade: FY (all-other-filters flag)</t>
        </is>
      </c>
      <c r="PF3" t="inlineStr">
        <is>
          <t>BG AB cascade: FZ (candidate present flag)</t>
        </is>
      </c>
      <c r="PG3" t="inlineStr">
        <is>
          <t>BG AB cascade: GA (running count)</t>
        </is>
      </c>
      <c r="PH3" t="inlineStr">
        <is>
          <t>BG AB cascade: GB (dynamic dropdown list)</t>
        </is>
      </c>
      <c r="PI3" t="inlineStr">
        <is>
          <t>BG AC cascade: FY (all-other-filters flag)</t>
        </is>
      </c>
      <c r="PJ3" t="inlineStr">
        <is>
          <t>BG AC cascade: FZ (candidate present flag)</t>
        </is>
      </c>
      <c r="PK3" t="inlineStr">
        <is>
          <t>BG AC cascade: GA (running count)</t>
        </is>
      </c>
      <c r="PL3" t="inlineStr">
        <is>
          <t>BG AC cascade: GB (dynamic dropdown list)</t>
        </is>
      </c>
      <c r="PM3" t="inlineStr">
        <is>
          <t>BG AD cascade: FY (all-other-filters flag)</t>
        </is>
      </c>
      <c r="PN3" t="inlineStr">
        <is>
          <t>BG AD cascade: FZ (candidate present flag)</t>
        </is>
      </c>
      <c r="PO3" t="inlineStr">
        <is>
          <t>BG AD cascade: GA (running count)</t>
        </is>
      </c>
      <c r="PP3" t="inlineStr">
        <is>
          <t>BG AD cascade: GB (dynamic dropdown list)</t>
        </is>
      </c>
      <c r="PQ3" t="inlineStr">
        <is>
          <t>BG AE cascade: FY (all-other-filters flag)</t>
        </is>
      </c>
      <c r="PR3" t="inlineStr">
        <is>
          <t>BG AE cascade: FZ (candidate present flag)</t>
        </is>
      </c>
      <c r="PS3" t="inlineStr">
        <is>
          <t>BG AE cascade: GA (running count)</t>
        </is>
      </c>
      <c r="PT3" t="inlineStr">
        <is>
          <t>BG AE cascade: GB (dynamic dropdown list)</t>
        </is>
      </c>
      <c r="PU3" t="inlineStr">
        <is>
          <t>BG AF cascade: FY (all-other-filters flag)</t>
        </is>
      </c>
      <c r="PV3" t="inlineStr">
        <is>
          <t>BG AF cascade: FZ (candidate present flag)</t>
        </is>
      </c>
      <c r="PW3" t="inlineStr">
        <is>
          <t>BG AF cascade: GA (running count)</t>
        </is>
      </c>
      <c r="PX3" t="inlineStr">
        <is>
          <t>BG AF cascade: GB (dynamic dropdown list)</t>
        </is>
      </c>
      <c r="PY3" t="inlineStr">
        <is>
          <t>BG AG cascade: FY (all-other-filters flag)</t>
        </is>
      </c>
      <c r="PZ3" t="inlineStr">
        <is>
          <t>BG AG cascade: FZ (candidate present flag)</t>
        </is>
      </c>
      <c r="QA3" t="inlineStr">
        <is>
          <t>BG AG cascade: GA (running count)</t>
        </is>
      </c>
      <c r="QB3" t="inlineStr">
        <is>
          <t>BG AG cascade: GB (dynamic dropdown list)</t>
        </is>
      </c>
      <c r="QC3" t="inlineStr">
        <is>
          <t>BG AH cascade: FY (all-other-filters flag)</t>
        </is>
      </c>
      <c r="QD3" t="inlineStr">
        <is>
          <t>BG AH cascade: FZ (candidate present flag)</t>
        </is>
      </c>
      <c r="QE3" t="inlineStr">
        <is>
          <t>BG AH cascade: GA (running count)</t>
        </is>
      </c>
      <c r="QF3" t="inlineStr">
        <is>
          <t>BG AH cascade: GB (dynamic dropdown list)</t>
        </is>
      </c>
      <c r="QG3" t="inlineStr">
        <is>
          <t>BG AI cascade: FY (all-other-filters flag)</t>
        </is>
      </c>
      <c r="QH3" t="inlineStr">
        <is>
          <t>BG AI cascade: FZ (candidate present flag)</t>
        </is>
      </c>
      <c r="QI3" t="inlineStr">
        <is>
          <t>BG AI cascade: GA (running count)</t>
        </is>
      </c>
      <c r="QJ3" t="inlineStr">
        <is>
          <t>BG AI cascade: GB (dynamic dropdown list)</t>
        </is>
      </c>
      <c r="QK3" t="inlineStr">
        <is>
          <t xml:space="preserve">FCS AH (Final AH)</t>
        </is>
      </c>
      <c r="QP3" t="inlineStr">
        <is>
          <t xml:space="preserve">FCS A cascade: FY (all-other-filters flag)</t>
        </is>
      </c>
      <c r="QQ3" t="inlineStr">
        <is>
          <t xml:space="preserve">FCS A cascade: FZ (candidate present flag)</t>
        </is>
      </c>
      <c r="QR3" t="inlineStr">
        <is>
          <t xml:space="preserve">FCS A cascade: GA (running count)</t>
        </is>
      </c>
      <c r="QS3" t="inlineStr">
        <is>
          <t xml:space="preserve">FCS A cascade: GB (dynamic dropdown list)</t>
        </is>
      </c>
      <c r="QT3" t="inlineStr">
        <is>
          <t xml:space="preserve">FCS B cascade: FY (all-other-filters flag)</t>
        </is>
      </c>
      <c r="QU3" t="inlineStr">
        <is>
          <t xml:space="preserve">FCS B cascade: FZ (candidate present flag)</t>
        </is>
      </c>
      <c r="QV3" t="inlineStr">
        <is>
          <t xml:space="preserve">FCS B cascade: GA (running count)</t>
        </is>
      </c>
      <c r="QW3" t="inlineStr">
        <is>
          <t xml:space="preserve">FCS B cascade: GB (dynamic dropdown list)</t>
        </is>
      </c>
      <c r="QX3" t="inlineStr">
        <is>
          <t xml:space="preserve">FCS C cascade: FY (all-other-filters flag)</t>
        </is>
      </c>
      <c r="QY3" t="inlineStr">
        <is>
          <t xml:space="preserve">FCS C cascade: FZ (candidate present flag)</t>
        </is>
      </c>
      <c r="QZ3" t="inlineStr">
        <is>
          <t xml:space="preserve">FCS C cascade: GA (running count)</t>
        </is>
      </c>
      <c r="RA3" t="inlineStr">
        <is>
          <t xml:space="preserve">FCS C cascade: GB (dynamic dropdown list)</t>
        </is>
      </c>
      <c r="RB3" t="inlineStr">
        <is>
          <t xml:space="preserve">FCS D cascade: FY (all-other-filters flag)</t>
        </is>
      </c>
      <c r="RC3" t="inlineStr">
        <is>
          <t xml:space="preserve">FCS D cascade: FZ (candidate present flag)</t>
        </is>
      </c>
      <c r="RD3" t="inlineStr">
        <is>
          <t xml:space="preserve">FCS D cascade: GA (running count)</t>
        </is>
      </c>
      <c r="RE3" t="inlineStr">
        <is>
          <t xml:space="preserve">FCS D cascade: GB (dynamic dropdown list)</t>
        </is>
      </c>
      <c r="RF3" t="inlineStr">
        <is>
          <t xml:space="preserve">FCS E cascade: FY (all-other-filters flag)</t>
        </is>
      </c>
      <c r="RG3" t="inlineStr">
        <is>
          <t xml:space="preserve">FCS E cascade: FZ (candidate present flag)</t>
        </is>
      </c>
      <c r="RH3" t="inlineStr">
        <is>
          <t xml:space="preserve">FCS E cascade: GA (running count)</t>
        </is>
      </c>
      <c r="RI3" t="inlineStr">
        <is>
          <t xml:space="preserve">FCS E cascade: GB (dynamic dropdown list)</t>
        </is>
      </c>
      <c r="RJ3" t="inlineStr">
        <is>
          <t xml:space="preserve">FCS F cascade: FY (all-other-filters flag)</t>
        </is>
      </c>
      <c r="RK3" t="inlineStr">
        <is>
          <t xml:space="preserve">FCS F cascade: FZ (candidate present flag)</t>
        </is>
      </c>
      <c r="RL3" t="inlineStr">
        <is>
          <t xml:space="preserve">FCS F cascade: GA (running count)</t>
        </is>
      </c>
      <c r="RM3" t="inlineStr">
        <is>
          <t xml:space="preserve">FCS F cascade: GB (dynamic dropdown list)</t>
        </is>
      </c>
      <c r="RN3" t="inlineStr">
        <is>
          <t xml:space="preserve">FCS G cascade: FY (all-other-filters flag)</t>
        </is>
      </c>
      <c r="RO3" t="inlineStr">
        <is>
          <t xml:space="preserve">FCS G cascade: FZ (candidate present flag)</t>
        </is>
      </c>
      <c r="RP3" t="inlineStr">
        <is>
          <t xml:space="preserve">FCS G cascade: GA (running count)</t>
        </is>
      </c>
      <c r="RQ3" t="inlineStr">
        <is>
          <t xml:space="preserve">FCS G cascade: GB (dynamic dropdown list)</t>
        </is>
      </c>
      <c r="RR3" t="inlineStr">
        <is>
          <t xml:space="preserve">FCS H cascade: FY (all-other-filters flag)</t>
        </is>
      </c>
      <c r="RS3" t="inlineStr">
        <is>
          <t xml:space="preserve">FCS H cascade: FZ (candidate present flag)</t>
        </is>
      </c>
      <c r="RT3" t="inlineStr">
        <is>
          <t xml:space="preserve">FCS H cascade: GA (running count)</t>
        </is>
      </c>
      <c r="RU3" t="inlineStr">
        <is>
          <t xml:space="preserve">FCS H cascade: GB (dynamic dropdown list)</t>
        </is>
      </c>
      <c r="RV3" t="inlineStr">
        <is>
          <t xml:space="preserve">FCS I cascade: FY (all-other-filters flag)</t>
        </is>
      </c>
      <c r="RW3" t="inlineStr">
        <is>
          <t xml:space="preserve">FCS I cascade: FZ (candidate present flag)</t>
        </is>
      </c>
      <c r="RX3" t="inlineStr">
        <is>
          <t xml:space="preserve">FCS I cascade: GA (running count)</t>
        </is>
      </c>
      <c r="RY3" t="inlineStr">
        <is>
          <t xml:space="preserve">FCS I cascade: GB (dynamic dropdown list)</t>
        </is>
      </c>
      <c r="RZ3" t="inlineStr">
        <is>
          <t xml:space="preserve">FCS J cascade: FY (all-other-filters flag)</t>
        </is>
      </c>
      <c r="SA3" t="inlineStr">
        <is>
          <t xml:space="preserve">FCS J cascade: FZ (candidate present flag)</t>
        </is>
      </c>
      <c r="SB3" t="inlineStr">
        <is>
          <t xml:space="preserve">FCS J cascade: GA (running count)</t>
        </is>
      </c>
      <c r="SC3" t="inlineStr">
        <is>
          <t xml:space="preserve">FCS J cascade: GB (dynamic dropdown list)</t>
        </is>
      </c>
      <c r="SD3" t="inlineStr">
        <is>
          <t xml:space="preserve">FCS K cascade: FY (all-other-filters flag)</t>
        </is>
      </c>
      <c r="SE3" t="inlineStr">
        <is>
          <t xml:space="preserve">FCS K cascade: FZ (candidate present flag)</t>
        </is>
      </c>
      <c r="SF3" t="inlineStr">
        <is>
          <t xml:space="preserve">FCS K cascade: GA (running count)</t>
        </is>
      </c>
      <c r="SG3" t="inlineStr">
        <is>
          <t xml:space="preserve">FCS K cascade: GB (dynamic dropdown list)</t>
        </is>
      </c>
      <c r="SH3" t="inlineStr">
        <is>
          <t xml:space="preserve">FCS L cascade: FY (all-other-filters flag)</t>
        </is>
      </c>
      <c r="SI3" t="inlineStr">
        <is>
          <t xml:space="preserve">FCS L cascade: FZ (candidate present flag)</t>
        </is>
      </c>
      <c r="SJ3" t="inlineStr">
        <is>
          <t xml:space="preserve">FCS L cascade: GA (running count)</t>
        </is>
      </c>
      <c r="SK3" t="inlineStr">
        <is>
          <t xml:space="preserve">FCS L cascade: GB (dynamic dropdown list)</t>
        </is>
      </c>
      <c r="SL3" t="inlineStr">
        <is>
          <t xml:space="preserve">FCS M cascade: FY (all-other-filters flag)</t>
        </is>
      </c>
      <c r="SM3" t="inlineStr">
        <is>
          <t xml:space="preserve">FCS M cascade: FZ (candidate present flag)</t>
        </is>
      </c>
      <c r="SN3" t="inlineStr">
        <is>
          <t xml:space="preserve">FCS M cascade: GA (running count)</t>
        </is>
      </c>
      <c r="SO3" t="inlineStr">
        <is>
          <t xml:space="preserve">FCS M cascade: GB (dynamic dropdown list)</t>
        </is>
      </c>
      <c r="SP3" t="inlineStr">
        <is>
          <t xml:space="preserve">FCS N cascade: FY (all-other-filters flag)</t>
        </is>
      </c>
      <c r="SQ3" t="inlineStr">
        <is>
          <t xml:space="preserve">FCS N cascade: FZ (candidate present flag)</t>
        </is>
      </c>
      <c r="SR3" t="inlineStr">
        <is>
          <t xml:space="preserve">FCS N cascade: GA (running count)</t>
        </is>
      </c>
      <c r="SS3" t="inlineStr">
        <is>
          <t xml:space="preserve">FCS N cascade: GB (dynamic dropdown list)</t>
        </is>
      </c>
      <c r="ST3" t="inlineStr">
        <is>
          <t xml:space="preserve">FCS O cascade: FY (all-other-filters flag)</t>
        </is>
      </c>
      <c r="SU3" t="inlineStr">
        <is>
          <t xml:space="preserve">FCS O cascade: FZ (candidate present flag)</t>
        </is>
      </c>
      <c r="SV3" t="inlineStr">
        <is>
          <t xml:space="preserve">FCS O cascade: GA (running count)</t>
        </is>
      </c>
      <c r="SW3" t="inlineStr">
        <is>
          <t xml:space="preserve">FCS O cascade: GB (dynamic dropdown list)</t>
        </is>
      </c>
      <c r="SX3" t="inlineStr">
        <is>
          <t xml:space="preserve">FCS P cascade: FY (all-other-filters flag)</t>
        </is>
      </c>
      <c r="SY3" t="inlineStr">
        <is>
          <t xml:space="preserve">FCS P cascade: FZ (candidate present flag)</t>
        </is>
      </c>
      <c r="SZ3" t="inlineStr">
        <is>
          <t xml:space="preserve">FCS P cascade: GA (running count)</t>
        </is>
      </c>
      <c r="TA3" t="inlineStr">
        <is>
          <t xml:space="preserve">FCS P cascade: GB (dynamic dropdown list)</t>
        </is>
      </c>
      <c r="TB3" t="inlineStr">
        <is>
          <t xml:space="preserve">FCS Q cascade: FY (all-other-filters flag)</t>
        </is>
      </c>
      <c r="TC3" t="inlineStr">
        <is>
          <t xml:space="preserve">FCS Q cascade: FZ (candidate present flag)</t>
        </is>
      </c>
      <c r="TD3" t="inlineStr">
        <is>
          <t xml:space="preserve">FCS Q cascade: GA (running count)</t>
        </is>
      </c>
      <c r="TE3" t="inlineStr">
        <is>
          <t xml:space="preserve">FCS Q cascade: GB (dynamic dropdown list)</t>
        </is>
      </c>
      <c r="TF3" t="inlineStr">
        <is>
          <t xml:space="preserve">FCS R cascade: FY (all-other-filters flag)</t>
        </is>
      </c>
      <c r="TG3" t="inlineStr">
        <is>
          <t xml:space="preserve">FCS R cascade: FZ (candidate present flag)</t>
        </is>
      </c>
      <c r="TH3" t="inlineStr">
        <is>
          <t xml:space="preserve">FCS R cascade: GA (running count)</t>
        </is>
      </c>
      <c r="TI3" t="inlineStr">
        <is>
          <t xml:space="preserve">FCS R cascade: GB (dynamic dropdown list)</t>
        </is>
      </c>
      <c r="TJ3" t="inlineStr">
        <is>
          <t xml:space="preserve">FCS S cascade: FY (all-other-filters flag)</t>
        </is>
      </c>
      <c r="TK3" t="inlineStr">
        <is>
          <t xml:space="preserve">FCS S cascade: FZ (candidate present flag)</t>
        </is>
      </c>
      <c r="TL3" t="inlineStr">
        <is>
          <t xml:space="preserve">FCS S cascade: GA (running count)</t>
        </is>
      </c>
      <c r="TM3" t="inlineStr">
        <is>
          <t xml:space="preserve">FCS S cascade: GB (dynamic dropdown list)</t>
        </is>
      </c>
      <c r="TN3" t="inlineStr">
        <is>
          <t xml:space="preserve">FCS T cascade: FY (all-other-filters flag)</t>
        </is>
      </c>
      <c r="TO3" t="inlineStr">
        <is>
          <t xml:space="preserve">FCS T cascade: FZ (candidate present flag)</t>
        </is>
      </c>
      <c r="TP3" t="inlineStr">
        <is>
          <t xml:space="preserve">FCS T cascade: GA (running count)</t>
        </is>
      </c>
      <c r="TQ3" t="inlineStr">
        <is>
          <t xml:space="preserve">FCS T cascade: GB (dynamic dropdown list)</t>
        </is>
      </c>
      <c r="TR3" t="inlineStr">
        <is>
          <t xml:space="preserve">FCS U cascade: FY (all-other-filters flag)</t>
        </is>
      </c>
      <c r="TS3" t="inlineStr">
        <is>
          <t xml:space="preserve">FCS U cascade: FZ (candidate present flag)</t>
        </is>
      </c>
      <c r="TT3" t="inlineStr">
        <is>
          <t xml:space="preserve">FCS U cascade: GA (running count)</t>
        </is>
      </c>
      <c r="TU3" t="inlineStr">
        <is>
          <t xml:space="preserve">FCS U cascade: GB (dynamic dropdown list)</t>
        </is>
      </c>
      <c r="TV3" t="inlineStr">
        <is>
          <t xml:space="preserve">FCS V cascade: FY (all-other-filters flag)</t>
        </is>
      </c>
      <c r="TW3" t="inlineStr">
        <is>
          <t xml:space="preserve">FCS V cascade: FZ (candidate present flag)</t>
        </is>
      </c>
      <c r="TX3" t="inlineStr">
        <is>
          <t xml:space="preserve">FCS V cascade: GA (running count)</t>
        </is>
      </c>
      <c r="TY3" t="inlineStr">
        <is>
          <t xml:space="preserve">FCS V cascade: GB (dynamic dropdown list)</t>
        </is>
      </c>
      <c r="TZ3" t="inlineStr">
        <is>
          <t xml:space="preserve">FCS W cascade: FY (all-other-filters flag)</t>
        </is>
      </c>
      <c r="UA3" t="inlineStr">
        <is>
          <t xml:space="preserve">FCS W cascade: FZ (candidate present flag)</t>
        </is>
      </c>
      <c r="UB3" t="inlineStr">
        <is>
          <t xml:space="preserve">FCS W cascade: GA (running count)</t>
        </is>
      </c>
      <c r="UC3" t="inlineStr">
        <is>
          <t xml:space="preserve">FCS W cascade: GB (dynamic dropdown list)</t>
        </is>
      </c>
      <c r="UD3" t="inlineStr">
        <is>
          <t xml:space="preserve">FCS X cascade: FY (all-other-filters flag)</t>
        </is>
      </c>
      <c r="UE3" t="inlineStr">
        <is>
          <t xml:space="preserve">FCS X cascade: FZ (candidate present flag)</t>
        </is>
      </c>
      <c r="UF3" t="inlineStr">
        <is>
          <t xml:space="preserve">FCS X cascade: GA (running count)</t>
        </is>
      </c>
      <c r="UG3" t="inlineStr">
        <is>
          <t xml:space="preserve">FCS X cascade: GB (dynamic dropdown list)</t>
        </is>
      </c>
      <c r="UH3" t="inlineStr">
        <is>
          <t xml:space="preserve">FCS Y cascade: FY (all-other-filters flag)</t>
        </is>
      </c>
      <c r="UI3" t="inlineStr">
        <is>
          <t xml:space="preserve">FCS Y cascade: FZ (candidate present flag)</t>
        </is>
      </c>
      <c r="UJ3" t="inlineStr">
        <is>
          <t xml:space="preserve">FCS Y cascade: GA (running count)</t>
        </is>
      </c>
      <c r="UK3" t="inlineStr">
        <is>
          <t xml:space="preserve">FCS Y cascade: GB (dynamic dropdown list)</t>
        </is>
      </c>
      <c r="UL3" t="inlineStr">
        <is>
          <t xml:space="preserve">FCS Z cascade: FY (all-other-filters flag)</t>
        </is>
      </c>
      <c r="UM3" t="inlineStr">
        <is>
          <t xml:space="preserve">FCS Z cascade: FZ (candidate present flag)</t>
        </is>
      </c>
      <c r="UN3" t="inlineStr">
        <is>
          <t xml:space="preserve">FCS Z cascade: GA (running count)</t>
        </is>
      </c>
      <c r="UO3" t="inlineStr">
        <is>
          <t xml:space="preserve">FCS Z cascade: GB (dynamic dropdown list)</t>
        </is>
      </c>
      <c r="UP3" t="inlineStr">
        <is>
          <t xml:space="preserve">FCS AA cascade: FY (all-other-filters flag)</t>
        </is>
      </c>
      <c r="UQ3" t="inlineStr">
        <is>
          <t xml:space="preserve">FCS AA cascade: FZ (candidate present flag)</t>
        </is>
      </c>
      <c r="UR3" t="inlineStr">
        <is>
          <t xml:space="preserve">FCS AA cascade: GA (running count)</t>
        </is>
      </c>
      <c r="US3" t="inlineStr">
        <is>
          <t xml:space="preserve">FCS AA cascade: GB (dynamic dropdown list)</t>
        </is>
      </c>
      <c r="UT3" t="inlineStr">
        <is>
          <t xml:space="preserve">FCS AB cascade: FY (all-other-filters flag)</t>
        </is>
      </c>
      <c r="UU3" t="inlineStr">
        <is>
          <t xml:space="preserve">FCS AB cascade: FZ (candidate present flag)</t>
        </is>
      </c>
      <c r="UV3" t="inlineStr">
        <is>
          <t xml:space="preserve">FCS AB cascade: GA (running count)</t>
        </is>
      </c>
      <c r="UW3" t="inlineStr">
        <is>
          <t xml:space="preserve">FCS AB cascade: GB (dynamic dropdown list)</t>
        </is>
      </c>
      <c r="UX3" t="inlineStr">
        <is>
          <t xml:space="preserve">FCS AC cascade: FY (all-other-filters flag)</t>
        </is>
      </c>
      <c r="UY3" t="inlineStr">
        <is>
          <t xml:space="preserve">FCS AC cascade: FZ (candidate present flag)</t>
        </is>
      </c>
      <c r="UZ3" t="inlineStr">
        <is>
          <t xml:space="preserve">FCS AC cascade: GA (running count)</t>
        </is>
      </c>
      <c r="VA3" t="inlineStr">
        <is>
          <t xml:space="preserve">FCS AC cascade: GB (dynamic dropdown list)</t>
        </is>
      </c>
      <c r="VB3" t="inlineStr">
        <is>
          <t xml:space="preserve">FCS AD cascade: FY (all-other-filters flag)</t>
        </is>
      </c>
      <c r="VC3" t="inlineStr">
        <is>
          <t xml:space="preserve">FCS AD cascade: FZ (candidate present flag)</t>
        </is>
      </c>
      <c r="VD3" t="inlineStr">
        <is>
          <t xml:space="preserve">FCS AD cascade: GA (running count)</t>
        </is>
      </c>
      <c r="VE3" t="inlineStr">
        <is>
          <t xml:space="preserve">FCS AD cascade: GB (dynamic dropdown list)</t>
        </is>
      </c>
      <c r="VF3" t="inlineStr">
        <is>
          <t xml:space="preserve">FCS AE cascade: FY (all-other-filters flag)</t>
        </is>
      </c>
      <c r="VG3" t="inlineStr">
        <is>
          <t xml:space="preserve">FCS AE cascade: FZ (candidate present flag)</t>
        </is>
      </c>
      <c r="VH3" t="inlineStr">
        <is>
          <t xml:space="preserve">FCS AE cascade: GA (running count)</t>
        </is>
      </c>
      <c r="VI3" t="inlineStr">
        <is>
          <t xml:space="preserve">FCS AE cascade: GB (dynamic dropdown list)</t>
        </is>
      </c>
      <c r="VJ3" t="inlineStr">
        <is>
          <t xml:space="preserve">FCS AF cascade: FY (all-other-filters flag)</t>
        </is>
      </c>
      <c r="VK3" t="inlineStr">
        <is>
          <t xml:space="preserve">FCS AF cascade: FZ (candidate present flag)</t>
        </is>
      </c>
      <c r="VL3" t="inlineStr">
        <is>
          <t xml:space="preserve">FCS AF cascade: GA (running count)</t>
        </is>
      </c>
      <c r="VM3" t="inlineStr">
        <is>
          <t xml:space="preserve">FCS AF cascade: GB (dynamic dropdown list)</t>
        </is>
      </c>
      <c r="VN3" t="inlineStr">
        <is>
          <t xml:space="preserve">FCS AG cascade: FY (all-other-filters flag)</t>
        </is>
      </c>
      <c r="VO3" t="inlineStr">
        <is>
          <t xml:space="preserve">FCS AG cascade: FZ (candidate present flag)</t>
        </is>
      </c>
      <c r="VP3" t="inlineStr">
        <is>
          <t xml:space="preserve">FCS AG cascade: GA (running count)</t>
        </is>
      </c>
      <c r="VQ3" t="inlineStr">
        <is>
          <t xml:space="preserve">FCS AG cascade: GB (dynamic dropdown list)</t>
        </is>
      </c>
      <c r="VR3" t="inlineStr">
        <is>
          <t xml:space="preserve">FCS AH cascade: FY (all-other-filters flag)</t>
        </is>
      </c>
      <c r="VS3" t="inlineStr">
        <is>
          <t xml:space="preserve">FCS AH cascade: FZ (candidate present flag)</t>
        </is>
      </c>
      <c r="VT3" t="inlineStr">
        <is>
          <t xml:space="preserve">FCS AH cascade: GA (running count)</t>
        </is>
      </c>
      <c r="VU3" t="inlineStr">
        <is>
          <t xml:space="preserve">FCS AH cascade: GB (dynamic dropdown list)</t>
        </is>
      </c>
    </row>
    <row r="4">
      <c r="A4">
        <f>IF(IFERROR('Final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IF(IFERROR('Final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s="55">
        <f>IF('Final Calculation Sheet'!$C$4="","",'Final Calculation Sheet'!$C$4)</f>
        <v/>
      </c>
      <c r="AP4">
        <f>IF(AO4="","",COUNTIFS(AO$4:AO$40,"&lt;"&amp;AO4,AO$4:AO$40,"&lt;&gt;"&amp;"")+COUNTIF(AO$4:AO4,AO4))</f>
        <v/>
      </c>
      <c r="AQ4" s="55">
        <f>IF(ROW()-3&gt;COUNTIF(AO$4:AO$40,"&lt;&gt;"&amp;""),"",INDEX(AO$4:AO$40,MATCH(ROW()-3,AP$4:AP$40,0)))</f>
        <v/>
      </c>
      <c r="AR4">
        <f>IF(AND(AQ4&lt;&gt;"",COUNTIF(AQ$4:AQ4,AQ4)=1),1,0)</f>
        <v/>
      </c>
      <c r="AS4" s="55">
        <f>IF(ROW()-3&gt;MAX(AR$4:AR$40),"",INDEX(AQ$4:AQ$40,MATCH(ROW()-3,AR$4:AR$40,0)))</f>
        <v/>
      </c>
      <c r="AT4" s="55">
        <f>IF('Final Calculation Sheet'!$H$4="","",'Final Calculation Sheet'!$H$4)</f>
        <v/>
      </c>
      <c r="AU4">
        <f>IF(AT4="","",COUNTIFS(AT$4:AT$40,"&lt;"&amp;AT4,AT$4:AT$40,"&lt;&gt;"&amp;"")+COUNTIF(AT$4:AT4,AT4))</f>
        <v/>
      </c>
      <c r="AV4" s="55">
        <f>IF(ROW()-3&gt;COUNTIF(AT$4:AT$40,"&lt;&gt;"&amp;""),"",INDEX(AT$4:AT$40,MATCH(ROW()-3,AU$4:AU$40,0)))</f>
        <v/>
      </c>
      <c r="AW4">
        <f>IF(AND(AV4&lt;&gt;"",COUNTIF(AV$4:AV4,AV4)=1),1,0)</f>
        <v/>
      </c>
      <c r="AX4" s="55">
        <f>IF(ROW()-3&gt;MAX(AW$4:AW$40),"",INDEX(AV$4:AV$40,MATCH(ROW()-3,AW$4:AW$40,0)))</f>
        <v/>
      </c>
      <c r="AY4" s="55">
        <f>IF('Final Calculation Sheet'!$I$4="","",'Final Calculation Sheet'!$I$4)</f>
        <v/>
      </c>
      <c r="AZ4">
        <f>IF(AY4="","",COUNTIFS(AY$4:AY$40,"&lt;"&amp;AY4,AY$4:AY$40,"&lt;&gt;"&amp;"")+COUNTIF(AY$4:AY4,AY4))</f>
        <v/>
      </c>
      <c r="BA4" s="55">
        <f>IF(ROW()-3&gt;COUNTIF(AY$4:AY$40,"&lt;&gt;"&amp;""),"",INDEX(AY$4:AY$40,MATCH(ROW()-3,AZ$4:AZ$40,0)))</f>
        <v/>
      </c>
      <c r="BB4">
        <f>IF(AND(BA4&lt;&gt;"",COUNTIF(BA$4:BA4,BA4)=1),1,0)</f>
        <v/>
      </c>
      <c r="BC4" s="55">
        <f>IF(ROW()-3&gt;MAX(BB$4:BB$40),"",INDEX(BA$4:BA$40,MATCH(ROW()-3,BB$4:BB$40,0)))</f>
        <v/>
      </c>
      <c r="BD4" s="55">
        <f>IF('Final Calculation Sheet'!$J$4="","",'Final Calculation Sheet'!$J$4)</f>
        <v/>
      </c>
      <c r="BE4">
        <f>IF(BD4="","",COUNTIFS(BD$4:BD$40,"&lt;"&amp;BD4,BD$4:BD$40,"&lt;&gt;"&amp;"")+COUNTIF(BD$4:BD4,BD4))</f>
        <v/>
      </c>
      <c r="BF4" s="55">
        <f>IF(ROW()-3&gt;COUNTIF(BD$4:BD$40,"&lt;&gt;"&amp;""),"",INDEX(BD$4:BD$40,MATCH(ROW()-3,BE$4:BE$40,0)))</f>
        <v/>
      </c>
      <c r="BG4">
        <f>IF(AND(BF4&lt;&gt;"",COUNTIF(BF$4:BF4,BF4)=1),1,0)</f>
        <v/>
      </c>
      <c r="BH4" s="55">
        <f>IF(ROW()-3&gt;MAX(BG$4:BG$40),"",INDEX(BF$4:BF$40,MATCH(ROW()-3,BG$4:BG$40,0)))</f>
        <v/>
      </c>
      <c r="BI4" s="55">
        <f>IF('Final Calculation Sheet'!$K$4="","",'Final Calculation Sheet'!$K$4)</f>
        <v/>
      </c>
      <c r="BJ4">
        <f>IF(BI4="","",COUNTIFS(BI$4:BI$40,"&lt;"&amp;BI4,BI$4:BI$40,"&lt;&gt;"&amp;"")+COUNTIF(BI$4:BI4,BI4))</f>
        <v/>
      </c>
      <c r="BK4" s="55">
        <f>IF(ROW()-3&gt;COUNTIF(BI$4:BI$40,"&lt;&gt;"&amp;""),"",INDEX(BI$4:BI$40,MATCH(ROW()-3,BJ$4:BJ$40,0)))</f>
        <v/>
      </c>
      <c r="BL4">
        <f>IF(AND(BK4&lt;&gt;"",COUNTIF(BK$4:BK4,BK4)=1),1,0)</f>
        <v/>
      </c>
      <c r="BM4" s="55">
        <f>IF(ROW()-3&gt;MAX(BL$4:BL$40),"",INDEX(BK$4:BK$40,MATCH(ROW()-3,BL$4:BL$40,0)))</f>
        <v/>
      </c>
      <c r="BN4" s="55">
        <f>IF('Final Calculation Sheet'!$L$4="","",'Final Calculation Sheet'!$L$4)</f>
        <v/>
      </c>
      <c r="BO4">
        <f>IF(BN4="","",COUNTIFS(BN$4:BN$40,"&lt;"&amp;BN4,BN$4:BN$40,"&lt;&gt;"&amp;"")+COUNTIF(BN$4:BN4,BN4))</f>
        <v/>
      </c>
      <c r="BP4" s="55">
        <f>IF(ROW()-3&gt;COUNTIF(BN$4:BN$40,"&lt;&gt;"&amp;""),"",INDEX(BN$4:BN$40,MATCH(ROW()-3,BO$4:BO$40,0)))</f>
        <v/>
      </c>
      <c r="BQ4">
        <f>IF(AND(BP4&lt;&gt;"",COUNTIF(BP$4:BP4,BP4)=1),1,0)</f>
        <v/>
      </c>
      <c r="BR4" s="55">
        <f>IF(ROW()-3&gt;MAX(BQ$4:BQ$40),"",INDEX(BP$4:BP$40,MATCH(ROW()-3,BQ$4:BQ$40,0)))</f>
        <v/>
      </c>
      <c r="BS4" s="55">
        <f>IF('Final Calculation Sheet'!$M$4="","",'Final Calculation Sheet'!$M$4)</f>
        <v/>
      </c>
      <c r="BT4">
        <f>IF(BS4="","",COUNTIFS(BS$4:BS$40,"&lt;"&amp;BS4,BS$4:BS$40,"&lt;&gt;"&amp;"")+COUNTIF(BS$4:BS4,BS4))</f>
        <v/>
      </c>
      <c r="BU4" s="55">
        <f>IF(ROW()-3&gt;COUNTIF(BS$4:BS$40,"&lt;&gt;"&amp;""),"",INDEX(BS$4:BS$40,MATCH(ROW()-3,BT$4:BT$40,0)))</f>
        <v/>
      </c>
      <c r="BV4">
        <f>IF(AND(BU4&lt;&gt;"",COUNTIF(BU$4:BU4,BU4)=1),1,0)</f>
        <v/>
      </c>
      <c r="BW4" s="55">
        <f>IF(ROW()-3&gt;MAX(BV$4:BV$40),"",INDEX(BU$4:BU$40,MATCH(ROW()-3,BV$4:BV$40,0)))</f>
        <v/>
      </c>
      <c r="BX4" s="138">
        <f>IF('Final Calculation Sheet'!$N$4="","",'Final Calculation Sheet'!$N$4)</f>
        <v/>
      </c>
      <c r="BY4">
        <f>IF(BX4="","",COUNTIFS(BX$4:BX$40,"&lt;"&amp;BX4,BX$4:BX$40,"&lt;&gt;"&amp;"")+COUNTIF(BX$4:BX4,BX4))</f>
        <v/>
      </c>
      <c r="BZ4" s="138">
        <f>IF(ROW()-3&gt;COUNTIF(BX$4:BX$40,"&lt;&gt;"&amp;""),"",INDEX(BX$4:BX$40,MATCH(ROW()-3,BY$4:BY$40,0)))</f>
        <v/>
      </c>
      <c r="CA4">
        <f>IF(AND(BZ4&lt;&gt;"",COUNTIF(BZ$4:BZ4,BZ4)=1),1,0)</f>
        <v/>
      </c>
      <c r="CB4" s="138">
        <f>IF(ROW()-3&gt;MAX(CA$4:CA$40),"",INDEX(BZ$4:BZ$40,MATCH(ROW()-3,CA$4:CA$40,0)))</f>
        <v/>
      </c>
      <c r="CC4" s="55">
        <f>IF('Final Calculation Sheet'!$O$4="","",'Final Calculation Sheet'!$O$4)</f>
        <v/>
      </c>
      <c r="CD4">
        <f>IF(CC4="","",COUNTIFS(CC$4:CC$40,"&lt;"&amp;CC4,CC$4:CC$40,"&lt;&gt;"&amp;"")+COUNTIF(CC$4:CC4,CC4))</f>
        <v/>
      </c>
      <c r="CE4" s="55">
        <f>IF(ROW()-3&gt;COUNTIF(CC$4:CC$40,"&lt;&gt;"&amp;""),"",INDEX(CC$4:CC$40,MATCH(ROW()-3,CD$4:CD$40,0)))</f>
        <v/>
      </c>
      <c r="CF4">
        <f>IF(AND(CE4&lt;&gt;"",COUNTIF(CE$4:CE4,CE4)=1),1,0)</f>
        <v/>
      </c>
      <c r="CG4" s="55">
        <f>IF(ROW()-3&gt;MAX(CF$4:CF$40),"",INDEX(CE$4:CE$40,MATCH(ROW()-3,CF$4:CF$40,0)))</f>
        <v/>
      </c>
      <c r="CH4" s="55">
        <f>IF('Final Calculation Sheet'!$P$4="","",'Final Calculation Sheet'!$P$4)</f>
        <v/>
      </c>
      <c r="CI4">
        <f>IF(CH4="","",COUNTIFS(CH$4:CH$40,"&lt;"&amp;CH4,CH$4:CH$40,"&lt;&gt;"&amp;"")+COUNTIF(CH$4:CH4,CH4))</f>
        <v/>
      </c>
      <c r="CJ4" s="55">
        <f>IF(ROW()-3&gt;COUNTIF(CH$4:CH$40,"&lt;&gt;"&amp;""),"",INDEX(CH$4:CH$40,MATCH(ROW()-3,CI$4:CI$40,0)))</f>
        <v/>
      </c>
      <c r="CK4">
        <f>IF(AND(CJ4&lt;&gt;"",COUNTIF(CJ$4:CJ4,CJ4)=1),1,0)</f>
        <v/>
      </c>
      <c r="CL4" s="55">
        <f>IF(ROW()-3&gt;MAX(CK$4:CK$40),"",INDEX(CJ$4:CJ$40,MATCH(ROW()-3,CK$4:CK$40,0)))</f>
        <v/>
      </c>
      <c r="CM4" s="139">
        <f>IF('Final Calculation Sheet'!$Q$4="","",'Final Calculation Sheet'!$Q$4)</f>
        <v/>
      </c>
      <c r="CN4">
        <f>IF(CM4="","",COUNTIFS(CM$4:CM$40,"&lt;"&amp;CM4,CM$4:CM$40,"&lt;&gt;"&amp;"")+COUNTIF(CM$4:CM4,CM4))</f>
        <v/>
      </c>
      <c r="CO4" s="139">
        <f>IF(ROW()-3&gt;COUNTIF(CM$4:CM$40,"&lt;&gt;"&amp;""),"",INDEX(CM$4:CM$40,MATCH(ROW()-3,CN$4:CN$40,0)))</f>
        <v/>
      </c>
      <c r="CP4">
        <f>IF(AND(CO4&lt;&gt;"",COUNTIF(CO$4:CO4,CO4)=1),1,0)</f>
        <v/>
      </c>
      <c r="CQ4" s="139">
        <f>IF(ROW()-3&gt;MAX(CP$4:CP$40),"",INDEX(CO$4:CO$40,MATCH(ROW()-3,CP$4:CP$40,0)))</f>
        <v/>
      </c>
      <c r="CR4" s="55">
        <f>IF('Final Calculation Sheet'!$R$4="","",'Final Calculation Sheet'!$R$4)</f>
        <v/>
      </c>
      <c r="CS4">
        <f>IF(CR4="","",COUNTIFS(CR$4:CR$40,"&lt;"&amp;CR4,CR$4:CR$40,"&lt;&gt;"&amp;"")+COUNTIF(CR$4:CR4,CR4))</f>
        <v/>
      </c>
      <c r="CT4" s="55">
        <f>IF(ROW()-3&gt;COUNTIF(CR$4:CR$40,"&lt;&gt;"&amp;""),"",INDEX(CR$4:CR$40,MATCH(ROW()-3,CS$4:CS$40,0)))</f>
        <v/>
      </c>
      <c r="CU4">
        <f>IF(AND(CT4&lt;&gt;"",COUNTIF(CT$4:CT4,CT4)=1),1,0)</f>
        <v/>
      </c>
      <c r="CV4" s="55">
        <f>IF(ROW()-3&gt;MAX(CU$4:CU$40),"",INDEX(CT$4:CT$40,MATCH(ROW()-3,CU$4:CU$40,0)))</f>
        <v/>
      </c>
      <c r="CW4" s="55">
        <f>IF('Final Calculation Sheet'!$S$4="","",'Final Calculation Sheet'!$S$4)</f>
        <v/>
      </c>
      <c r="CX4">
        <f>IF(CW4="","",COUNTIFS(CW$4:CW$40,"&lt;"&amp;CW4,CW$4:CW$40,"&lt;&gt;"&amp;"")+COUNTIF(CW$4:CW4,CW4))</f>
        <v/>
      </c>
      <c r="CY4" s="55">
        <f>IF(ROW()-3&gt;COUNTIF(CW$4:CW$40,"&lt;&gt;"&amp;""),"",INDEX(CW$4:CW$40,MATCH(ROW()-3,CX$4:CX$40,0)))</f>
        <v/>
      </c>
      <c r="CZ4">
        <f>IF(AND(CY4&lt;&gt;"",COUNTIF(CY$4:CY4,CY4)=1),1,0)</f>
        <v/>
      </c>
      <c r="DA4" s="55">
        <f>IF(ROW()-3&gt;MAX(CZ$4:CZ$40),"",INDEX(CY$4:CY$40,MATCH(ROW()-3,CZ$4:CZ$40,0)))</f>
        <v/>
      </c>
      <c r="DB4" s="55">
        <f>IF('Final Calculation Sheet'!$T$4="","",'Final Calculation Sheet'!$T$4)</f>
        <v/>
      </c>
      <c r="DC4">
        <f>IF(DB4="","",COUNTIFS(DB$4:DB$40,"&lt;"&amp;DB4,DB$4:DB$40,"&lt;&gt;"&amp;"")+COUNTIF(DB$4:DB4,DB4))</f>
        <v/>
      </c>
      <c r="DD4" s="55">
        <f>IF(ROW()-3&gt;COUNTIF(DB$4:DB$40,"&lt;&gt;"&amp;""),"",INDEX(DB$4:DB$40,MATCH(ROW()-3,DC$4:DC$40,0)))</f>
        <v/>
      </c>
      <c r="DE4">
        <f>IF(AND(DD4&lt;&gt;"",COUNTIF(DD$4:DD4,DD4)=1),1,0)</f>
        <v/>
      </c>
      <c r="DF4" s="55">
        <f>IF(ROW()-3&gt;MAX(DE$4:DE$40),"",INDEX(DD$4:DD$40,MATCH(ROW()-3,DE$4:DE$40,0)))</f>
        <v/>
      </c>
      <c r="DG4" s="140">
        <f>IF('Final Calculation Sheet'!$U$4="","",'Final Calculation Sheet'!$U$4)</f>
        <v/>
      </c>
      <c r="DH4">
        <f>IF(DG4="","",COUNTIFS(DG$4:DG$40,"&lt;"&amp;DG4,DG$4:DG$40,"&lt;&gt;"&amp;"")+COUNTIF(DG$4:DG4,DG4))</f>
        <v/>
      </c>
      <c r="DI4" s="140">
        <f>IF(ROW()-3&gt;COUNTIF(DG$4:DG$40,"&lt;&gt;"&amp;""),"",INDEX(DG$4:DG$40,MATCH(ROW()-3,DH$4:DH$40,0)))</f>
        <v/>
      </c>
      <c r="DJ4">
        <f>IF(AND(DI4&lt;&gt;"",COUNTIF(DI$4:DI4,DI4)=1),1,0)</f>
        <v/>
      </c>
      <c r="DK4" s="140">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s="55">
        <f>IF('Final Calculation Sheet'!$W$4="","",'Final Calculation Sheet'!$W$4)</f>
        <v/>
      </c>
      <c r="DR4">
        <f>IF(DQ4="","",COUNTIFS(DQ$4:DQ$40,"&lt;"&amp;DQ4,DQ$4:DQ$40,"&lt;&gt;"&amp;"")+COUNTIF(DQ$4:DQ4,DQ4))</f>
        <v/>
      </c>
      <c r="DS4" s="55">
        <f>IF(ROW()-3&gt;COUNTIF(DQ$4:DQ$40,"&lt;&gt;"&amp;""),"",INDEX(DQ$4:DQ$40,MATCH(ROW()-3,DR$4:DR$40,0)))</f>
        <v/>
      </c>
      <c r="DT4">
        <f>IF(AND(DS4&lt;&gt;"",COUNTIF(DS$4:DS4,DS4)=1),1,0)</f>
        <v/>
      </c>
      <c r="DU4" s="55">
        <f>IF(ROW()-3&gt;MAX(DT$4:DT$40),"",INDEX(DS$4:DS$40,MATCH(ROW()-3,DT$4:DT$40,0)))</f>
        <v/>
      </c>
      <c r="DV4" s="55">
        <f>IF('Final Calculation Sheet'!$X$4="","",'Final Calculation Sheet'!$X$4)</f>
        <v/>
      </c>
      <c r="DW4">
        <f>IF(DV4="","",COUNTIFS(DV$4:DV$40,"&lt;"&amp;DV4,DV$4:DV$40,"&lt;&gt;"&amp;"")+COUNTIF(DV$4:DV4,DV4))</f>
        <v/>
      </c>
      <c r="DX4" s="55">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s="55">
        <f>IF(ROW()-3&gt;COUNTIF(EA$4:EA$40,"&lt;&gt;"&amp;""),"",INDEX(EA$4:EA$40,MATCH(ROW()-3,EB$4:EB$40,0)))</f>
        <v/>
      </c>
      <c r="ED4">
        <f>IF(AND(EC4&lt;&gt;"",COUNTIF(EC$4:EC4,EC4)=1),1,0)</f>
        <v/>
      </c>
      <c r="EE4">
        <f>IF(ROW()-3&gt;MAX(ED$4:ED$40),"",INDEX(EC$4:EC$40,MATCH(ROW()-3,ED$4:ED$40,0)))</f>
        <v/>
      </c>
      <c r="EF4" s="55">
        <f>IF('Final Calculation Sheet'!$Z$4="","",'Final Calculation Sheet'!$Z$4)</f>
        <v/>
      </c>
      <c r="EG4">
        <f>IF(EF4="","",COUNTIFS(EF$4:EF$40,"&lt;"&amp;EF4,EF$4:EF$40,"&lt;&gt;"&amp;"")+COUNTIF(EF$4:EF4,EF4))</f>
        <v/>
      </c>
      <c r="EH4" s="55">
        <f>IF(ROW()-3&gt;COUNTIF(EF$4:EF$40,"&lt;&gt;"&amp;""),"",INDEX(EF$4:EF$40,MATCH(ROW()-3,EG$4:EG$40,0)))</f>
        <v/>
      </c>
      <c r="EI4">
        <f>IF(AND(EH4&lt;&gt;"",COUNTIF(EH$4:EH4,EH4)=1),1,0)</f>
        <v/>
      </c>
      <c r="EJ4" s="55">
        <f>IF(ROW()-3&gt;MAX(EI$4:EI$40),"",INDEX(EH$4:EH$40,MATCH(ROW()-3,EI$4:EI$40,0)))</f>
        <v/>
      </c>
      <c r="EK4">
        <f>IF('Final Calculation Sheet'!$AA$4="","",'Final Calculation Sheet'!$AA$4)</f>
        <v/>
      </c>
      <c r="EL4">
        <f>IF(EK4="","",COUNTIFS(EK$4:EK$40,"&lt;"&amp;EK4,EK$4:EK$40,"&lt;&gt;"&amp;"")+COUNTIF(EK$4:EK4,EK4))</f>
        <v/>
      </c>
      <c r="EM4" s="55">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s="55">
        <f>IF('Final Calculation Sheet'!$AC$4="","",'Final Calculation Sheet'!$AC$4)</f>
        <v/>
      </c>
      <c r="EV4">
        <f>IF(EU4="","",COUNTIFS(EU$4:EU$40,"&lt;"&amp;EU4,EU$4:EU$40,"&lt;&gt;"&amp;"")+COUNTIF(EU$4:EU4,EU4))</f>
        <v/>
      </c>
      <c r="EW4" s="55">
        <f>IF(ROW()-3&gt;COUNTIF(EU$4:EU$40,"&lt;&gt;"&amp;""),"",INDEX(EU$4:EU$40,MATCH(ROW()-3,EV$4:EV$40,0)))</f>
        <v/>
      </c>
      <c r="EX4">
        <f>IF(AND(EW4&lt;&gt;"",COUNTIF(EW$4:EW4,EW4)=1),1,0)</f>
        <v/>
      </c>
      <c r="EY4" s="55">
        <f>IF(ROW()-3&gt;MAX(EX$4:EX$40),"",INDEX(EW$4:EW$40,MATCH(ROW()-3,EX$4:EX$40,0)))</f>
        <v/>
      </c>
      <c r="EZ4" s="55">
        <f>IF('Final Calculation Sheet'!$AD$4="","",'Final Calculation Sheet'!$AD$4)</f>
        <v/>
      </c>
      <c r="FA4">
        <f>IF(EZ4="","",COUNTIFS(EZ$4:EZ$40,"&lt;"&amp;EZ4,EZ$4:EZ$40,"&lt;&gt;"&amp;"")+COUNTIF(EZ$4:EZ4,EZ4))</f>
        <v/>
      </c>
      <c r="FB4" s="55">
        <f>IF(ROW()-3&gt;COUNTIF(EZ$4:EZ$40,"&lt;&gt;"&amp;""),"",INDEX(EZ$4:EZ$40,MATCH(ROW()-3,FA$4:FA$40,0)))</f>
        <v/>
      </c>
      <c r="FC4">
        <f>IF(AND(FB4&lt;&gt;"",COUNTIF(FB$4:FB4,FB4)=1),1,0)</f>
        <v/>
      </c>
      <c r="FD4" s="55">
        <f>IF(ROW()-3&gt;MAX(FC$4:FC$40),"",INDEX(FB$4:FB$40,MATCH(ROW()-3,FC$4:FC$40,0)))</f>
        <v/>
      </c>
      <c r="FE4">
        <f>IF('Final Calculation Sheet'!$AF$4="","",'Final Calculation Sheet'!$AF$4)</f>
        <v/>
      </c>
      <c r="FF4">
        <f>IF(FE4="","",COUNTIFS(FE$4:FE$40,"&lt;"&amp;FE4,FE$4:FE$40,"&lt;&gt;"&amp;"")+COUNTIF(FE$4:FE4,FE4))</f>
        <v/>
      </c>
      <c r="FG4">
        <f>IF(ROW()-3&gt;COUNTIF(FE$4:FE$40,"&lt;&gt;"&amp;""),"",INDEX(FE$4:FE$40,MATCH(ROW()-3,FF$4:FF$40,0)))</f>
        <v/>
      </c>
      <c r="FH4">
        <f>IF(AND(FG4&lt;&gt;"",COUNTIF(FG$4:FG4,FG4)=1),1,0)</f>
        <v/>
      </c>
      <c r="FI4">
        <f>IF(ROW()-3&gt;MAX(FH$4:FH$40),"",INDEX(FG$4:FG$40,MATCH(ROW()-3,FH$4:FH$40,0)))</f>
        <v/>
      </c>
      <c r="FJ4" s="141">
        <f>IF('Final Calculation Sheet'!$AG$4="","",'Final Calculation Sheet'!$AG$4)</f>
        <v/>
      </c>
      <c r="FK4">
        <f>IF(FJ4="","",COUNTIFS(FJ$4:FJ$40,"&lt;"&amp;FJ4,FJ$4:FJ$40,"&lt;&gt;"&amp;"")+COUNTIF(FJ$4:FJ4,FJ4))</f>
        <v/>
      </c>
      <c r="FL4" s="141">
        <f>IF(ROW()-3&gt;COUNTIF(FJ$4:FJ$40,"&lt;&gt;"&amp;""),"",INDEX(FJ$4:FJ$40,MATCH(ROW()-3,FK$4:FK$40,0)))</f>
        <v/>
      </c>
      <c r="FM4">
        <f>IF(AND(FL4&lt;&gt;"",COUNTIF(FL$4:FL4,FL4)=1),1,0)</f>
        <v/>
      </c>
      <c r="FN4">
        <f>IF(ROW()-3&gt;MAX(FM$4:FM$40),"",INDEX(FL$4:FL$40,MATCH(ROW()-3,FM$4:FM$40,0)))</f>
        <v/>
      </c>
      <c r="FO4">
        <f>IF('Final Calculation Sheet'!$AH$4="","",'Final Calculation Sheet'!$AH$4)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c r="FZ4">
        <f>IF($Y$4="",FALSE,SUMPRODUCT(('Final Calculation Sheet'!$B$4:$B$40=$Y$4)*($FY$6:$FY$42=1))&gt;0)</f>
        <v/>
      </c>
      <c r="GA4">
        <f>--($FZ$4)</f>
        <v/>
      </c>
      <c r="GB4">
        <f>IF(ROW()-3&gt;MAX($GA$4:$GA$40),"",INDEX($Y$4:$Y$40,MATCH(ROW()-3,$GA$4:$GA$40,0)))</f>
        <v/>
      </c>
      <c r="GD4">
        <f>IF($O$4="",FALSE,SUMPRODUCT(('Final Calculation Sheet'!$F$4:$F$40=$O$4)*($GC$6:$GC$42=1))&gt;0)</f>
        <v/>
      </c>
      <c r="GE4">
        <f>--($GD$4)</f>
        <v/>
      </c>
      <c r="GF4">
        <f>IF(ROW()-3&gt;MAX($GE$4:$GE$40),"",INDEX($O$4:$O$40,MATCH(ROW()-3,$GE$4:$GE$40,0)))</f>
        <v/>
      </c>
      <c r="GH4">
        <f>IF($T$4="",FALSE,SUMPRODUCT(('Final Calculation Sheet'!$G$4:$G$40=$T$4)*($GG$6:$GG$42=1))&gt;0)</f>
        <v/>
      </c>
      <c r="GI4">
        <f>--($GH$4)</f>
        <v/>
      </c>
      <c r="GJ4">
        <f>IF(ROW()-3&gt;MAX($GI$4:$GI$40),"",INDEX($T$4:$T$40,MATCH(ROW()-3,$GI$4:$GI$40,0)))</f>
        <v/>
      </c>
      <c r="GL4">
        <f>IF($AD$4="",FALSE,SUMPRODUCT(('Final Calculation Sheet'!$D$4:$D$40=$AD$4)*($GK$6:$GK$42=1))&gt;0)</f>
        <v/>
      </c>
      <c r="GM4">
        <f>--($GL$4)</f>
        <v/>
      </c>
      <c r="GN4">
        <f>IF(ROW()-3&gt;MAX($GM$4:$GM$40),"",INDEX($AD$4:$AD$40,MATCH(ROW()-3,$GM$4:$GM$40,0)))</f>
        <v/>
      </c>
      <c r="GP4">
        <f>IF($AI$4="",FALSE,SUMPRODUCT(('Final Calculation Sheet'!$A$4:$A$40=$AI$4)*($GO$6:$GO$42=1))&gt;0)</f>
        <v/>
      </c>
      <c r="GQ4">
        <f>--($GP$4)</f>
        <v/>
      </c>
      <c r="GR4">
        <f>IF(ROW()-3&gt;MAX($GQ$4:$GQ$40),"",INDEX($AI$4:$AI$40,MATCH(ROW()-3,$GQ$4:$GQ$40,0)))</f>
        <v/>
      </c>
      <c r="GT4">
        <f>IF($AN$4="",FALSE,SUMPRODUCT(('Final Calculation Sheet'!$E$4:$E$40=$AN$4)*($GS$6:$GS$42=1))&gt;0)</f>
        <v/>
      </c>
      <c r="GU4">
        <f>--($GT$4)</f>
        <v/>
      </c>
      <c r="GV4">
        <f>IF(ROW()-3&gt;MAX($GU$4:$GU$40),"",INDEX($AN$4:$AN$40,MATCH(ROW()-3,$GU$4:$GU$40,0)))</f>
        <v/>
      </c>
      <c r="GX4">
        <f>IF($AS$4="",FALSE,SUMPRODUCT(('Final Calculation Sheet'!$C$4:$C$40=$AS$4)*($GW$6:$GW$42=1))&gt;0)</f>
        <v/>
      </c>
      <c r="GY4">
        <f>--($GX$4)</f>
        <v/>
      </c>
      <c r="GZ4">
        <f>IF(ROW()-3&gt;MAX($GY$4:$GY$40),"",INDEX($AS$4:$AS$40,MATCH(ROW()-3,$GY$4:$GY$40,0)))</f>
        <v/>
      </c>
      <c r="HB4">
        <f>IF($AX$4="",FALSE,SUMPRODUCT(('Final Calculation Sheet'!$H$4:$H$40=$AX$4)*($HA$6:$HA$42=1))&gt;0)</f>
        <v/>
      </c>
      <c r="HC4">
        <f>--($HB$4)</f>
        <v/>
      </c>
      <c r="HD4">
        <f>IF(ROW()-3&gt;MAX($HC$4:$HC$40),"",INDEX($AX$4:$AX$40,MATCH(ROW()-3,$HC$4:$HC$40,0)))</f>
        <v/>
      </c>
      <c r="HF4">
        <f>IF($BC$4="",FALSE,SUMPRODUCT(('Final Calculation Sheet'!$I$4:$I$40=$BC$4)*($HE$6:$HE$42=1))&gt;0)</f>
        <v/>
      </c>
      <c r="HG4">
        <f>--($HF$4)</f>
        <v/>
      </c>
      <c r="HH4">
        <f>IF(ROW()-3&gt;MAX($HG$4:$HG$40),"",INDEX($BC$4:$BC$40,MATCH(ROW()-3,$HG$4:$HG$40,0)))</f>
        <v/>
      </c>
      <c r="HJ4">
        <f>IF($BH$4="",FALSE,SUMPRODUCT(('Final Calculation Sheet'!$J$4:$J$40=$BH$4)*($HI$6:$HI$42=1))&gt;0)</f>
        <v/>
      </c>
      <c r="HK4">
        <f>--($HJ$4)</f>
        <v/>
      </c>
      <c r="HL4">
        <f>IF(ROW()-3&gt;MAX($HK$4:$HK$40),"",INDEX($BH$4:$BH$40,MATCH(ROW()-3,$HK$4:$HK$40,0)))</f>
        <v/>
      </c>
      <c r="HN4">
        <f>IF($BM$4="",FALSE,SUMPRODUCT(('Final Calculation Sheet'!$K$4:$K$40=$BM$4)*($HM$6:$HM$42=1))&gt;0)</f>
        <v/>
      </c>
      <c r="HO4">
        <f>--($HN$4)</f>
        <v/>
      </c>
      <c r="HP4">
        <f>IF(ROW()-3&gt;MAX($HO$4:$HO$40),"",INDEX($BM$4:$BM$40,MATCH(ROW()-3,$HO$4:$HO$40,0)))</f>
        <v/>
      </c>
      <c r="HR4">
        <f>IF($BR$4="",FALSE,SUMPRODUCT(('Final Calculation Sheet'!$L$4:$L$40=$BR$4)*($HQ$6:$HQ$42=1))&gt;0)</f>
        <v/>
      </c>
      <c r="HS4">
        <f>--($HR$4)</f>
        <v/>
      </c>
      <c r="HT4">
        <f>IF(ROW()-3&gt;MAX($HS$4:$HS$40),"",INDEX($BR$4:$BR$40,MATCH(ROW()-3,$HS$4:$HS$40,0)))</f>
        <v/>
      </c>
      <c r="HV4">
        <f>IF($BW$4="",FALSE,SUMPRODUCT(('Final Calculation Sheet'!$M$4:$M$40=$BW$4)*($HU$6:$HU$42=1))&gt;0)</f>
        <v/>
      </c>
      <c r="HW4">
        <f>--($HV$4)</f>
        <v/>
      </c>
      <c r="HX4">
        <f>IF(ROW()-3&gt;MAX($HW$4:$HW$40),"",INDEX($BW$4:$BW$40,MATCH(ROW()-3,$HW$4:$HW$40,0)))</f>
        <v/>
      </c>
      <c r="HZ4">
        <f>IF($CB$4="",FALSE,SUMPRODUCT(('Final Calculation Sheet'!$N$4:$N$40=$CB$4)*($HY$6:$HY$42=1))&gt;0)</f>
        <v/>
      </c>
      <c r="IA4">
        <f>--($HZ$4)</f>
        <v/>
      </c>
      <c r="IB4">
        <f>IF(ROW()-3&gt;MAX($IA$4:$IA$40),"",INDEX($CB$4:$CB$40,MATCH(ROW()-3,$IA$4:$IA$40,0)))</f>
        <v/>
      </c>
      <c r="ID4">
        <f>IF($CG$4="",FALSE,SUMPRODUCT(('Final Calculation Sheet'!$O$4:$O$40=$CG$4)*($IC$6:$IC$42=1))&gt;0)</f>
        <v/>
      </c>
      <c r="IE4">
        <f>--($ID$4)</f>
        <v/>
      </c>
      <c r="IF4">
        <f>IF(ROW()-3&gt;MAX($IE$4:$IE$40),"",INDEX($CG$4:$CG$40,MATCH(ROW()-3,$IE$4:$IE$40,0)))</f>
        <v/>
      </c>
      <c r="IH4">
        <f>IF($CL$4="",FALSE,SUMPRODUCT(('Final Calculation Sheet'!$P$4:$P$40=$CL$4)*($IG$6:$IG$42=1))&gt;0)</f>
        <v/>
      </c>
      <c r="II4">
        <f>--($IH$4)</f>
        <v/>
      </c>
      <c r="IJ4">
        <f>IF(ROW()-3&gt;MAX($II$4:$II$40),"",INDEX($CL$4:$CL$40,MATCH(ROW()-3,$II$4:$II$40,0)))</f>
        <v/>
      </c>
      <c r="IL4">
        <f>IF($CQ$4="",FALSE,SUMPRODUCT(('Final Calculation Sheet'!$Q$4:$Q$40=$CQ$4)*($IK$6:$IK$42=1))&gt;0)</f>
        <v/>
      </c>
      <c r="IM4">
        <f>--($IL$4)</f>
        <v/>
      </c>
      <c r="IN4">
        <f>IF(ROW()-3&gt;MAX($IM$4:$IM$40),"",INDEX($CQ$4:$CQ$40,MATCH(ROW()-3,$IM$4:$IM$40,0)))</f>
        <v/>
      </c>
      <c r="IP4">
        <f>IF($CV$4="",FALSE,SUMPRODUCT(('Final Calculation Sheet'!$R$4:$R$40=$CV$4)*($IO$6:$IO$42=1))&gt;0)</f>
        <v/>
      </c>
      <c r="IQ4">
        <f>--($IP$4)</f>
        <v/>
      </c>
      <c r="IR4">
        <f>IF(ROW()-3&gt;MAX($IQ$4:$IQ$40),"",INDEX($CV$4:$CV$40,MATCH(ROW()-3,$IQ$4:$IQ$40,0)))</f>
        <v/>
      </c>
      <c r="IT4">
        <f>IF($DA$4="",FALSE,SUMPRODUCT(('Final Calculation Sheet'!$S$4:$S$40=$DA$4)*($IS$6:$IS$42=1))&gt;0)</f>
        <v/>
      </c>
      <c r="IU4">
        <f>--($IT$4)</f>
        <v/>
      </c>
      <c r="IV4">
        <f>IF(ROW()-3&gt;MAX($IU$4:$IU$40),"",INDEX($DA$4:$DA$40,MATCH(ROW()-3,$IU$4:$IU$40,0)))</f>
        <v/>
      </c>
      <c r="IX4">
        <f>IF($DF$4="",FALSE,SUMPRODUCT(('Final Calculation Sheet'!$T$4:$T$40=$DF$4)*($IW$6:$IW$42=1))&gt;0)</f>
        <v/>
      </c>
      <c r="IY4">
        <f>--($IX$4)</f>
        <v/>
      </c>
      <c r="IZ4">
        <f>IF(ROW()-3&gt;MAX($IY$4:$IY$40),"",INDEX($DF$4:$DF$40,MATCH(ROW()-3,$IY$4:$IY$40,0)))</f>
        <v/>
      </c>
      <c r="JB4">
        <f>IF($DK$4="",FALSE,SUMPRODUCT(('Final Calculation Sheet'!$U$4:$U$40=$DK$4)*($JA$6:$JA$42=1))&gt;0)</f>
        <v/>
      </c>
      <c r="JC4">
        <f>--($JB$4)</f>
        <v/>
      </c>
      <c r="JD4">
        <f>IF(ROW()-3&gt;MAX($JC$4:$JC$40),"",INDEX($DK$4:$DK$40,MATCH(ROW()-3,$JC$4:$JC$40,0)))</f>
        <v/>
      </c>
      <c r="JF4">
        <f>IF($DP$4="",FALSE,SUMPRODUCT(('Final Calculation Sheet'!$V$4:$V$40=$DP$4)*($JE$6:$JE$42=1))&gt;0)</f>
        <v/>
      </c>
      <c r="JG4">
        <f>--($JF$4)</f>
        <v/>
      </c>
      <c r="JH4">
        <f>IF(ROW()-3&gt;MAX($JG$4:$JG$40),"",INDEX($DP$4:$DP$40,MATCH(ROW()-3,$JG$4:$JG$40,0)))</f>
        <v/>
      </c>
      <c r="JJ4">
        <f>IF($DU$4="",FALSE,SUMPRODUCT(('Final Calculation Sheet'!$W$4:$W$40=$DU$4)*($JI$6:$JI$42=1))&gt;0)</f>
        <v/>
      </c>
      <c r="JK4">
        <f>--($JJ$4)</f>
        <v/>
      </c>
      <c r="JL4">
        <f>IF(ROW()-3&gt;MAX($JK$4:$JK$40),"",INDEX($DU$4:$DU$40,MATCH(ROW()-3,$JK$4:$JK$40,0)))</f>
        <v/>
      </c>
      <c r="JN4">
        <f>IF($DZ$4="",FALSE,SUMPRODUCT(('Final Calculation Sheet'!$X$4:$X$40=$DZ$4)*($JM$6:$JM$42=1))&gt;0)</f>
        <v/>
      </c>
      <c r="JO4">
        <f>--($JN$4)</f>
        <v/>
      </c>
      <c r="JP4">
        <f>IF(ROW()-3&gt;MAX($JO$4:$JO$40),"",INDEX($DZ$4:$DZ$40,MATCH(ROW()-3,$JO$4:$JO$40,0)))</f>
        <v/>
      </c>
      <c r="JR4">
        <f>IF($EE$4="",FALSE,SUMPRODUCT(('Final Calculation Sheet'!$Y$4:$Y$40=$EE$4)*($JQ$6:$JQ$42=1))&gt;0)</f>
        <v/>
      </c>
      <c r="JS4">
        <f>--($JR$4)</f>
        <v/>
      </c>
      <c r="JT4">
        <f>IF(ROW()-3&gt;MAX($JS$4:$JS$40),"",INDEX($EE$4:$EE$40,MATCH(ROW()-3,$JS$4:$JS$40,0)))</f>
        <v/>
      </c>
      <c r="JV4">
        <f>IF($EJ$4="",FALSE,SUMPRODUCT(('Final Calculation Sheet'!$Z$4:$Z$40=$EJ$4)*($JU$6:$JU$42=1))&gt;0)</f>
        <v/>
      </c>
      <c r="JW4">
        <f>--($JV$4)</f>
        <v/>
      </c>
      <c r="JX4">
        <f>IF(ROW()-3&gt;MAX($JW$4:$JW$40),"",INDEX($EJ$4:$EJ$40,MATCH(ROW()-3,$JW$4:$JW$40,0)))</f>
        <v/>
      </c>
      <c r="JZ4">
        <f>IF($EO$4="",FALSE,SUMPRODUCT(('Final Calculation Sheet'!$AA$4:$AA$40=$EO$4)*($JY$6:$JY$42=1))&gt;0)</f>
        <v/>
      </c>
      <c r="KA4">
        <f>--($JZ$4)</f>
        <v/>
      </c>
      <c r="KB4">
        <f>IF(ROW()-3&gt;MAX($KA$4:$KA$40),"",INDEX($EO$4:$EO$40,MATCH(ROW()-3,$KA$4:$KA$40,0)))</f>
        <v/>
      </c>
      <c r="KD4">
        <f>IF($ET$4="",FALSE,SUMPRODUCT(('Final Calculation Sheet'!$AB$4:$AB$40=$ET$4)*($KC$6:$KC$42=1))&gt;0)</f>
        <v/>
      </c>
      <c r="KE4">
        <f>--($KD$4)</f>
        <v/>
      </c>
      <c r="KF4">
        <f>IF(ROW()-3&gt;MAX($KE$4:$KE$40),"",INDEX($ET$4:$ET$40,MATCH(ROW()-3,$KE$4:$KE$40,0)))</f>
        <v/>
      </c>
      <c r="KH4">
        <f>IF($EY$4="",FALSE,SUMPRODUCT(('Final Calculation Sheet'!$AC$4:$AC$40=$EY$4)*($KG$6:$KG$42=1))&gt;0)</f>
        <v/>
      </c>
      <c r="KI4">
        <f>--($KH$4)</f>
        <v/>
      </c>
      <c r="KJ4">
        <f>IF(ROW()-3&gt;MAX($KI$4:$KI$40),"",INDEX($EY$4:$EY$40,MATCH(ROW()-3,$KI$4:$KI$40,0)))</f>
        <v/>
      </c>
      <c r="KL4">
        <f>IF($FD$4="",FALSE,SUMPRODUCT(('Final Calculation Sheet'!$AD$4:$AD$40=$FD$4)*($KK$6:$KK$42=1))&gt;0)</f>
        <v/>
      </c>
      <c r="KM4">
        <f>--($KL$4)</f>
        <v/>
      </c>
      <c r="KN4">
        <f>IF(ROW()-3&gt;MAX($KM$4:$KM$40),"",INDEX($FD$4:$FD$40,MATCH(ROW()-3,$KM$4:$KM$40,0)))</f>
        <v/>
      </c>
      <c r="KP4">
        <f>IF($FX$4="",FALSE,SUMPRODUCT((IF('Final Calculation Sheet'!$AD$4:$AD$40&lt;=5,"SETTLED","OUTSTANDING")=$FX$4)*($KO$6:$KO$42=1))&gt;0)</f>
        <v/>
      </c>
      <c r="KQ4">
        <f>--($KP$4)</f>
        <v/>
      </c>
      <c r="KR4">
        <f>IF(ROW()-3&gt;MAX($KQ$4:$KQ$40),"",INDEX($FX$4:$FX$40,MATCH(ROW()-3,$KQ$4:$KQ$40,0)))</f>
        <v/>
      </c>
      <c r="KT4">
        <f>IF($FI$4="",FALSE,SUMPRODUCT(('Final Calculation Sheet'!$AF$4:$AF$40=$FI$4)*($KS$6:$KS$42=1))&gt;0)</f>
        <v/>
      </c>
      <c r="KU4">
        <f>--($KT$4)</f>
        <v/>
      </c>
      <c r="KV4">
        <f>IF(ROW()-3&gt;MAX($KU$4:$KU$40),"",INDEX($FI$4:$FI$40,MATCH(ROW()-3,$KU$4:$KU$40,0)))</f>
        <v/>
      </c>
      <c r="KX4">
        <f>IF($FN$4="",FALSE,SUMPRODUCT(('Final Calculation Sheet'!$AG$4:$AG$40=$FN$4)*($KW$6:$KW$42=1))&gt;0)</f>
        <v/>
      </c>
      <c r="KY4">
        <f>--($KX$4)</f>
        <v/>
      </c>
      <c r="KZ4">
        <f>IF(ROW()-3&gt;MAX($KY$4:$KY$40),"",INDEX($FN$4:$FN$40,MATCH(ROW()-3,$KY$4:$KY$40,0)))</f>
        <v/>
      </c>
      <c r="LB4">
        <f>IF($FS$4="",FALSE,SUMPRODUCT(('Final Calculation Sheet'!$AH$4:$AH$40=$FS$4)*($LA$6:$LA$42=1))&gt;0)</f>
        <v/>
      </c>
      <c r="LC4">
        <f>--($LB$4)</f>
        <v/>
      </c>
      <c r="LD4">
        <f>IF(ROW()-3&gt;MAX($LC$4:$LC$40),"",INDEX($FS$4:$FS$40,MATCH(ROW()-3,$LC$4:$LC$40,0)))</f>
        <v/>
      </c>
      <c r="LF4">
        <f>IF($O$4="",FALSE,SUMPRODUCT(('Final Calculation Sheet'!$F$4:$F$40=$O$4)*($LE$6:$LE$42=1))&gt;0)</f>
        <v/>
      </c>
      <c r="LG4">
        <f>--($LF$4)</f>
        <v/>
      </c>
      <c r="LH4">
        <f>IF(ROW()-3&gt;MAX($LG$4:$LG$40),"",INDEX($O$4:$O$40,MATCH(ROW()-3,$LG$4:$LG$40,0)))</f>
        <v/>
      </c>
      <c r="LJ4">
        <f>IF($T$4="",FALSE,SUMPRODUCT(('Final Calculation Sheet'!$G$4:$G$40=$T$4)*($LI$6:$LI$42=1))&gt;0)</f>
        <v/>
      </c>
      <c r="LK4">
        <f>--($LJ$4)</f>
        <v/>
      </c>
      <c r="LL4">
        <f>IF(ROW()-3&gt;MAX($LK$4:$LK$40),"",INDEX($T$4:$T$40,MATCH(ROW()-3,$LK$4:$LK$40,0)))</f>
        <v/>
      </c>
      <c r="LN4">
        <f>IF($Y$4="",FALSE,SUMPRODUCT(('Final Calculation Sheet'!$B$4:$B$40=$Y$4)*($LM$6:$LM$42=1))&gt;0)</f>
        <v/>
      </c>
      <c r="LO4">
        <f>--($LN$4)</f>
        <v/>
      </c>
      <c r="LP4">
        <f>IF(ROW()-3&gt;MAX($LO$4:$LO$40),"",INDEX($Y$4:$Y$40,MATCH(ROW()-3,$LO$4:$LO$40,0)))</f>
        <v/>
      </c>
      <c r="LR4">
        <f>IF($AD$4="",FALSE,SUMPRODUCT(('Final Calculation Sheet'!$D$4:$D$40=$AD$4)*($LQ$6:$LQ$42=1))&gt;0)</f>
        <v/>
      </c>
      <c r="LS4">
        <f>--($LR$4)</f>
        <v/>
      </c>
      <c r="LT4">
        <f>IF(ROW()-3&gt;MAX($LS$4:$LS$40),"",INDEX($AD$4:$AD$40,MATCH(ROW()-3,$LS$4:$LS$40,0)))</f>
        <v/>
      </c>
      <c r="LV4">
        <f>IF($AI$4="",FALSE,SUMPRODUCT(('Final Calculation Sheet'!$A$4:$A$40=$AI$4)*($LU$6:$LU$42=1))&gt;0)</f>
        <v/>
      </c>
      <c r="LW4">
        <f>--($LV$4)</f>
        <v/>
      </c>
      <c r="LX4">
        <f>IF(ROW()-3&gt;MAX($LW$4:$LW$40),"",INDEX($AI$4:$AI$40,MATCH(ROW()-3,$LW$4:$LW$40,0)))</f>
        <v/>
      </c>
      <c r="LZ4">
        <f>IF($AN$4="",FALSE,SUMPRODUCT(('Final Calculation Sheet'!$E$4:$E$40=$AN$4)*($LY$6:$LY$42=1))&gt;0)</f>
        <v/>
      </c>
      <c r="MA4">
        <f>--($LZ$4)</f>
        <v/>
      </c>
      <c r="MB4">
        <f>IF(ROW()-3&gt;MAX($MA$4:$MA$40),"",INDEX($AN$4:$AN$40,MATCH(ROW()-3,$MA$4:$MA$40,0)))</f>
        <v/>
      </c>
      <c r="MD4">
        <f>IF($AS$4="",FALSE,SUMPRODUCT(('Final Calculation Sheet'!$C$4:$C$40=$AS$4)*($MC$6:$MC$42=1))&gt;0)</f>
        <v/>
      </c>
      <c r="ME4">
        <f>--($MD$4)</f>
        <v/>
      </c>
      <c r="MF4">
        <f>IF(ROW()-3&gt;MAX($ME$4:$ME$40),"",INDEX($AS$4:$AS$40,MATCH(ROW()-3,$ME$4:$ME$40,0)))</f>
        <v/>
      </c>
      <c r="MH4">
        <f>IF($AX$4="",FALSE,SUMPRODUCT(('Final Calculation Sheet'!$H$4:$H$40=$AX$4)*($MG$6:$MG$42=1))&gt;0)</f>
        <v/>
      </c>
      <c r="MI4">
        <f>--($MH$4)</f>
        <v/>
      </c>
      <c r="MJ4">
        <f>IF(ROW()-3&gt;MAX($MI$4:$MI$40),"",INDEX($AX$4:$AX$40,MATCH(ROW()-3,$MI$4:$MI$40,0)))</f>
        <v/>
      </c>
      <c r="ML4">
        <f>IF($BC$4="",FALSE,SUMPRODUCT(('Final Calculation Sheet'!$I$4:$I$40=$BC$4)*($MK$6:$MK$42=1))&gt;0)</f>
        <v/>
      </c>
      <c r="MM4">
        <f>--($ML$4)</f>
        <v/>
      </c>
      <c r="MN4">
        <f>IF(ROW()-3&gt;MAX($MM$4:$MM$40),"",INDEX($BC$4:$BC$40,MATCH(ROW()-3,$MM$4:$MM$40,0)))</f>
        <v/>
      </c>
      <c r="MP4">
        <f>IF($BH$4="",FALSE,SUMPRODUCT(('Final Calculation Sheet'!$J$4:$J$40=$BH$4)*($MO$6:$MO$42=1))&gt;0)</f>
        <v/>
      </c>
      <c r="MQ4">
        <f>--($MP$4)</f>
        <v/>
      </c>
      <c r="MR4">
        <f>IF(ROW()-3&gt;MAX($MQ$4:$MQ$40),"",INDEX($BH$4:$BH$40,MATCH(ROW()-3,$MQ$4:$MQ$40,0)))</f>
        <v/>
      </c>
      <c r="MT4">
        <f>IF($BM$4="",FALSE,SUMPRODUCT(('Final Calculation Sheet'!$K$4:$K$40=$BM$4)*($MS$6:$MS$42=1))&gt;0)</f>
        <v/>
      </c>
      <c r="MU4">
        <f>--($MT$4)</f>
        <v/>
      </c>
      <c r="MV4">
        <f>IF(ROW()-3&gt;MAX($MU$4:$MU$40),"",INDEX($BM$4:$BM$40,MATCH(ROW()-3,$MU$4:$MU$40,0)))</f>
        <v/>
      </c>
      <c r="MX4">
        <f>IF($BR$4="",FALSE,SUMPRODUCT(('Final Calculation Sheet'!$L$4:$L$40=$BR$4)*($MW$6:$MW$42=1))&gt;0)</f>
        <v/>
      </c>
      <c r="MY4">
        <f>--($MX$4)</f>
        <v/>
      </c>
      <c r="MZ4">
        <f>IF(ROW()-3&gt;MAX($MY$4:$MY$40),"",INDEX($BR$4:$BR$40,MATCH(ROW()-3,$MY$4:$MY$40,0)))</f>
        <v/>
      </c>
      <c r="NB4">
        <f>IF($BW$4="",FALSE,SUMPRODUCT(('Final Calculation Sheet'!$M$4:$M$40=$BW$4)*($NA$6:$NA$42=1))&gt;0)</f>
        <v/>
      </c>
      <c r="NC4">
        <f>--($NB$4)</f>
        <v/>
      </c>
      <c r="ND4">
        <f>IF(ROW()-3&gt;MAX($NC$4:$NC$40),"",INDEX($BW$4:$BW$40,MATCH(ROW()-3,$NC$4:$NC$40,0)))</f>
        <v/>
      </c>
      <c r="NF4">
        <f>IF($CB$4="",FALSE,SUMPRODUCT(('Final Calculation Sheet'!$N$4:$N$40=$CB$4)*($NE$6:$NE$42=1))&gt;0)</f>
        <v/>
      </c>
      <c r="NG4">
        <f>--($NF$4)</f>
        <v/>
      </c>
      <c r="NH4">
        <f>IF(ROW()-3&gt;MAX($NG$4:$NG$40),"",INDEX($CB$4:$CB$40,MATCH(ROW()-3,$NG$4:$NG$40,0)))</f>
        <v/>
      </c>
      <c r="NJ4">
        <f>IF($CG$4="",FALSE,SUMPRODUCT(('Final Calculation Sheet'!$O$4:$O$40=$CG$4)*($NI$6:$NI$42=1))&gt;0)</f>
        <v/>
      </c>
      <c r="NK4">
        <f>--($NJ$4)</f>
        <v/>
      </c>
      <c r="NL4">
        <f>IF(ROW()-3&gt;MAX($NK$4:$NK$40),"",INDEX($CG$4:$CG$40,MATCH(ROW()-3,$NK$4:$NK$40,0)))</f>
        <v/>
      </c>
      <c r="NN4">
        <f>IF($CL$4="",FALSE,SUMPRODUCT(('Final Calculation Sheet'!$P$4:$P$40=$CL$4)*($NM$6:$NM$42=1))&gt;0)</f>
        <v/>
      </c>
      <c r="NO4">
        <f>--($NN$4)</f>
        <v/>
      </c>
      <c r="NP4">
        <f>IF(ROW()-3&gt;MAX($NO$4:$NO$40),"",INDEX($CL$4:$CL$40,MATCH(ROW()-3,$NO$4:$NO$40,0)))</f>
        <v/>
      </c>
      <c r="NR4">
        <f>IF($CQ$4="",FALSE,SUMPRODUCT(('Final Calculation Sheet'!$Q$4:$Q$40=$CQ$4)*($NQ$6:$NQ$42=1))&gt;0)</f>
        <v/>
      </c>
      <c r="NS4">
        <f>--($NR$4)</f>
        <v/>
      </c>
      <c r="NT4">
        <f>IF(ROW()-3&gt;MAX($NS$4:$NS$40),"",INDEX($CQ$4:$CQ$40,MATCH(ROW()-3,$NS$4:$NS$40,0)))</f>
        <v/>
      </c>
      <c r="NV4">
        <f>IF($CV$4="",FALSE,SUMPRODUCT(('Final Calculation Sheet'!$R$4:$R$40=$CV$4)*($NU$6:$NU$42=1))&gt;0)</f>
        <v/>
      </c>
      <c r="NW4">
        <f>--($NV$4)</f>
        <v/>
      </c>
      <c r="NX4">
        <f>IF(ROW()-3&gt;MAX($NW$4:$NW$40),"",INDEX($CV$4:$CV$40,MATCH(ROW()-3,$NW$4:$NW$40,0)))</f>
        <v/>
      </c>
      <c r="NZ4">
        <f>IF($DA$4="",FALSE,SUMPRODUCT(('Final Calculation Sheet'!$S$4:$S$40=$DA$4)*($NY$6:$NY$42=1))&gt;0)</f>
        <v/>
      </c>
      <c r="OA4">
        <f>--($NZ$4)</f>
        <v/>
      </c>
      <c r="OB4">
        <f>IF(ROW()-3&gt;MAX($OA$4:$OA$40),"",INDEX($DA$4:$DA$40,MATCH(ROW()-3,$OA$4:$OA$40,0)))</f>
        <v/>
      </c>
      <c r="OD4">
        <f>IF($DF$4="",FALSE,SUMPRODUCT(('Final Calculation Sheet'!$T$4:$T$40=$DF$4)*($OC$6:$OC$42=1))&gt;0)</f>
        <v/>
      </c>
      <c r="OE4">
        <f>--($OD$4)</f>
        <v/>
      </c>
      <c r="OF4">
        <f>IF(ROW()-3&gt;MAX($OE$4:$OE$40),"",INDEX($DF$4:$DF$40,MATCH(ROW()-3,$OE$4:$OE$40,0)))</f>
        <v/>
      </c>
      <c r="OH4">
        <f>IF($DK$4="",FALSE,SUMPRODUCT(('Final Calculation Sheet'!$U$4:$U$40=$DK$4)*($OG$6:$OG$42=1))&gt;0)</f>
        <v/>
      </c>
      <c r="OI4">
        <f>--($OH$4)</f>
        <v/>
      </c>
      <c r="OJ4">
        <f>IF(ROW()-3&gt;MAX($OI$4:$OI$40),"",INDEX($DK$4:$DK$40,MATCH(ROW()-3,$OI$4:$OI$40,0)))</f>
        <v/>
      </c>
      <c r="OL4">
        <f>IF($DP$4="",FALSE,SUMPRODUCT(('Final Calculation Sheet'!$V$4:$V$40=$DP$4)*($OK$6:$OK$42=1))&gt;0)</f>
        <v/>
      </c>
      <c r="OM4">
        <f>--($OL$4)</f>
        <v/>
      </c>
      <c r="ON4">
        <f>IF(ROW()-3&gt;MAX($OM$4:$OM$40),"",INDEX($DP$4:$DP$40,MATCH(ROW()-3,$OM$4:$OM$40,0)))</f>
        <v/>
      </c>
      <c r="OP4">
        <f>IF($DU$4="",FALSE,SUMPRODUCT(('Final Calculation Sheet'!$W$4:$W$40=$DU$4)*($OO$6:$OO$42=1))&gt;0)</f>
        <v/>
      </c>
      <c r="OQ4">
        <f>--($OP$4)</f>
        <v/>
      </c>
      <c r="OR4">
        <f>IF(ROW()-3&gt;MAX($OQ$4:$OQ$40),"",INDEX($DU$4:$DU$40,MATCH(ROW()-3,$OQ$4:$OQ$40,0)))</f>
        <v/>
      </c>
      <c r="OT4">
        <f>IF($DZ$4="",FALSE,SUMPRODUCT(('Final Calculation Sheet'!$X$4:$X$40=$DZ$4)*($OS$6:$OS$42=1))&gt;0)</f>
        <v/>
      </c>
      <c r="OU4">
        <f>--($OT$4)</f>
        <v/>
      </c>
      <c r="OV4">
        <f>IF(ROW()-3&gt;MAX($OU$4:$OU$40),"",INDEX($DZ$4:$DZ$40,MATCH(ROW()-3,$OU$4:$OU$40,0)))</f>
        <v/>
      </c>
      <c r="OX4">
        <f>IF($EE$4="",FALSE,SUMPRODUCT(('Final Calculation Sheet'!$Y$4:$Y$40=$EE$4)*($OW$6:$OW$42=1))&gt;0)</f>
        <v/>
      </c>
      <c r="OY4">
        <f>--($OX$4)</f>
        <v/>
      </c>
      <c r="OZ4">
        <f>IF(ROW()-3&gt;MAX($OY$4:$OY$40),"",INDEX($EE$4:$EE$40,MATCH(ROW()-3,$OY$4:$OY$40,0)))</f>
        <v/>
      </c>
      <c r="PB4">
        <f>IF($EJ$4="",FALSE,SUMPRODUCT(('Final Calculation Sheet'!$Z$4:$Z$40=$EJ$4)*($PA$6:$PA$42=1))&gt;0)</f>
        <v/>
      </c>
      <c r="PC4">
        <f>--($PB$4)</f>
        <v/>
      </c>
      <c r="PD4">
        <f>IF(ROW()-3&gt;MAX($PC$4:$PC$40),"",INDEX($EJ$4:$EJ$40,MATCH(ROW()-3,$PC$4:$PC$40,0)))</f>
        <v/>
      </c>
      <c r="PF4">
        <f>IF($EO$4="",FALSE,SUMPRODUCT(('Final Calculation Sheet'!$AA$4:$AA$40=$EO$4)*($PE$6:$PE$42=1))&gt;0)</f>
        <v/>
      </c>
      <c r="PG4">
        <f>--($PF$4)</f>
        <v/>
      </c>
      <c r="PH4">
        <f>IF(ROW()-3&gt;MAX($PG$4:$PG$40),"",INDEX($EO$4:$EO$40,MATCH(ROW()-3,$PG$4:$PG$40,0)))</f>
        <v/>
      </c>
      <c r="PJ4">
        <f>IF($ET$4="",FALSE,SUMPRODUCT(('Final Calculation Sheet'!$AB$4:$AB$40=$ET$4)*($PI$6:$PI$42=1))&gt;0)</f>
        <v/>
      </c>
      <c r="PK4">
        <f>--($PJ$4)</f>
        <v/>
      </c>
      <c r="PL4">
        <f>IF(ROW()-3&gt;MAX($PK$4:$PK$40),"",INDEX($ET$4:$ET$40,MATCH(ROW()-3,$PK$4:$PK$40,0)))</f>
        <v/>
      </c>
      <c r="PN4">
        <f>IF($EY$4="",FALSE,SUMPRODUCT(('Final Calculation Sheet'!$AC$4:$AC$40=$EY$4)*($PM$6:$PM$42=1))&gt;0)</f>
        <v/>
      </c>
      <c r="PO4">
        <f>--($PN$4)</f>
        <v/>
      </c>
      <c r="PP4">
        <f>IF(ROW()-3&gt;MAX($PO$4:$PO$40),"",INDEX($EY$4:$EY$40,MATCH(ROW()-3,$PO$4:$PO$40,0)))</f>
        <v/>
      </c>
      <c r="PR4">
        <f>IF($FD$4="",FALSE,SUMPRODUCT(('Final Calculation Sheet'!$AD$4:$AD$40=$FD$4)*($PQ$6:$PQ$42=1))&gt;0)</f>
        <v/>
      </c>
      <c r="PS4">
        <f>--($PR$4)</f>
        <v/>
      </c>
      <c r="PT4">
        <f>IF(ROW()-3&gt;MAX($PS$4:$PS$40),"",INDEX($FD$4:$FD$40,MATCH(ROW()-3,$PS$4:$PS$40,0)))</f>
        <v/>
      </c>
      <c r="PV4">
        <f>IF($FX$4="",FALSE,SUMPRODUCT((IF('Final Calculation Sheet'!$AD$4:$AD$40&lt;=5,"SETTLED","OUTSTANDING")=$FX$4)*($PU$6:$PU$42=1))&gt;0)</f>
        <v/>
      </c>
      <c r="PW4">
        <f>--($PV$4)</f>
        <v/>
      </c>
      <c r="PX4">
        <f>IF(ROW()-3&gt;MAX($PW$4:$PW$40),"",INDEX($FX$4:$FX$40,MATCH(ROW()-3,$PW$4:$PW$40,0)))</f>
        <v/>
      </c>
      <c r="PZ4">
        <f>IF($FI$4="",FALSE,SUMPRODUCT(('Final Calculation Sheet'!$AF$4:$AF$40=$FI$4)*($PY$6:$PY$42=1))&gt;0)</f>
        <v/>
      </c>
      <c r="QA4">
        <f>--($PZ$4)</f>
        <v/>
      </c>
      <c r="QB4">
        <f>IF(ROW()-3&gt;MAX($QA$4:$QA$40),"",INDEX($FI$4:$FI$40,MATCH(ROW()-3,$QA$4:$QA$40,0)))</f>
        <v/>
      </c>
      <c r="QD4">
        <f>IF($FN$4="",FALSE,SUMPRODUCT(('Final Calculation Sheet'!$AG$4:$AG$40=$FN$4)*($QC$6:$QC$42=1))&gt;0)</f>
        <v/>
      </c>
      <c r="QE4">
        <f>--($QD$4)</f>
        <v/>
      </c>
      <c r="QF4">
        <f>IF(ROW()-3&gt;MAX($QE$4:$QE$40),"",INDEX($FN$4:$FN$40,MATCH(ROW()-3,$QE$4:$QE$40,0)))</f>
        <v/>
      </c>
      <c r="QH4">
        <f>IF($FS$4="",FALSE,SUMPRODUCT(('Final Calculation Sheet'!$AH$4:$AH$40=$FS$4)*($QG$6:$QG$42=1))&gt;0)</f>
        <v/>
      </c>
      <c r="QI4">
        <f>--($QH$4)</f>
        <v/>
      </c>
      <c r="QJ4">
        <f>IF(ROW()-3&gt;MAX($QI$4:$QI$40),"",INDEX($FS$4:$FS$40,MATCH(ROW()-3,$QI$4:$QI$40,0)))</f>
        <v/>
      </c>
      <c r="QK4" t="str">
        <f>IF('Final Calculation Sheet'!$AH$4="","",'Final Calculation Sheet'!$AH$4)</f>
      </c>
      <c r="QL4" t="str">
        <f>IF(QK4="","",COUNTIFS(QK$4:QK$40,"&lt;"&amp;QK4,QK$4:QK$40,"&lt;&gt;"&amp;"")+COUNTIF(QK$4:QK4,QK4))</f>
      </c>
      <c r="QM4" t="str">
        <f>IF(ROW()-3&gt;COUNTIF(QK$4:QK$40,"&lt;&gt;"&amp;""),"",INDEX(QK$4:QK$40,MATCH(ROW()-3,QL$4:QL$40,0)))</f>
      </c>
      <c r="QN4" t="str">
        <f>IF(AND(QM4&lt;&gt;"",COUNTIF(QM$4:QM4,QM4)=1),1,0)</f>
      </c>
      <c r="QO4" t="str">
        <f>IF(ROW()-3&gt;MAX(QN$4:QN$40),"",INDEX(QM$4:QM$40,MATCH(ROW()-3,QN$4:QN$40,0)))</f>
      </c>
      <c r="QP4" t="str">
        <f>IF(COUNTIF('Final Calculation Sheet'!$AM4:$BS4,0)&gt;0,0,1)</f>
      </c>
      <c r="QQ4" t="str">
        <f>IF($AI$4="",FALSE,SUMPRODUCT(('Final Calculation Sheet'!$A$4:$A$40=$AI$4)*($QP$4:$QP$40=1))&gt;0)</f>
      </c>
      <c r="QR4" t="str">
        <f>--($QQ$4)</f>
      </c>
      <c r="QS4" t="str">
        <f>IF(ROW()-3&gt;MAX($QR$4:$QR$40),"",INDEX($AI$4:$AI$40,MATCH(ROW()-3,$QR$4:$QR$40,0)))</f>
      </c>
      <c r="QT4" t="str">
        <f>IF(COUNTIF('Final Calculation Sheet'!$AL4:$AL4,0)+COUNTIF('Final Calculation Sheet'!$AN4:$BS4,0)&gt;0,0,1)</f>
      </c>
      <c r="QU4" t="str">
        <f>IF($Y$4="",FALSE,SUMPRODUCT(('Final Calculation Sheet'!$B$4:$B$40=$Y$4)*($QT$4:$QT$40=1))&gt;0)</f>
      </c>
      <c r="QV4" t="str">
        <f>--($QU$4)</f>
      </c>
      <c r="QW4" t="str">
        <f>IF(ROW()-3&gt;MAX($QV$4:$QV$40),"",INDEX($Y$4:$Y$40,MATCH(ROW()-3,$QV$4:$QV$40,0)))</f>
      </c>
      <c r="QX4" t="str">
        <f>IF(COUNTIF('Final Calculation Sheet'!$AL4:$AM4,0)+COUNTIF('Final Calculation Sheet'!$AO4:$BS4,0)&gt;0,0,1)</f>
      </c>
      <c r="QY4" t="str">
        <f>IF($AS$4="",FALSE,SUMPRODUCT(('Final Calculation Sheet'!$C$4:$C$40=$AS$4)*($QX$4:$QX$40=1))&gt;0)</f>
      </c>
      <c r="QZ4" t="str">
        <f>--($QY$4)</f>
      </c>
      <c r="RA4" t="str">
        <f>IF(ROW()-3&gt;MAX($QZ$4:$QZ$40),"",INDEX($AS$4:$AS$40,MATCH(ROW()-3,$QZ$4:$QZ$40,0)))</f>
      </c>
      <c r="RB4" t="str">
        <f>IF(COUNTIF('Final Calculation Sheet'!$AL4:$AN4,0)+COUNTIF('Final Calculation Sheet'!$AP4:$BS4,0)&gt;0,0,1)</f>
      </c>
      <c r="RC4" t="str">
        <f>IF($AD$4="",FALSE,SUMPRODUCT(('Final Calculation Sheet'!$D$4:$D$40=$AD$4)*($RB$4:$RB$40=1))&gt;0)</f>
      </c>
      <c r="RD4" t="str">
        <f>--($RC$4)</f>
      </c>
      <c r="RE4" t="str">
        <f>IF(ROW()-3&gt;MAX($RD$4:$RD$40),"",INDEX($AD$4:$AD$40,MATCH(ROW()-3,$RD$4:$RD$40,0)))</f>
      </c>
      <c r="RF4" t="str">
        <f>IF(COUNTIF('Final Calculation Sheet'!$AL4:$AO4,0)+COUNTIF('Final Calculation Sheet'!$AQ4:$BS4,0)&gt;0,0,1)</f>
      </c>
      <c r="RG4" t="str">
        <f>IF($AN$4="",FALSE,SUMPRODUCT(('Final Calculation Sheet'!$E$4:$E$40=$AN$4)*($RF$4:$RF$40=1))&gt;0)</f>
      </c>
      <c r="RH4" t="str">
        <f>--($RG$4)</f>
      </c>
      <c r="RI4" t="str">
        <f>IF(ROW()-3&gt;MAX($RH$4:$RH$40),"",INDEX($AN$4:$AN$40,MATCH(ROW()-3,$RH$4:$RH$40,0)))</f>
      </c>
      <c r="RJ4" t="str">
        <f>IF(COUNTIF('Final Calculation Sheet'!$AL4:$AP4,0)+COUNTIF('Final Calculation Sheet'!$AR4:$BS4,0)&gt;0,0,1)</f>
      </c>
      <c r="RK4" t="str">
        <f>IF($O$4="",FALSE,SUMPRODUCT(('Final Calculation Sheet'!$F$4:$F$40=$O$4)*($RJ$4:$RJ$40=1))&gt;0)</f>
      </c>
      <c r="RL4" t="str">
        <f>--($RK$4)</f>
      </c>
      <c r="RM4" t="str">
        <f>IF(ROW()-3&gt;MAX($RL$4:$RL$40),"",INDEX($O$4:$O$40,MATCH(ROW()-3,$RL$4:$RL$40,0)))</f>
      </c>
      <c r="RN4" t="str">
        <f>IF(COUNTIF('Final Calculation Sheet'!$AL4:$AQ4,0)+COUNTIF('Final Calculation Sheet'!$AS4:$BS4,0)&gt;0,0,1)</f>
      </c>
      <c r="RO4" t="str">
        <f>IF($T$4="",FALSE,SUMPRODUCT(('Final Calculation Sheet'!$G$4:$G$40=$T$4)*($RN$4:$RN$40=1))&gt;0)</f>
      </c>
      <c r="RP4" t="str">
        <f>--($RO$4)</f>
      </c>
      <c r="RQ4" t="str">
        <f>IF(ROW()-3&gt;MAX($RP$4:$RP$40),"",INDEX($T$4:$T$40,MATCH(ROW()-3,$RP$4:$RP$40,0)))</f>
      </c>
      <c r="RR4" t="str">
        <f>IF(COUNTIF('Final Calculation Sheet'!$AL4:$AR4,0)+COUNTIF('Final Calculation Sheet'!$AT4:$BS4,0)&gt;0,0,1)</f>
      </c>
      <c r="RS4" t="str">
        <f>IF($AX$4="",FALSE,SUMPRODUCT(('Final Calculation Sheet'!$H$4:$H$40=$AX$4)*($RR$4:$RR$40=1))&gt;0)</f>
      </c>
      <c r="RT4" t="str">
        <f>--($RS$4)</f>
      </c>
      <c r="RU4" t="str">
        <f>IF(ROW()-3&gt;MAX($RT$4:$RT$40),"",INDEX($AX$4:$AX$40,MATCH(ROW()-3,$RT$4:$RT$40,0)))</f>
      </c>
      <c r="RV4" t="str">
        <f>IF(COUNTIF('Final Calculation Sheet'!$AL4:$AS4,0)+COUNTIF('Final Calculation Sheet'!$AU4:$BS4,0)&gt;0,0,1)</f>
      </c>
      <c r="RW4" t="str">
        <f>IF($BC$4="",FALSE,SUMPRODUCT(('Final Calculation Sheet'!$I$4:$I$40=$BC$4)*($RV$4:$RV$40=1))&gt;0)</f>
      </c>
      <c r="RX4" t="str">
        <f>--($RW$4)</f>
      </c>
      <c r="RY4" t="str">
        <f>IF(ROW()-3&gt;MAX($RX$4:$RX$40),"",INDEX($BC$4:$BC$40,MATCH(ROW()-3,$RX$4:$RX$40,0)))</f>
      </c>
      <c r="RZ4" t="str">
        <f>IF(COUNTIF('Final Calculation Sheet'!$AL4:$AT4,0)+COUNTIF('Final Calculation Sheet'!$AV4:$BS4,0)&gt;0,0,1)</f>
      </c>
      <c r="SA4" t="str">
        <f>IF($BH$4="",FALSE,SUMPRODUCT(('Final Calculation Sheet'!$J$4:$J$40=$BH$4)*($RZ$4:$RZ$40=1))&gt;0)</f>
      </c>
      <c r="SB4" t="str">
        <f>--($SA$4)</f>
      </c>
      <c r="SC4" t="str">
        <f>IF(ROW()-3&gt;MAX($SB$4:$SB$40),"",INDEX($BH$4:$BH$40,MATCH(ROW()-3,$SB$4:$SB$40,0)))</f>
      </c>
      <c r="SD4" t="str">
        <f>IF(COUNTIF('Final Calculation Sheet'!$AL4:$AU4,0)+COUNTIF('Final Calculation Sheet'!$AW4:$BS4,0)&gt;0,0,1)</f>
      </c>
      <c r="SE4" t="str">
        <f>IF($BM$4="",FALSE,SUMPRODUCT(('Final Calculation Sheet'!$K$4:$K$40=$BM$4)*($SD$4:$SD$40=1))&gt;0)</f>
      </c>
      <c r="SF4" t="str">
        <f>--($SE$4)</f>
      </c>
      <c r="SG4" t="str">
        <f>IF(ROW()-3&gt;MAX($SF$4:$SF$40),"",INDEX($BM$4:$BM$40,MATCH(ROW()-3,$SF$4:$SF$40,0)))</f>
      </c>
      <c r="SH4" t="str">
        <f>IF(COUNTIF('Final Calculation Sheet'!$AL4:$AV4,0)+COUNTIF('Final Calculation Sheet'!$AX4:$BS4,0)&gt;0,0,1)</f>
      </c>
      <c r="SI4" t="str">
        <f>IF($BR$4="",FALSE,SUMPRODUCT(('Final Calculation Sheet'!$L$4:$L$40=$BR$4)*($SH$4:$SH$40=1))&gt;0)</f>
      </c>
      <c r="SJ4" t="str">
        <f>--($SI$4)</f>
      </c>
      <c r="SK4" t="str">
        <f>IF(ROW()-3&gt;MAX($SJ$4:$SJ$40),"",INDEX($BR$4:$BR$40,MATCH(ROW()-3,$SJ$4:$SJ$40,0)))</f>
      </c>
      <c r="SL4" t="str">
        <f>IF(COUNTIF('Final Calculation Sheet'!$AL4:$AW4,0)+COUNTIF('Final Calculation Sheet'!$AY4:$BS4,0)&gt;0,0,1)</f>
      </c>
      <c r="SM4" t="str">
        <f>IF($BW$4="",FALSE,SUMPRODUCT(('Final Calculation Sheet'!$M$4:$M$40=$BW$4)*($SL$4:$SL$40=1))&gt;0)</f>
      </c>
      <c r="SN4" t="str">
        <f>--($SM$4)</f>
      </c>
      <c r="SO4" t="str">
        <f>IF(ROW()-3&gt;MAX($SN$4:$SN$40),"",INDEX($BW$4:$BW$40,MATCH(ROW()-3,$SN$4:$SN$40,0)))</f>
      </c>
      <c r="SP4" t="str">
        <f>IF(COUNTIF('Final Calculation Sheet'!$AL4:$AX4,0)+COUNTIF('Final Calculation Sheet'!$AZ4:$BS4,0)&gt;0,0,1)</f>
      </c>
      <c r="SQ4" t="str">
        <f>IF($CB$4="",FALSE,SUMPRODUCT(('Final Calculation Sheet'!$N$4:$N$40=$CB$4)*($SP$4:$SP$40=1))&gt;0)</f>
      </c>
      <c r="SR4" t="str">
        <f>--($SQ$4)</f>
      </c>
      <c r="SS4" t="str">
        <f>IF(ROW()-3&gt;MAX($SR$4:$SR$40),"",INDEX($CB$4:$CB$40,MATCH(ROW()-3,$SR$4:$SR$40,0)))</f>
      </c>
      <c r="ST4" t="str">
        <f>IF(COUNTIF('Final Calculation Sheet'!$AL4:$AY4,0)+COUNTIF('Final Calculation Sheet'!$BA4:$BS4,0)&gt;0,0,1)</f>
      </c>
      <c r="SU4" t="str">
        <f>IF($CG$4="",FALSE,SUMPRODUCT(('Final Calculation Sheet'!$O$4:$O$40=$CG$4)*($ST$4:$ST$40=1))&gt;0)</f>
      </c>
      <c r="SV4" t="str">
        <f>--($SU$4)</f>
      </c>
      <c r="SW4" t="str">
        <f>IF(ROW()-3&gt;MAX($SV$4:$SV$40),"",INDEX($CG$4:$CG$40,MATCH(ROW()-3,$SV$4:$SV$40,0)))</f>
      </c>
      <c r="SX4" t="str">
        <f>IF(COUNTIF('Final Calculation Sheet'!$AL4:$AZ4,0)+COUNTIF('Final Calculation Sheet'!$BB4:$BS4,0)&gt;0,0,1)</f>
      </c>
      <c r="SY4" t="str">
        <f>IF($CL$4="",FALSE,SUMPRODUCT(('Final Calculation Sheet'!$P$4:$P$40=$CL$4)*($SX$4:$SX$40=1))&gt;0)</f>
      </c>
      <c r="SZ4" t="str">
        <f>--($SY$4)</f>
      </c>
      <c r="TA4" t="str">
        <f>IF(ROW()-3&gt;MAX($SZ$4:$SZ$40),"",INDEX($CL$4:$CL$40,MATCH(ROW()-3,$SZ$4:$SZ$40,0)))</f>
      </c>
      <c r="TB4" t="str">
        <f>IF(COUNTIF('Final Calculation Sheet'!$AL4:$BA4,0)+COUNTIF('Final Calculation Sheet'!$BC4:$BS4,0)&gt;0,0,1)</f>
      </c>
      <c r="TC4" t="str">
        <f>IF($CQ$4="",FALSE,SUMPRODUCT(('Final Calculation Sheet'!$Q$4:$Q$40=$CQ$4)*($TB$4:$TB$40=1))&gt;0)</f>
      </c>
      <c r="TD4" t="str">
        <f>--($TC$4)</f>
      </c>
      <c r="TE4" t="str">
        <f>IF(ROW()-3&gt;MAX($TD$4:$TD$40),"",INDEX($CQ$4:$CQ$40,MATCH(ROW()-3,$TD$4:$TD$40,0)))</f>
      </c>
      <c r="TF4" t="str">
        <f>IF(COUNTIF('Final Calculation Sheet'!$AL4:$BB4,0)+COUNTIF('Final Calculation Sheet'!$BD4:$BS4,0)&gt;0,0,1)</f>
      </c>
      <c r="TG4" t="str">
        <f>IF($CV$4="",FALSE,SUMPRODUCT(('Final Calculation Sheet'!$R$4:$R$40=$CV$4)*($TF$4:$TF$40=1))&gt;0)</f>
      </c>
      <c r="TH4" t="str">
        <f>--($TG$4)</f>
      </c>
      <c r="TI4" t="str">
        <f>IF(ROW()-3&gt;MAX($TH$4:$TH$40),"",INDEX($CV$4:$CV$40,MATCH(ROW()-3,$TH$4:$TH$40,0)))</f>
      </c>
      <c r="TJ4" t="str">
        <f>IF(COUNTIF('Final Calculation Sheet'!$AL4:$BC4,0)+COUNTIF('Final Calculation Sheet'!$BE4:$BS4,0)&gt;0,0,1)</f>
      </c>
      <c r="TK4" t="str">
        <f>IF($DA$4="",FALSE,SUMPRODUCT(('Final Calculation Sheet'!$S$4:$S$40=$DA$4)*($TJ$4:$TJ$40=1))&gt;0)</f>
      </c>
      <c r="TL4" t="str">
        <f>--($TK$4)</f>
      </c>
      <c r="TM4" t="str">
        <f>IF(ROW()-3&gt;MAX($TL$4:$TL$40),"",INDEX($DA$4:$DA$40,MATCH(ROW()-3,$TL$4:$TL$40,0)))</f>
      </c>
      <c r="TN4" t="str">
        <f>IF(COUNTIF('Final Calculation Sheet'!$AL4:$BD4,0)+COUNTIF('Final Calculation Sheet'!$BF4:$BS4,0)&gt;0,0,1)</f>
      </c>
      <c r="TO4" t="str">
        <f>IF($DF$4="",FALSE,SUMPRODUCT(('Final Calculation Sheet'!$T$4:$T$40=$DF$4)*($TN$4:$TN$40=1))&gt;0)</f>
      </c>
      <c r="TP4" t="str">
        <f>--($TO$4)</f>
      </c>
      <c r="TQ4" t="str">
        <f>IF(ROW()-3&gt;MAX($TP$4:$TP$40),"",INDEX($DF$4:$DF$40,MATCH(ROW()-3,$TP$4:$TP$40,0)))</f>
      </c>
      <c r="TR4" t="str">
        <f>IF(COUNTIF('Final Calculation Sheet'!$AL4:$BE4,0)+COUNTIF('Final Calculation Sheet'!$BG4:$BS4,0)&gt;0,0,1)</f>
      </c>
      <c r="TS4" t="str">
        <f>IF($DK$4="",FALSE,SUMPRODUCT(('Final Calculation Sheet'!$U$4:$U$40=$DK$4)*($TR$4:$TR$40=1))&gt;0)</f>
      </c>
      <c r="TT4" t="str">
        <f>--($TS$4)</f>
      </c>
      <c r="TU4" t="str">
        <f>IF(ROW()-3&gt;MAX($TT$4:$TT$40),"",INDEX($DK$4:$DK$40,MATCH(ROW()-3,$TT$4:$TT$40,0)))</f>
      </c>
      <c r="TV4" t="str">
        <f>IF(COUNTIF('Final Calculation Sheet'!$AL4:$BF4,0)+COUNTIF('Final Calculation Sheet'!$BH4:$BS4,0)&gt;0,0,1)</f>
      </c>
      <c r="TW4" t="str">
        <f>IF($DP$4="",FALSE,SUMPRODUCT(('Final Calculation Sheet'!$V$4:$V$40=$DP$4)*($TV$4:$TV$40=1))&gt;0)</f>
      </c>
      <c r="TX4" t="str">
        <f>--($TW$4)</f>
      </c>
      <c r="TY4" t="str">
        <f>IF(ROW()-3&gt;MAX($TX$4:$TX$40),"",INDEX($DP$4:$DP$40,MATCH(ROW()-3,$TX$4:$TX$40,0)))</f>
      </c>
      <c r="TZ4" t="str">
        <f>IF(COUNTIF('Final Calculation Sheet'!$AL4:$BG4,0)+COUNTIF('Final Calculation Sheet'!$BI4:$BS4,0)&gt;0,0,1)</f>
      </c>
      <c r="UA4" t="str">
        <f>IF($DU$4="",FALSE,SUMPRODUCT(('Final Calculation Sheet'!$W$4:$W$40=$DU$4)*($TZ$4:$TZ$40=1))&gt;0)</f>
      </c>
      <c r="UB4" t="str">
        <f>--($UA$4)</f>
      </c>
      <c r="UC4" t="str">
        <f>IF(ROW()-3&gt;MAX($UB$4:$UB$40),"",INDEX($DU$4:$DU$40,MATCH(ROW()-3,$UB$4:$UB$40,0)))</f>
      </c>
      <c r="UD4" t="str">
        <f>IF(COUNTIF('Final Calculation Sheet'!$AL4:$BH4,0)+COUNTIF('Final Calculation Sheet'!$BJ4:$BS4,0)&gt;0,0,1)</f>
      </c>
      <c r="UE4" t="str">
        <f>IF($DZ$4="",FALSE,SUMPRODUCT(('Final Calculation Sheet'!$X$4:$X$40=$DZ$4)*($UD$4:$UD$40=1))&gt;0)</f>
      </c>
      <c r="UF4" t="str">
        <f>--($UE$4)</f>
      </c>
      <c r="UG4" t="str">
        <f>IF(ROW()-3&gt;MAX($UF$4:$UF$40),"",INDEX($DZ$4:$DZ$40,MATCH(ROW()-3,$UF$4:$UF$40,0)))</f>
      </c>
      <c r="UH4" t="str">
        <f>IF(COUNTIF('Final Calculation Sheet'!$AL4:$BI4,0)+COUNTIF('Final Calculation Sheet'!$BK4:$BS4,0)&gt;0,0,1)</f>
      </c>
      <c r="UI4" t="str">
        <f>IF($EE$4="",FALSE,SUMPRODUCT(('Final Calculation Sheet'!$Y$4:$Y$40=$EE$4)*($UH$4:$UH$40=1))&gt;0)</f>
      </c>
      <c r="UJ4" t="str">
        <f>--($UI$4)</f>
      </c>
      <c r="UK4" t="str">
        <f>IF(ROW()-3&gt;MAX($UJ$4:$UJ$40),"",INDEX($EE$4:$EE$40,MATCH(ROW()-3,$UJ$4:$UJ$40,0)))</f>
      </c>
      <c r="UL4" t="str">
        <f>IF(COUNTIF('Final Calculation Sheet'!$AL4:$BJ4,0)+COUNTIF('Final Calculation Sheet'!$BL4:$BS4,0)&gt;0,0,1)</f>
      </c>
      <c r="UM4" t="str">
        <f>IF($EJ$4="",FALSE,SUMPRODUCT(('Final Calculation Sheet'!$Z$4:$Z$40=$EJ$4)*($UL$4:$UL$40=1))&gt;0)</f>
      </c>
      <c r="UN4" t="str">
        <f>--($UM$4)</f>
      </c>
      <c r="UO4" t="str">
        <f>IF(ROW()-3&gt;MAX($UN$4:$UN$40),"",INDEX($EJ$4:$EJ$40,MATCH(ROW()-3,$UN$4:$UN$40,0)))</f>
      </c>
      <c r="UP4" t="str">
        <f>IF(COUNTIF('Final Calculation Sheet'!$AL4:$BK4,0)+COUNTIF('Final Calculation Sheet'!$BM4:$BS4,0)&gt;0,0,1)</f>
      </c>
      <c r="UQ4" t="str">
        <f>IF($EO$4="",FALSE,SUMPRODUCT(('Final Calculation Sheet'!$AA$4:$AA$40=$EO$4)*($UP$4:$UP$40=1))&gt;0)</f>
      </c>
      <c r="UR4" t="str">
        <f>--($UQ$4)</f>
      </c>
      <c r="US4" t="str">
        <f>IF(ROW()-3&gt;MAX($UR$4:$UR$40),"",INDEX($EO$4:$EO$40,MATCH(ROW()-3,$UR$4:$UR$40,0)))</f>
      </c>
      <c r="UT4" t="str">
        <f>IF(COUNTIF('Final Calculation Sheet'!$AL4:$BL4,0)+COUNTIF('Final Calculation Sheet'!$BN4:$BS4,0)&gt;0,0,1)</f>
      </c>
      <c r="UU4" t="str">
        <f>IF($ET$4="",FALSE,SUMPRODUCT(('Final Calculation Sheet'!$AB$4:$AB$40=$ET$4)*($UT$4:$UT$40=1))&gt;0)</f>
      </c>
      <c r="UV4" t="str">
        <f>--($UU$4)</f>
      </c>
      <c r="UW4" t="str">
        <f>IF(ROW()-3&gt;MAX($UV$4:$UV$40),"",INDEX($ET$4:$ET$40,MATCH(ROW()-3,$UV$4:$UV$40,0)))</f>
      </c>
      <c r="UX4" t="str">
        <f>IF(COUNTIF('Final Calculation Sheet'!$AL4:$BM4,0)+COUNTIF('Final Calculation Sheet'!$BO4:$BS4,0)&gt;0,0,1)</f>
      </c>
      <c r="UY4" t="str">
        <f>IF($EY$4="",FALSE,SUMPRODUCT(('Final Calculation Sheet'!$AC$4:$AC$40=$EY$4)*($UX$4:$UX$40=1))&gt;0)</f>
      </c>
      <c r="UZ4" t="str">
        <f>--($UY$4)</f>
      </c>
      <c r="VA4" t="str">
        <f>IF(ROW()-3&gt;MAX($UZ$4:$UZ$40),"",INDEX($EY$4:$EY$40,MATCH(ROW()-3,$UZ$4:$UZ$40,0)))</f>
      </c>
      <c r="VB4" t="str">
        <f>IF(COUNTIF('Final Calculation Sheet'!$AL4:$BN4,0)+COUNTIF('Final Calculation Sheet'!$BP4:$BS4,0)&gt;0,0,1)</f>
      </c>
      <c r="VC4" t="str">
        <f>IF($FD$4="",FALSE,SUMPRODUCT(('Final Calculation Sheet'!$AD$4:$AD$40=$FD$4)*($VB$4:$VB$40=1))&gt;0)</f>
      </c>
      <c r="VD4" t="str">
        <f>--($VC$4)</f>
      </c>
      <c r="VE4" t="str">
        <f>IF(ROW()-3&gt;MAX($VD$4:$VD$40),"",INDEX($FD$4:$FD$40,MATCH(ROW()-3,$VD$4:$VD$40,0)))</f>
      </c>
      <c r="VF4" t="str">
        <f>IF(COUNTIF('Final Calculation Sheet'!$AL4:$BO4,0)+COUNTIF('Final Calculation Sheet'!$BQ4:$BS4,0)&gt;0,0,1)</f>
      </c>
      <c r="VG4" t="str">
        <f>IF($FI$4="",FALSE,SUMPRODUCT(('Final Calculation Sheet'!$AE$4:$AE$40=$FI$4)*($VF$4:$VF$40=1))&gt;0)</f>
      </c>
      <c r="VH4" t="str">
        <f>--($VG$4)</f>
      </c>
      <c r="VI4" t="str">
        <f>IF(ROW()-3&gt;MAX($VH$4:$VH$40),"",INDEX($FI$4:$FI$40,MATCH(ROW()-3,$VH$4:$VH$40,0)))</f>
      </c>
      <c r="VJ4" t="str">
        <f>IF(COUNTIF('Final Calculation Sheet'!$AL4:$BP4,0)+COUNTIF('Final Calculation Sheet'!$BR4:$BS4,0)&gt;0,0,1)</f>
      </c>
      <c r="VK4" t="str">
        <f>IF($FN$4="",FALSE,SUMPRODUCT(('Final Calculation Sheet'!$AF$4:$AF$40=$FN$4)*($VJ$4:$VJ$40=1))&gt;0)</f>
      </c>
      <c r="VL4" t="str">
        <f>--($VK$4)</f>
      </c>
      <c r="VM4" t="str">
        <f>IF(ROW()-3&gt;MAX($VL$4:$VL$40),"",INDEX($FN$4:$FN$40,MATCH(ROW()-3,$VL$4:$VL$40,0)))</f>
      </c>
      <c r="VN4" t="str">
        <f>IF(COUNTIF('Final Calculation Sheet'!$AL4:$BQ4,0)+COUNTIF('Final Calculation Sheet'!$BS4:$BS4,0)&gt;0,0,1)</f>
      </c>
      <c r="VO4" t="str">
        <f>IF($FS$4="",FALSE,SUMPRODUCT(('Final Calculation Sheet'!$AG$4:$AG$40=$FS$4)*($VN$4:$VN$40=1))&gt;0)</f>
      </c>
      <c r="VP4" t="str">
        <f>--($VO$4)</f>
      </c>
      <c r="VQ4" t="str">
        <f>IF(ROW()-3&gt;MAX($VP$4:$VP$40),"",INDEX($FS$4:$FS$40,MATCH(ROW()-3,$VP$4:$VP$40,0)))</f>
      </c>
      <c r="VR4" t="str">
        <f>IF(COUNTIF('Final Calculation Sheet'!$AL4:$BR4,0)&gt;0,0,1)</f>
      </c>
      <c r="VS4" t="str">
        <f>IF($QO$4="",FALSE,SUMPRODUCT(('Final Calculation Sheet'!$AH$4:$AH$40=$QO$4)*($VR$4:$VR$40=1))&gt;0)</f>
      </c>
      <c r="VT4" t="str">
        <f>--($VS$4)</f>
      </c>
      <c r="VU4" t="str">
        <f>IF(ROW()-3&gt;MAX($VT$4:$VT$40),"",INDEX($QO$4:$QO$40,MATCH(ROW()-3,$VT$4:$VT$40,0)))</f>
      </c>
    </row>
    <row r="5">
      <c r="A5">
        <f>IF(IFERROR('Final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IF(IFERROR('Final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s="55">
        <f>IF('Final Calculation Sheet'!$C$5="","",'Final Calculation Sheet'!$C$5)</f>
        <v/>
      </c>
      <c r="AP5">
        <f>IF(AO5="","",COUNTIFS(AO$4:AO$40,"&lt;"&amp;AO5,AO$4:AO$40,"&lt;&gt;"&amp;"")+COUNTIF(AO$4:AO5,AO5))</f>
        <v/>
      </c>
      <c r="AQ5" s="55">
        <f>IF(ROW()-3&gt;COUNTIF(AO$4:AO$40,"&lt;&gt;"&amp;""),"",INDEX(AO$4:AO$40,MATCH(ROW()-3,AP$4:AP$40,0)))</f>
        <v/>
      </c>
      <c r="AR5">
        <f>AR4+IF(AND(AQ5&lt;&gt;"",COUNTIF(AQ$4:AQ5,AQ5)=1),1,0)</f>
        <v/>
      </c>
      <c r="AS5" s="55">
        <f>IF(ROW()-3&gt;MAX(AR$4:AR$40),"",INDEX(AQ$4:AQ$40,MATCH(ROW()-3,AR$4:AR$40,0)))</f>
        <v/>
      </c>
      <c r="AT5" s="55">
        <f>IF('Final Calculation Sheet'!$H$5="","",'Final Calculation Sheet'!$H$5)</f>
        <v/>
      </c>
      <c r="AU5">
        <f>IF(AT5="","",COUNTIFS(AT$4:AT$40,"&lt;"&amp;AT5,AT$4:AT$40,"&lt;&gt;"&amp;"")+COUNTIF(AT$4:AT5,AT5))</f>
        <v/>
      </c>
      <c r="AV5" s="55">
        <f>IF(ROW()-3&gt;COUNTIF(AT$4:AT$40,"&lt;&gt;"&amp;""),"",INDEX(AT$4:AT$40,MATCH(ROW()-3,AU$4:AU$40,0)))</f>
        <v/>
      </c>
      <c r="AW5">
        <f>AW4+IF(AND(AV5&lt;&gt;"",COUNTIF(AV$4:AV5,AV5)=1),1,0)</f>
        <v/>
      </c>
      <c r="AX5" s="55">
        <f>IF(ROW()-3&gt;MAX(AW$4:AW$40),"",INDEX(AV$4:AV$40,MATCH(ROW()-3,AW$4:AW$40,0)))</f>
        <v/>
      </c>
      <c r="AY5" s="55">
        <f>IF('Final Calculation Sheet'!$I$5="","",'Final Calculation Sheet'!$I$5)</f>
        <v/>
      </c>
      <c r="AZ5">
        <f>IF(AY5="","",COUNTIFS(AY$4:AY$40,"&lt;"&amp;AY5,AY$4:AY$40,"&lt;&gt;"&amp;"")+COUNTIF(AY$4:AY5,AY5))</f>
        <v/>
      </c>
      <c r="BA5" s="55">
        <f>IF(ROW()-3&gt;COUNTIF(AY$4:AY$40,"&lt;&gt;"&amp;""),"",INDEX(AY$4:AY$40,MATCH(ROW()-3,AZ$4:AZ$40,0)))</f>
        <v/>
      </c>
      <c r="BB5">
        <f>BB4+IF(AND(BA5&lt;&gt;"",COUNTIF(BA$4:BA5,BA5)=1),1,0)</f>
        <v/>
      </c>
      <c r="BC5" s="55">
        <f>IF(ROW()-3&gt;MAX(BB$4:BB$40),"",INDEX(BA$4:BA$40,MATCH(ROW()-3,BB$4:BB$40,0)))</f>
        <v/>
      </c>
      <c r="BD5" s="55">
        <f>IF('Final Calculation Sheet'!$J$5="","",'Final Calculation Sheet'!$J$5)</f>
        <v/>
      </c>
      <c r="BE5">
        <f>IF(BD5="","",COUNTIFS(BD$4:BD$40,"&lt;"&amp;BD5,BD$4:BD$40,"&lt;&gt;"&amp;"")+COUNTIF(BD$4:BD5,BD5))</f>
        <v/>
      </c>
      <c r="BF5" s="55">
        <f>IF(ROW()-3&gt;COUNTIF(BD$4:BD$40,"&lt;&gt;"&amp;""),"",INDEX(BD$4:BD$40,MATCH(ROW()-3,BE$4:BE$40,0)))</f>
        <v/>
      </c>
      <c r="BG5">
        <f>BG4+IF(AND(BF5&lt;&gt;"",COUNTIF(BF$4:BF5,BF5)=1),1,0)</f>
        <v/>
      </c>
      <c r="BH5" s="55">
        <f>IF(ROW()-3&gt;MAX(BG$4:BG$40),"",INDEX(BF$4:BF$40,MATCH(ROW()-3,BG$4:BG$40,0)))</f>
        <v/>
      </c>
      <c r="BI5" s="55">
        <f>IF('Final Calculation Sheet'!$K$5="","",'Final Calculation Sheet'!$K$5)</f>
        <v/>
      </c>
      <c r="BJ5">
        <f>IF(BI5="","",COUNTIFS(BI$4:BI$40,"&lt;"&amp;BI5,BI$4:BI$40,"&lt;&gt;"&amp;"")+COUNTIF(BI$4:BI5,BI5))</f>
        <v/>
      </c>
      <c r="BK5" s="55">
        <f>IF(ROW()-3&gt;COUNTIF(BI$4:BI$40,"&lt;&gt;"&amp;""),"",INDEX(BI$4:BI$40,MATCH(ROW()-3,BJ$4:BJ$40,0)))</f>
        <v/>
      </c>
      <c r="BL5">
        <f>BL4+IF(AND(BK5&lt;&gt;"",COUNTIF(BK$4:BK5,BK5)=1),1,0)</f>
        <v/>
      </c>
      <c r="BM5" s="55">
        <f>IF(ROW()-3&gt;MAX(BL$4:BL$40),"",INDEX(BK$4:BK$40,MATCH(ROW()-3,BL$4:BL$40,0)))</f>
        <v/>
      </c>
      <c r="BN5" s="55">
        <f>IF('Final Calculation Sheet'!$L$5="","",'Final Calculation Sheet'!$L$5)</f>
        <v/>
      </c>
      <c r="BO5">
        <f>IF(BN5="","",COUNTIFS(BN$4:BN$40,"&lt;"&amp;BN5,BN$4:BN$40,"&lt;&gt;"&amp;"")+COUNTIF(BN$4:BN5,BN5))</f>
        <v/>
      </c>
      <c r="BP5" s="55">
        <f>IF(ROW()-3&gt;COUNTIF(BN$4:BN$40,"&lt;&gt;"&amp;""),"",INDEX(BN$4:BN$40,MATCH(ROW()-3,BO$4:BO$40,0)))</f>
        <v/>
      </c>
      <c r="BQ5">
        <f>BQ4+IF(AND(BP5&lt;&gt;"",COUNTIF(BP$4:BP5,BP5)=1),1,0)</f>
        <v/>
      </c>
      <c r="BR5" s="55">
        <f>IF(ROW()-3&gt;MAX(BQ$4:BQ$40),"",INDEX(BP$4:BP$40,MATCH(ROW()-3,BQ$4:BQ$40,0)))</f>
        <v/>
      </c>
      <c r="BS5" s="55">
        <f>IF('Final Calculation Sheet'!$M$5="","",'Final Calculation Sheet'!$M$5)</f>
        <v/>
      </c>
      <c r="BT5">
        <f>IF(BS5="","",COUNTIFS(BS$4:BS$40,"&lt;"&amp;BS5,BS$4:BS$40,"&lt;&gt;"&amp;"")+COUNTIF(BS$4:BS5,BS5))</f>
        <v/>
      </c>
      <c r="BU5" s="55">
        <f>IF(ROW()-3&gt;COUNTIF(BS$4:BS$40,"&lt;&gt;"&amp;""),"",INDEX(BS$4:BS$40,MATCH(ROW()-3,BT$4:BT$40,0)))</f>
        <v/>
      </c>
      <c r="BV5">
        <f>BV4+IF(AND(BU5&lt;&gt;"",COUNTIF(BU$4:BU5,BU5)=1),1,0)</f>
        <v/>
      </c>
      <c r="BW5" s="55">
        <f>IF(ROW()-3&gt;MAX(BV$4:BV$40),"",INDEX(BU$4:BU$40,MATCH(ROW()-3,BV$4:BV$40,0)))</f>
        <v/>
      </c>
      <c r="BX5" s="138">
        <f>IF('Final Calculation Sheet'!$N$5="","",'Final Calculation Sheet'!$N$5)</f>
        <v/>
      </c>
      <c r="BY5">
        <f>IF(BX5="","",COUNTIFS(BX$4:BX$40,"&lt;"&amp;BX5,BX$4:BX$40,"&lt;&gt;"&amp;"")+COUNTIF(BX$4:BX5,BX5))</f>
        <v/>
      </c>
      <c r="BZ5" s="138">
        <f>IF(ROW()-3&gt;COUNTIF(BX$4:BX$40,"&lt;&gt;"&amp;""),"",INDEX(BX$4:BX$40,MATCH(ROW()-3,BY$4:BY$40,0)))</f>
        <v/>
      </c>
      <c r="CA5">
        <f>CA4+IF(AND(BZ5&lt;&gt;"",COUNTIF(BZ$4:BZ5,BZ5)=1),1,0)</f>
        <v/>
      </c>
      <c r="CB5" s="138">
        <f>IF(ROW()-3&gt;MAX(CA$4:CA$40),"",INDEX(BZ$4:BZ$40,MATCH(ROW()-3,CA$4:CA$40,0)))</f>
        <v/>
      </c>
      <c r="CC5" s="55">
        <f>IF('Final Calculation Sheet'!$O$5="","",'Final Calculation Sheet'!$O$5)</f>
        <v/>
      </c>
      <c r="CD5">
        <f>IF(CC5="","",COUNTIFS(CC$4:CC$40,"&lt;"&amp;CC5,CC$4:CC$40,"&lt;&gt;"&amp;"")+COUNTIF(CC$4:CC5,CC5))</f>
        <v/>
      </c>
      <c r="CE5" s="55">
        <f>IF(ROW()-3&gt;COUNTIF(CC$4:CC$40,"&lt;&gt;"&amp;""),"",INDEX(CC$4:CC$40,MATCH(ROW()-3,CD$4:CD$40,0)))</f>
        <v/>
      </c>
      <c r="CF5">
        <f>CF4+IF(AND(CE5&lt;&gt;"",COUNTIF(CE$4:CE5,CE5)=1),1,0)</f>
        <v/>
      </c>
      <c r="CG5" s="55">
        <f>IF(ROW()-3&gt;MAX(CF$4:CF$40),"",INDEX(CE$4:CE$40,MATCH(ROW()-3,CF$4:CF$40,0)))</f>
        <v/>
      </c>
      <c r="CH5" s="55">
        <f>IF('Final Calculation Sheet'!$P$5="","",'Final Calculation Sheet'!$P$5)</f>
        <v/>
      </c>
      <c r="CI5">
        <f>IF(CH5="","",COUNTIFS(CH$4:CH$40,"&lt;"&amp;CH5,CH$4:CH$40,"&lt;&gt;"&amp;"")+COUNTIF(CH$4:CH5,CH5))</f>
        <v/>
      </c>
      <c r="CJ5" s="55">
        <f>IF(ROW()-3&gt;COUNTIF(CH$4:CH$40,"&lt;&gt;"&amp;""),"",INDEX(CH$4:CH$40,MATCH(ROW()-3,CI$4:CI$40,0)))</f>
        <v/>
      </c>
      <c r="CK5">
        <f>CK4+IF(AND(CJ5&lt;&gt;"",COUNTIF(CJ$4:CJ5,CJ5)=1),1,0)</f>
        <v/>
      </c>
      <c r="CL5" s="55">
        <f>IF(ROW()-3&gt;MAX(CK$4:CK$40),"",INDEX(CJ$4:CJ$40,MATCH(ROW()-3,CK$4:CK$40,0)))</f>
        <v/>
      </c>
      <c r="CM5" s="139">
        <f>IF('Final Calculation Sheet'!$Q$5="","",'Final Calculation Sheet'!$Q$5)</f>
        <v/>
      </c>
      <c r="CN5">
        <f>IF(CM5="","",COUNTIFS(CM$4:CM$40,"&lt;"&amp;CM5,CM$4:CM$40,"&lt;&gt;"&amp;"")+COUNTIF(CM$4:CM5,CM5))</f>
        <v/>
      </c>
      <c r="CO5" s="139">
        <f>IF(ROW()-3&gt;COUNTIF(CM$4:CM$40,"&lt;&gt;"&amp;""),"",INDEX(CM$4:CM$40,MATCH(ROW()-3,CN$4:CN$40,0)))</f>
        <v/>
      </c>
      <c r="CP5">
        <f>CP4+IF(AND(CO5&lt;&gt;"",COUNTIF(CO$4:CO5,CO5)=1),1,0)</f>
        <v/>
      </c>
      <c r="CQ5" s="139">
        <f>IF(ROW()-3&gt;MAX(CP$4:CP$40),"",INDEX(CO$4:CO$40,MATCH(ROW()-3,CP$4:CP$40,0)))</f>
        <v/>
      </c>
      <c r="CR5" s="55">
        <f>IF('Final Calculation Sheet'!$R$5="","",'Final Calculation Sheet'!$R$5)</f>
        <v/>
      </c>
      <c r="CS5">
        <f>IF(CR5="","",COUNTIFS(CR$4:CR$40,"&lt;"&amp;CR5,CR$4:CR$40,"&lt;&gt;"&amp;"")+COUNTIF(CR$4:CR5,CR5))</f>
        <v/>
      </c>
      <c r="CT5" s="55">
        <f>IF(ROW()-3&gt;COUNTIF(CR$4:CR$40,"&lt;&gt;"&amp;""),"",INDEX(CR$4:CR$40,MATCH(ROW()-3,CS$4:CS$40,0)))</f>
        <v/>
      </c>
      <c r="CU5">
        <f>CU4+IF(AND(CT5&lt;&gt;"",COUNTIF(CT$4:CT5,CT5)=1),1,0)</f>
        <v/>
      </c>
      <c r="CV5" s="55">
        <f>IF(ROW()-3&gt;MAX(CU$4:CU$40),"",INDEX(CT$4:CT$40,MATCH(ROW()-3,CU$4:CU$40,0)))</f>
        <v/>
      </c>
      <c r="CW5" s="55">
        <f>IF('Final Calculation Sheet'!$S$5="","",'Final Calculation Sheet'!$S$5)</f>
        <v/>
      </c>
      <c r="CX5">
        <f>IF(CW5="","",COUNTIFS(CW$4:CW$40,"&lt;"&amp;CW5,CW$4:CW$40,"&lt;&gt;"&amp;"")+COUNTIF(CW$4:CW5,CW5))</f>
        <v/>
      </c>
      <c r="CY5" s="55">
        <f>IF(ROW()-3&gt;COUNTIF(CW$4:CW$40,"&lt;&gt;"&amp;""),"",INDEX(CW$4:CW$40,MATCH(ROW()-3,CX$4:CX$40,0)))</f>
        <v/>
      </c>
      <c r="CZ5">
        <f>CZ4+IF(AND(CY5&lt;&gt;"",COUNTIF(CY$4:CY5,CY5)=1),1,0)</f>
        <v/>
      </c>
      <c r="DA5" s="55">
        <f>IF(ROW()-3&gt;MAX(CZ$4:CZ$40),"",INDEX(CY$4:CY$40,MATCH(ROW()-3,CZ$4:CZ$40,0)))</f>
        <v/>
      </c>
      <c r="DB5" s="55">
        <f>IF('Final Calculation Sheet'!$T$5="","",'Final Calculation Sheet'!$T$5)</f>
        <v/>
      </c>
      <c r="DC5">
        <f>IF(DB5="","",COUNTIFS(DB$4:DB$40,"&lt;"&amp;DB5,DB$4:DB$40,"&lt;&gt;"&amp;"")+COUNTIF(DB$4:DB5,DB5))</f>
        <v/>
      </c>
      <c r="DD5" s="55">
        <f>IF(ROW()-3&gt;COUNTIF(DB$4:DB$40,"&lt;&gt;"&amp;""),"",INDEX(DB$4:DB$40,MATCH(ROW()-3,DC$4:DC$40,0)))</f>
        <v/>
      </c>
      <c r="DE5">
        <f>DE4+IF(AND(DD5&lt;&gt;"",COUNTIF(DD$4:DD5,DD5)=1),1,0)</f>
        <v/>
      </c>
      <c r="DF5" s="55">
        <f>IF(ROW()-3&gt;MAX(DE$4:DE$40),"",INDEX(DD$4:DD$40,MATCH(ROW()-3,DE$4:DE$40,0)))</f>
        <v/>
      </c>
      <c r="DG5" s="140">
        <f>IF('Final Calculation Sheet'!$U$5="","",'Final Calculation Sheet'!$U$5)</f>
        <v/>
      </c>
      <c r="DH5">
        <f>IF(DG5="","",COUNTIFS(DG$4:DG$40,"&lt;"&amp;DG5,DG$4:DG$40,"&lt;&gt;"&amp;"")+COUNTIF(DG$4:DG5,DG5))</f>
        <v/>
      </c>
      <c r="DI5" s="140">
        <f>IF(ROW()-3&gt;COUNTIF(DG$4:DG$40,"&lt;&gt;"&amp;""),"",INDEX(DG$4:DG$40,MATCH(ROW()-3,DH$4:DH$40,0)))</f>
        <v/>
      </c>
      <c r="DJ5">
        <f>DJ4+IF(AND(DI5&lt;&gt;"",COUNTIF(DI$4:DI5,DI5)=1),1,0)</f>
        <v/>
      </c>
      <c r="DK5" s="140">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s="55">
        <f>IF('Final Calculation Sheet'!$W$5="","",'Final Calculation Sheet'!$W$5)</f>
        <v/>
      </c>
      <c r="DR5">
        <f>IF(DQ5="","",COUNTIFS(DQ$4:DQ$40,"&lt;"&amp;DQ5,DQ$4:DQ$40,"&lt;&gt;"&amp;"")+COUNTIF(DQ$4:DQ5,DQ5))</f>
        <v/>
      </c>
      <c r="DS5" s="55">
        <f>IF(ROW()-3&gt;COUNTIF(DQ$4:DQ$40,"&lt;&gt;"&amp;""),"",INDEX(DQ$4:DQ$40,MATCH(ROW()-3,DR$4:DR$40,0)))</f>
        <v/>
      </c>
      <c r="DT5">
        <f>DT4+IF(AND(DS5&lt;&gt;"",COUNTIF(DS$4:DS5,DS5)=1),1,0)</f>
        <v/>
      </c>
      <c r="DU5" s="55">
        <f>IF(ROW()-3&gt;MAX(DT$4:DT$40),"",INDEX(DS$4:DS$40,MATCH(ROW()-3,DT$4:DT$40,0)))</f>
        <v/>
      </c>
      <c r="DV5" s="55">
        <f>IF('Final Calculation Sheet'!$X$5="","",'Final Calculation Sheet'!$X$5)</f>
        <v/>
      </c>
      <c r="DW5">
        <f>IF(DV5="","",COUNTIFS(DV$4:DV$40,"&lt;"&amp;DV5,DV$4:DV$40,"&lt;&gt;"&amp;"")+COUNTIF(DV$4:DV5,DV5))</f>
        <v/>
      </c>
      <c r="DX5" s="5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s="55">
        <f>IF(ROW()-3&gt;COUNTIF(EA$4:EA$40,"&lt;&gt;"&amp;""),"",INDEX(EA$4:EA$40,MATCH(ROW()-3,EB$4:EB$40,0)))</f>
        <v/>
      </c>
      <c r="ED5">
        <f>ED4+IF(AND(EC5&lt;&gt;"",COUNTIF(EC$4:EC5,EC5)=1),1,0)</f>
        <v/>
      </c>
      <c r="EE5">
        <f>IF(ROW()-3&gt;MAX(ED$4:ED$40),"",INDEX(EC$4:EC$40,MATCH(ROW()-3,ED$4:ED$40,0)))</f>
        <v/>
      </c>
      <c r="EF5" s="55">
        <f>IF('Final Calculation Sheet'!$Z$5="","",'Final Calculation Sheet'!$Z$5)</f>
        <v/>
      </c>
      <c r="EG5">
        <f>IF(EF5="","",COUNTIFS(EF$4:EF$40,"&lt;"&amp;EF5,EF$4:EF$40,"&lt;&gt;"&amp;"")+COUNTIF(EF$4:EF5,EF5))</f>
        <v/>
      </c>
      <c r="EH5" s="55">
        <f>IF(ROW()-3&gt;COUNTIF(EF$4:EF$40,"&lt;&gt;"&amp;""),"",INDEX(EF$4:EF$40,MATCH(ROW()-3,EG$4:EG$40,0)))</f>
        <v/>
      </c>
      <c r="EI5">
        <f>EI4+IF(AND(EH5&lt;&gt;"",COUNTIF(EH$4:EH5,EH5)=1),1,0)</f>
        <v/>
      </c>
      <c r="EJ5" s="55">
        <f>IF(ROW()-3&gt;MAX(EI$4:EI$40),"",INDEX(EH$4:EH$40,MATCH(ROW()-3,EI$4:EI$40,0)))</f>
        <v/>
      </c>
      <c r="EK5">
        <f>IF('Final Calculation Sheet'!$AA$5="","",'Final Calculation Sheet'!$AA$5)</f>
        <v/>
      </c>
      <c r="EL5">
        <f>IF(EK5="","",COUNTIFS(EK$4:EK$40,"&lt;"&amp;EK5,EK$4:EK$40,"&lt;&gt;"&amp;"")+COUNTIF(EK$4:EK5,EK5))</f>
        <v/>
      </c>
      <c r="EM5" s="5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s="55">
        <f>IF('Final Calculation Sheet'!$AC$5="","",'Final Calculation Sheet'!$AC$5)</f>
        <v/>
      </c>
      <c r="EV5">
        <f>IF(EU5="","",COUNTIFS(EU$4:EU$40,"&lt;"&amp;EU5,EU$4:EU$40,"&lt;&gt;"&amp;"")+COUNTIF(EU$4:EU5,EU5))</f>
        <v/>
      </c>
      <c r="EW5" s="55">
        <f>IF(ROW()-3&gt;COUNTIF(EU$4:EU$40,"&lt;&gt;"&amp;""),"",INDEX(EU$4:EU$40,MATCH(ROW()-3,EV$4:EV$40,0)))</f>
        <v/>
      </c>
      <c r="EX5">
        <f>EX4+IF(AND(EW5&lt;&gt;"",COUNTIF(EW$4:EW5,EW5)=1),1,0)</f>
        <v/>
      </c>
      <c r="EY5" s="55">
        <f>IF(ROW()-3&gt;MAX(EX$4:EX$40),"",INDEX(EW$4:EW$40,MATCH(ROW()-3,EX$4:EX$40,0)))</f>
        <v/>
      </c>
      <c r="EZ5" s="55">
        <f>IF('Final Calculation Sheet'!$AD$5="","",'Final Calculation Sheet'!$AD$5)</f>
        <v/>
      </c>
      <c r="FA5">
        <f>IF(EZ5="","",COUNTIFS(EZ$4:EZ$40,"&lt;"&amp;EZ5,EZ$4:EZ$40,"&lt;&gt;"&amp;"")+COUNTIF(EZ$4:EZ5,EZ5))</f>
        <v/>
      </c>
      <c r="FB5" s="55">
        <f>IF(ROW()-3&gt;COUNTIF(EZ$4:EZ$40,"&lt;&gt;"&amp;""),"",INDEX(EZ$4:EZ$40,MATCH(ROW()-3,FA$4:FA$40,0)))</f>
        <v/>
      </c>
      <c r="FC5">
        <f>FC4+IF(AND(FB5&lt;&gt;"",COUNTIF(FB$4:FB5,FB5)=1),1,0)</f>
        <v/>
      </c>
      <c r="FD5" s="55">
        <f>IF(ROW()-3&gt;MAX(FC$4:FC$40),"",INDEX(FB$4:FB$40,MATCH(ROW()-3,FC$4:FC$40,0)))</f>
        <v/>
      </c>
      <c r="FE5">
        <f>IF('Final Calculation Sheet'!$AF$5="","",'Final Calculation Sheet'!$AF$5)</f>
        <v/>
      </c>
      <c r="FF5">
        <f>IF(FE5="","",COUNTIFS(FE$4:FE$40,"&lt;"&amp;FE5,FE$4:FE$40,"&lt;&gt;"&amp;"")+COUNTIF(FE$4:FE5,FE5))</f>
        <v/>
      </c>
      <c r="FG5">
        <f>IF(ROW()-3&gt;COUNTIF(FE$4:FE$40,"&lt;&gt;"&amp;""),"",INDEX(FE$4:FE$40,MATCH(ROW()-3,FF$4:FF$40,0)))</f>
        <v/>
      </c>
      <c r="FH5">
        <f>FH4+IF(AND(FG5&lt;&gt;"",COUNTIF(FG$4:FG5,FG5)=1),1,0)</f>
        <v/>
      </c>
      <c r="FI5">
        <f>IF(ROW()-3&gt;MAX(FH$4:FH$40),"",INDEX(FG$4:FG$40,MATCH(ROW()-3,FH$4:FH$40,0)))</f>
        <v/>
      </c>
      <c r="FJ5" s="141">
        <f>IF('Final Calculation Sheet'!$AG$5="","",'Final Calculation Sheet'!$AG$5)</f>
        <v/>
      </c>
      <c r="FK5">
        <f>IF(FJ5="","",COUNTIFS(FJ$4:FJ$40,"&lt;"&amp;FJ5,FJ$4:FJ$40,"&lt;&gt;"&amp;"")+COUNTIF(FJ$4:FJ5,FJ5))</f>
        <v/>
      </c>
      <c r="FL5" s="141">
        <f>IF(ROW()-3&gt;COUNTIF(FJ$4:FJ$40,"&lt;&gt;"&amp;""),"",INDEX(FJ$4:FJ$40,MATCH(ROW()-3,FK$4:FK$40,0)))</f>
        <v/>
      </c>
      <c r="FM5">
        <f>FM4+IF(AND(FL5&lt;&gt;"",COUNTIF(FL$4:FL5,FL5)=1),1,0)</f>
        <v/>
      </c>
      <c r="FN5">
        <f>IF(ROW()-3&gt;MAX(FM$4:FM$40),"",INDEX(FL$4:FL$40,MATCH(ROW()-3,FM$4:FM$40,0)))</f>
        <v/>
      </c>
      <c r="FO5">
        <f>IF('Final Calculation Sheet'!$AH$5="","",'Final Calculation Sheet'!$AH$5)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c r="FZ5">
        <f>IF($Y$5="",FALSE,SUMPRODUCT(('Final Calculation Sheet'!$B$4:$B$40=$Y$5)*($FY$6:$FY$42=1))&gt;0)</f>
        <v/>
      </c>
      <c r="GA5">
        <f>$GA$4+--($FZ$5)</f>
        <v/>
      </c>
      <c r="GB5">
        <f>IF(ROW()-3&gt;MAX($GA$4:$GA$40),"",INDEX($Y$4:$Y$40,MATCH(ROW()-3,$GA$4:$GA$40,0)))</f>
        <v/>
      </c>
      <c r="GD5">
        <f>IF($O$5="",FALSE,SUMPRODUCT(('Final Calculation Sheet'!$F$4:$F$40=$O$5)*($GC$6:$GC$42=1))&gt;0)</f>
        <v/>
      </c>
      <c r="GE5">
        <f>$GE$4+--($GD5)</f>
        <v/>
      </c>
      <c r="GF5">
        <f>IF(ROW()-3&gt;MAX($GE$4:$GE$40),"",INDEX($O$4:$O$40,MATCH(ROW()-3,$GE$4:$GE$40,0)))</f>
        <v/>
      </c>
      <c r="GH5">
        <f>IF($T$5="",FALSE,SUMPRODUCT(('Final Calculation Sheet'!$G$4:$G$40=$T$5)*($GG$6:$GG$42=1))&gt;0)</f>
        <v/>
      </c>
      <c r="GI5">
        <f>$GI$4+--($GH5)</f>
        <v/>
      </c>
      <c r="GJ5">
        <f>IF(ROW()-3&gt;MAX($GI$4:$GI$40),"",INDEX($T$4:$T$40,MATCH(ROW()-3,$GI$4:$GI$40,0)))</f>
        <v/>
      </c>
      <c r="GL5">
        <f>IF($AD$5="",FALSE,SUMPRODUCT(('Final Calculation Sheet'!$D$4:$D$40=$AD$5)*($GK$6:$GK$42=1))&gt;0)</f>
        <v/>
      </c>
      <c r="GM5">
        <f>$GM$4+--($GL5)</f>
        <v/>
      </c>
      <c r="GN5">
        <f>IF(ROW()-3&gt;MAX($GM$4:$GM$40),"",INDEX($AD$4:$AD$40,MATCH(ROW()-3,$GM$4:$GM$40,0)))</f>
        <v/>
      </c>
      <c r="GP5">
        <f>IF($AI$5="",FALSE,SUMPRODUCT(('Final Calculation Sheet'!$A$4:$A$40=$AI$5)*($GO$6:$GO$42=1))&gt;0)</f>
        <v/>
      </c>
      <c r="GQ5">
        <f>$GQ$4+--($GP5)</f>
        <v/>
      </c>
      <c r="GR5">
        <f>IF(ROW()-3&gt;MAX($GQ$4:$GQ$40),"",INDEX($AI$4:$AI$40,MATCH(ROW()-3,$GQ$4:$GQ$40,0)))</f>
        <v/>
      </c>
      <c r="GT5">
        <f>IF($AN$5="",FALSE,SUMPRODUCT(('Final Calculation Sheet'!$E$4:$E$40=$AN$5)*($GS$6:$GS$42=1))&gt;0)</f>
        <v/>
      </c>
      <c r="GU5">
        <f>$GU$4+--($GT5)</f>
        <v/>
      </c>
      <c r="GV5">
        <f>IF(ROW()-3&gt;MAX($GU$4:$GU$40),"",INDEX($AN$4:$AN$40,MATCH(ROW()-3,$GU$4:$GU$40,0)))</f>
        <v/>
      </c>
      <c r="GX5">
        <f>IF($AS$5="",FALSE,SUMPRODUCT(('Final Calculation Sheet'!$C$4:$C$40=$AS$5)*($GW$6:$GW$42=1))&gt;0)</f>
        <v/>
      </c>
      <c r="GY5">
        <f>$GY$4+--($GX5)</f>
        <v/>
      </c>
      <c r="GZ5">
        <f>IF(ROW()-3&gt;MAX($GY$4:$GY$40),"",INDEX($AS$4:$AS$40,MATCH(ROW()-3,$GY$4:$GY$40,0)))</f>
        <v/>
      </c>
      <c r="HB5">
        <f>IF($AX$5="",FALSE,SUMPRODUCT(('Final Calculation Sheet'!$H$4:$H$40=$AX$5)*($HA$6:$HA$42=1))&gt;0)</f>
        <v/>
      </c>
      <c r="HC5">
        <f>$HC$4+--($HB5)</f>
        <v/>
      </c>
      <c r="HD5">
        <f>IF(ROW()-3&gt;MAX($HC$4:$HC$40),"",INDEX($AX$4:$AX$40,MATCH(ROW()-3,$HC$4:$HC$40,0)))</f>
        <v/>
      </c>
      <c r="HF5">
        <f>IF($BC$5="",FALSE,SUMPRODUCT(('Final Calculation Sheet'!$I$4:$I$40=$BC$5)*($HE$6:$HE$42=1))&gt;0)</f>
        <v/>
      </c>
      <c r="HG5">
        <f>$HG$4+--($HF5)</f>
        <v/>
      </c>
      <c r="HH5">
        <f>IF(ROW()-3&gt;MAX($HG$4:$HG$40),"",INDEX($BC$4:$BC$40,MATCH(ROW()-3,$HG$4:$HG$40,0)))</f>
        <v/>
      </c>
      <c r="HJ5">
        <f>IF($BH$5="",FALSE,SUMPRODUCT(('Final Calculation Sheet'!$J$4:$J$40=$BH$5)*($HI$6:$HI$42=1))&gt;0)</f>
        <v/>
      </c>
      <c r="HK5">
        <f>$HK$4+--($HJ5)</f>
        <v/>
      </c>
      <c r="HL5">
        <f>IF(ROW()-3&gt;MAX($HK$4:$HK$40),"",INDEX($BH$4:$BH$40,MATCH(ROW()-3,$HK$4:$HK$40,0)))</f>
        <v/>
      </c>
      <c r="HN5">
        <f>IF($BM$5="",FALSE,SUMPRODUCT(('Final Calculation Sheet'!$K$4:$K$40=$BM$5)*($HM$6:$HM$42=1))&gt;0)</f>
        <v/>
      </c>
      <c r="HO5">
        <f>$HO$4+--($HN5)</f>
        <v/>
      </c>
      <c r="HP5">
        <f>IF(ROW()-3&gt;MAX($HO$4:$HO$40),"",INDEX($BM$4:$BM$40,MATCH(ROW()-3,$HO$4:$HO$40,0)))</f>
        <v/>
      </c>
      <c r="HR5">
        <f>IF($BR$5="",FALSE,SUMPRODUCT(('Final Calculation Sheet'!$L$4:$L$40=$BR$5)*($HQ$6:$HQ$42=1))&gt;0)</f>
        <v/>
      </c>
      <c r="HS5">
        <f>$HS$4+--($HR5)</f>
        <v/>
      </c>
      <c r="HT5">
        <f>IF(ROW()-3&gt;MAX($HS$4:$HS$40),"",INDEX($BR$4:$BR$40,MATCH(ROW()-3,$HS$4:$HS$40,0)))</f>
        <v/>
      </c>
      <c r="HV5">
        <f>IF($BW$5="",FALSE,SUMPRODUCT(('Final Calculation Sheet'!$M$4:$M$40=$BW$5)*($HU$6:$HU$42=1))&gt;0)</f>
        <v/>
      </c>
      <c r="HW5">
        <f>$HW$4+--($HV5)</f>
        <v/>
      </c>
      <c r="HX5">
        <f>IF(ROW()-3&gt;MAX($HW$4:$HW$40),"",INDEX($BW$4:$BW$40,MATCH(ROW()-3,$HW$4:$HW$40,0)))</f>
        <v/>
      </c>
      <c r="HZ5">
        <f>IF($CB$5="",FALSE,SUMPRODUCT(('Final Calculation Sheet'!$N$4:$N$40=$CB$5)*($HY$6:$HY$42=1))&gt;0)</f>
        <v/>
      </c>
      <c r="IA5">
        <f>$IA$4+--($HZ5)</f>
        <v/>
      </c>
      <c r="IB5">
        <f>IF(ROW()-3&gt;MAX($IA$4:$IA$40),"",INDEX($CB$4:$CB$40,MATCH(ROW()-3,$IA$4:$IA$40,0)))</f>
        <v/>
      </c>
      <c r="ID5">
        <f>IF($CG$5="",FALSE,SUMPRODUCT(('Final Calculation Sheet'!$O$4:$O$40=$CG$5)*($IC$6:$IC$42=1))&gt;0)</f>
        <v/>
      </c>
      <c r="IE5">
        <f>$IE$4+--($ID5)</f>
        <v/>
      </c>
      <c r="IF5">
        <f>IF(ROW()-3&gt;MAX($IE$4:$IE$40),"",INDEX($CG$4:$CG$40,MATCH(ROW()-3,$IE$4:$IE$40,0)))</f>
        <v/>
      </c>
      <c r="IH5">
        <f>IF($CL$5="",FALSE,SUMPRODUCT(('Final Calculation Sheet'!$P$4:$P$40=$CL$5)*($IG$6:$IG$42=1))&gt;0)</f>
        <v/>
      </c>
      <c r="II5">
        <f>$II$4+--($IH5)</f>
        <v/>
      </c>
      <c r="IJ5">
        <f>IF(ROW()-3&gt;MAX($II$4:$II$40),"",INDEX($CL$4:$CL$40,MATCH(ROW()-3,$II$4:$II$40,0)))</f>
        <v/>
      </c>
      <c r="IL5">
        <f>IF($CQ$5="",FALSE,SUMPRODUCT(('Final Calculation Sheet'!$Q$4:$Q$40=$CQ$5)*($IK$6:$IK$42=1))&gt;0)</f>
        <v/>
      </c>
      <c r="IM5">
        <f>$IM$4+--($IL5)</f>
        <v/>
      </c>
      <c r="IN5">
        <f>IF(ROW()-3&gt;MAX($IM$4:$IM$40),"",INDEX($CQ$4:$CQ$40,MATCH(ROW()-3,$IM$4:$IM$40,0)))</f>
        <v/>
      </c>
      <c r="IP5">
        <f>IF($CV$5="",FALSE,SUMPRODUCT(('Final Calculation Sheet'!$R$4:$R$40=$CV$5)*($IO$6:$IO$42=1))&gt;0)</f>
        <v/>
      </c>
      <c r="IQ5">
        <f>$IQ$4+--($IP5)</f>
        <v/>
      </c>
      <c r="IR5">
        <f>IF(ROW()-3&gt;MAX($IQ$4:$IQ$40),"",INDEX($CV$4:$CV$40,MATCH(ROW()-3,$IQ$4:$IQ$40,0)))</f>
        <v/>
      </c>
      <c r="IT5">
        <f>IF($DA$5="",FALSE,SUMPRODUCT(('Final Calculation Sheet'!$S$4:$S$40=$DA$5)*($IS$6:$IS$42=1))&gt;0)</f>
        <v/>
      </c>
      <c r="IU5">
        <f>$IU$4+--($IT5)</f>
        <v/>
      </c>
      <c r="IV5">
        <f>IF(ROW()-3&gt;MAX($IU$4:$IU$40),"",INDEX($DA$4:$DA$40,MATCH(ROW()-3,$IU$4:$IU$40,0)))</f>
        <v/>
      </c>
      <c r="IX5">
        <f>IF($DF$5="",FALSE,SUMPRODUCT(('Final Calculation Sheet'!$T$4:$T$40=$DF$5)*($IW$6:$IW$42=1))&gt;0)</f>
        <v/>
      </c>
      <c r="IY5">
        <f>$IY$4+--($IX5)</f>
        <v/>
      </c>
      <c r="IZ5">
        <f>IF(ROW()-3&gt;MAX($IY$4:$IY$40),"",INDEX($DF$4:$DF$40,MATCH(ROW()-3,$IY$4:$IY$40,0)))</f>
        <v/>
      </c>
      <c r="JB5">
        <f>IF($DK$5="",FALSE,SUMPRODUCT(('Final Calculation Sheet'!$U$4:$U$40=$DK$5)*($JA$6:$JA$42=1))&gt;0)</f>
        <v/>
      </c>
      <c r="JC5">
        <f>$JC$4+--($JB5)</f>
        <v/>
      </c>
      <c r="JD5">
        <f>IF(ROW()-3&gt;MAX($JC$4:$JC$40),"",INDEX($DK$4:$DK$40,MATCH(ROW()-3,$JC$4:$JC$40,0)))</f>
        <v/>
      </c>
      <c r="JF5">
        <f>IF($DP$5="",FALSE,SUMPRODUCT(('Final Calculation Sheet'!$V$4:$V$40=$DP$5)*($JE$6:$JE$42=1))&gt;0)</f>
        <v/>
      </c>
      <c r="JG5">
        <f>$JG$4+--($JF5)</f>
        <v/>
      </c>
      <c r="JH5">
        <f>IF(ROW()-3&gt;MAX($JG$4:$JG$40),"",INDEX($DP$4:$DP$40,MATCH(ROW()-3,$JG$4:$JG$40,0)))</f>
        <v/>
      </c>
      <c r="JJ5">
        <f>IF($DU$5="",FALSE,SUMPRODUCT(('Final Calculation Sheet'!$W$4:$W$40=$DU$5)*($JI$6:$JI$42=1))&gt;0)</f>
        <v/>
      </c>
      <c r="JK5">
        <f>$JK$4+--($JJ5)</f>
        <v/>
      </c>
      <c r="JL5">
        <f>IF(ROW()-3&gt;MAX($JK$4:$JK$40),"",INDEX($DU$4:$DU$40,MATCH(ROW()-3,$JK$4:$JK$40,0)))</f>
        <v/>
      </c>
      <c r="JN5">
        <f>IF($DZ$5="",FALSE,SUMPRODUCT(('Final Calculation Sheet'!$X$4:$X$40=$DZ$5)*($JM$6:$JM$42=1))&gt;0)</f>
        <v/>
      </c>
      <c r="JO5">
        <f>$JO$4+--($JN5)</f>
        <v/>
      </c>
      <c r="JP5">
        <f>IF(ROW()-3&gt;MAX($JO$4:$JO$40),"",INDEX($DZ$4:$DZ$40,MATCH(ROW()-3,$JO$4:$JO$40,0)))</f>
        <v/>
      </c>
      <c r="JR5">
        <f>IF($EE$5="",FALSE,SUMPRODUCT(('Final Calculation Sheet'!$Y$4:$Y$40=$EE$5)*($JQ$6:$JQ$42=1))&gt;0)</f>
        <v/>
      </c>
      <c r="JS5">
        <f>$JS$4+--($JR5)</f>
        <v/>
      </c>
      <c r="JT5">
        <f>IF(ROW()-3&gt;MAX($JS$4:$JS$40),"",INDEX($EE$4:$EE$40,MATCH(ROW()-3,$JS$4:$JS$40,0)))</f>
        <v/>
      </c>
      <c r="JV5">
        <f>IF($EJ$5="",FALSE,SUMPRODUCT(('Final Calculation Sheet'!$Z$4:$Z$40=$EJ$5)*($JU$6:$JU$42=1))&gt;0)</f>
        <v/>
      </c>
      <c r="JW5">
        <f>$JW$4+--($JV5)</f>
        <v/>
      </c>
      <c r="JX5">
        <f>IF(ROW()-3&gt;MAX($JW$4:$JW$40),"",INDEX($EJ$4:$EJ$40,MATCH(ROW()-3,$JW$4:$JW$40,0)))</f>
        <v/>
      </c>
      <c r="JZ5">
        <f>IF($EO$5="",FALSE,SUMPRODUCT(('Final Calculation Sheet'!$AA$4:$AA$40=$EO$5)*($JY$6:$JY$42=1))&gt;0)</f>
        <v/>
      </c>
      <c r="KA5">
        <f>$KA$4+--($JZ5)</f>
        <v/>
      </c>
      <c r="KB5">
        <f>IF(ROW()-3&gt;MAX($KA$4:$KA$40),"",INDEX($EO$4:$EO$40,MATCH(ROW()-3,$KA$4:$KA$40,0)))</f>
        <v/>
      </c>
      <c r="KD5">
        <f>IF($ET$5="",FALSE,SUMPRODUCT(('Final Calculation Sheet'!$AB$4:$AB$40=$ET$5)*($KC$6:$KC$42=1))&gt;0)</f>
        <v/>
      </c>
      <c r="KE5">
        <f>$KE$4+--($KD5)</f>
        <v/>
      </c>
      <c r="KF5">
        <f>IF(ROW()-3&gt;MAX($KE$4:$KE$40),"",INDEX($ET$4:$ET$40,MATCH(ROW()-3,$KE$4:$KE$40,0)))</f>
        <v/>
      </c>
      <c r="KH5">
        <f>IF($EY$5="",FALSE,SUMPRODUCT(('Final Calculation Sheet'!$AC$4:$AC$40=$EY$5)*($KG$6:$KG$42=1))&gt;0)</f>
        <v/>
      </c>
      <c r="KI5">
        <f>$KI$4+--($KH5)</f>
        <v/>
      </c>
      <c r="KJ5">
        <f>IF(ROW()-3&gt;MAX($KI$4:$KI$40),"",INDEX($EY$4:$EY$40,MATCH(ROW()-3,$KI$4:$KI$40,0)))</f>
        <v/>
      </c>
      <c r="KL5">
        <f>IF($FD$5="",FALSE,SUMPRODUCT(('Final Calculation Sheet'!$AD$4:$AD$40=$FD$5)*($KK$6:$KK$42=1))&gt;0)</f>
        <v/>
      </c>
      <c r="KM5">
        <f>$KM$4+--($KL5)</f>
        <v/>
      </c>
      <c r="KN5">
        <f>IF(ROW()-3&gt;MAX($KM$4:$KM$40),"",INDEX($FD$4:$FD$40,MATCH(ROW()-3,$KM$4:$KM$40,0)))</f>
        <v/>
      </c>
      <c r="KP5">
        <f>IF($FX$5="",FALSE,SUMPRODUCT((IF('Final Calculation Sheet'!$AD$4:$AD$40&lt;=5,"SETTLED","OUTSTANDING")=$FX$5)*($KO$6:$KO$42=1))&gt;0)</f>
        <v/>
      </c>
      <c r="KQ5">
        <f>$KQ$4+--($KP5)</f>
        <v/>
      </c>
      <c r="KR5">
        <f>IF(ROW()-3&gt;MAX($KQ$4:$KQ$40),"",INDEX($FX$4:$FX$40,MATCH(ROW()-3,$KQ$4:$KQ$40,0)))</f>
        <v/>
      </c>
      <c r="KT5">
        <f>IF($FI$5="",FALSE,SUMPRODUCT(('Final Calculation Sheet'!$AF$4:$AF$40=$FI$5)*($KS$6:$KS$42=1))&gt;0)</f>
        <v/>
      </c>
      <c r="KU5">
        <f>$KU$4+--($KT5)</f>
        <v/>
      </c>
      <c r="KV5">
        <f>IF(ROW()-3&gt;MAX($KU$4:$KU$40),"",INDEX($FI$4:$FI$40,MATCH(ROW()-3,$KU$4:$KU$40,0)))</f>
        <v/>
      </c>
      <c r="KX5">
        <f>IF($FN$5="",FALSE,SUMPRODUCT(('Final Calculation Sheet'!$AG$4:$AG$40=$FN$5)*($KW$6:$KW$42=1))&gt;0)</f>
        <v/>
      </c>
      <c r="KY5">
        <f>$KY$4+--($KX5)</f>
        <v/>
      </c>
      <c r="KZ5">
        <f>IF(ROW()-3&gt;MAX($KY$4:$KY$40),"",INDEX($FN$4:$FN$40,MATCH(ROW()-3,$KY$4:$KY$40,0)))</f>
        <v/>
      </c>
      <c r="LB5">
        <f>IF($FS$5="",FALSE,SUMPRODUCT(('Final Calculation Sheet'!$AH$4:$AH$40=$FS$5)*($LA$6:$LA$42=1))&gt;0)</f>
        <v/>
      </c>
      <c r="LC5">
        <f>$LC$4+--($LB5)</f>
        <v/>
      </c>
      <c r="LD5">
        <f>IF(ROW()-3&gt;MAX($LC$4:$LC$40),"",INDEX($FS$4:$FS$40,MATCH(ROW()-3,$LC$4:$LC$40,0)))</f>
        <v/>
      </c>
      <c r="LF5">
        <f>IF($O$5="",FALSE,SUMPRODUCT(('Final Calculation Sheet'!$F$4:$F$40=$O$5)*($LE$6:$LE$42=1))&gt;0)</f>
        <v/>
      </c>
      <c r="LG5">
        <f>$LG$4+--($LF5)</f>
        <v/>
      </c>
      <c r="LH5">
        <f>IF(ROW()-3&gt;MAX($LG$4:$LG$40),"",INDEX($O$4:$O$40,MATCH(ROW()-3,$LG$4:$LG$40,0)))</f>
        <v/>
      </c>
      <c r="LJ5">
        <f>IF($T$5="",FALSE,SUMPRODUCT(('Final Calculation Sheet'!$G$4:$G$40=$T$5)*($LI$6:$LI$42=1))&gt;0)</f>
        <v/>
      </c>
      <c r="LK5">
        <f>$LK$4+--($LJ5)</f>
        <v/>
      </c>
      <c r="LL5">
        <f>IF(ROW()-3&gt;MAX($LK$4:$LK$40),"",INDEX($T$4:$T$40,MATCH(ROW()-3,$LK$4:$LK$40,0)))</f>
        <v/>
      </c>
      <c r="LN5">
        <f>IF($Y$5="",FALSE,SUMPRODUCT(('Final Calculation Sheet'!$B$4:$B$40=$Y$5)*($LM$6:$LM$42=1))&gt;0)</f>
        <v/>
      </c>
      <c r="LO5">
        <f>$LO$4+--($LN5)</f>
        <v/>
      </c>
      <c r="LP5">
        <f>IF(ROW()-3&gt;MAX($LO$4:$LO$40),"",INDEX($Y$4:$Y$40,MATCH(ROW()-3,$LO$4:$LO$40,0)))</f>
        <v/>
      </c>
      <c r="LR5">
        <f>IF($AD$5="",FALSE,SUMPRODUCT(('Final Calculation Sheet'!$D$4:$D$40=$AD$5)*($LQ$6:$LQ$42=1))&gt;0)</f>
        <v/>
      </c>
      <c r="LS5">
        <f>$LS$4+--($LR5)</f>
        <v/>
      </c>
      <c r="LT5">
        <f>IF(ROW()-3&gt;MAX($LS$4:$LS$40),"",INDEX($AD$4:$AD$40,MATCH(ROW()-3,$LS$4:$LS$40,0)))</f>
        <v/>
      </c>
      <c r="LV5">
        <f>IF($AI$5="",FALSE,SUMPRODUCT(('Final Calculation Sheet'!$A$4:$A$40=$AI$5)*($LU$6:$LU$42=1))&gt;0)</f>
        <v/>
      </c>
      <c r="LW5">
        <f>$LW$4+--($LV5)</f>
        <v/>
      </c>
      <c r="LX5">
        <f>IF(ROW()-3&gt;MAX($LW$4:$LW$40),"",INDEX($AI$4:$AI$40,MATCH(ROW()-3,$LW$4:$LW$40,0)))</f>
        <v/>
      </c>
      <c r="LZ5">
        <f>IF($AN$5="",FALSE,SUMPRODUCT(('Final Calculation Sheet'!$E$4:$E$40=$AN$5)*($LY$6:$LY$42=1))&gt;0)</f>
        <v/>
      </c>
      <c r="MA5">
        <f>$MA$4+--($LZ5)</f>
        <v/>
      </c>
      <c r="MB5">
        <f>IF(ROW()-3&gt;MAX($MA$4:$MA$40),"",INDEX($AN$4:$AN$40,MATCH(ROW()-3,$MA$4:$MA$40,0)))</f>
        <v/>
      </c>
      <c r="MD5">
        <f>IF($AS$5="",FALSE,SUMPRODUCT(('Final Calculation Sheet'!$C$4:$C$40=$AS$5)*($MC$6:$MC$42=1))&gt;0)</f>
        <v/>
      </c>
      <c r="ME5">
        <f>$ME$4+--($MD5)</f>
        <v/>
      </c>
      <c r="MF5">
        <f>IF(ROW()-3&gt;MAX($ME$4:$ME$40),"",INDEX($AS$4:$AS$40,MATCH(ROW()-3,$ME$4:$ME$40,0)))</f>
        <v/>
      </c>
      <c r="MH5">
        <f>IF($AX$5="",FALSE,SUMPRODUCT(('Final Calculation Sheet'!$H$4:$H$40=$AX$5)*($MG$6:$MG$42=1))&gt;0)</f>
        <v/>
      </c>
      <c r="MI5">
        <f>$MI$4+--($MH5)</f>
        <v/>
      </c>
      <c r="MJ5">
        <f>IF(ROW()-3&gt;MAX($MI$4:$MI$40),"",INDEX($AX$4:$AX$40,MATCH(ROW()-3,$MI$4:$MI$40,0)))</f>
        <v/>
      </c>
      <c r="ML5">
        <f>IF($BC$5="",FALSE,SUMPRODUCT(('Final Calculation Sheet'!$I$4:$I$40=$BC$5)*($MK$6:$MK$42=1))&gt;0)</f>
        <v/>
      </c>
      <c r="MM5">
        <f>$MM$4+--($ML5)</f>
        <v/>
      </c>
      <c r="MN5">
        <f>IF(ROW()-3&gt;MAX($MM$4:$MM$40),"",INDEX($BC$4:$BC$40,MATCH(ROW()-3,$MM$4:$MM$40,0)))</f>
        <v/>
      </c>
      <c r="MP5">
        <f>IF($BH$5="",FALSE,SUMPRODUCT(('Final Calculation Sheet'!$J$4:$J$40=$BH$5)*($MO$6:$MO$42=1))&gt;0)</f>
        <v/>
      </c>
      <c r="MQ5">
        <f>$MQ$4+--($MP5)</f>
        <v/>
      </c>
      <c r="MR5">
        <f>IF(ROW()-3&gt;MAX($MQ$4:$MQ$40),"",INDEX($BH$4:$BH$40,MATCH(ROW()-3,$MQ$4:$MQ$40,0)))</f>
        <v/>
      </c>
      <c r="MT5">
        <f>IF($BM$5="",FALSE,SUMPRODUCT(('Final Calculation Sheet'!$K$4:$K$40=$BM$5)*($MS$6:$MS$42=1))&gt;0)</f>
        <v/>
      </c>
      <c r="MU5">
        <f>$MU$4+--($MT5)</f>
        <v/>
      </c>
      <c r="MV5">
        <f>IF(ROW()-3&gt;MAX($MU$4:$MU$40),"",INDEX($BM$4:$BM$40,MATCH(ROW()-3,$MU$4:$MU$40,0)))</f>
        <v/>
      </c>
      <c r="MX5">
        <f>IF($BR$5="",FALSE,SUMPRODUCT(('Final Calculation Sheet'!$L$4:$L$40=$BR$5)*($MW$6:$MW$42=1))&gt;0)</f>
        <v/>
      </c>
      <c r="MY5">
        <f>$MY$4+--($MX5)</f>
        <v/>
      </c>
      <c r="MZ5">
        <f>IF(ROW()-3&gt;MAX($MY$4:$MY$40),"",INDEX($BR$4:$BR$40,MATCH(ROW()-3,$MY$4:$MY$40,0)))</f>
        <v/>
      </c>
      <c r="NB5">
        <f>IF($BW$5="",FALSE,SUMPRODUCT(('Final Calculation Sheet'!$M$4:$M$40=$BW$5)*($NA$6:$NA$42=1))&gt;0)</f>
        <v/>
      </c>
      <c r="NC5">
        <f>$NC$4+--($NB5)</f>
        <v/>
      </c>
      <c r="ND5">
        <f>IF(ROW()-3&gt;MAX($NC$4:$NC$40),"",INDEX($BW$4:$BW$40,MATCH(ROW()-3,$NC$4:$NC$40,0)))</f>
        <v/>
      </c>
      <c r="NF5">
        <f>IF($CB$5="",FALSE,SUMPRODUCT(('Final Calculation Sheet'!$N$4:$N$40=$CB$5)*($NE$6:$NE$42=1))&gt;0)</f>
        <v/>
      </c>
      <c r="NG5">
        <f>$NG$4+--($NF5)</f>
        <v/>
      </c>
      <c r="NH5">
        <f>IF(ROW()-3&gt;MAX($NG$4:$NG$40),"",INDEX($CB$4:$CB$40,MATCH(ROW()-3,$NG$4:$NG$40,0)))</f>
        <v/>
      </c>
      <c r="NJ5">
        <f>IF($CG$5="",FALSE,SUMPRODUCT(('Final Calculation Sheet'!$O$4:$O$40=$CG$5)*($NI$6:$NI$42=1))&gt;0)</f>
        <v/>
      </c>
      <c r="NK5">
        <f>$NK$4+--($NJ5)</f>
        <v/>
      </c>
      <c r="NL5">
        <f>IF(ROW()-3&gt;MAX($NK$4:$NK$40),"",INDEX($CG$4:$CG$40,MATCH(ROW()-3,$NK$4:$NK$40,0)))</f>
        <v/>
      </c>
      <c r="NN5">
        <f>IF($CL$5="",FALSE,SUMPRODUCT(('Final Calculation Sheet'!$P$4:$P$40=$CL$5)*($NM$6:$NM$42=1))&gt;0)</f>
        <v/>
      </c>
      <c r="NO5">
        <f>$NO$4+--($NN5)</f>
        <v/>
      </c>
      <c r="NP5">
        <f>IF(ROW()-3&gt;MAX($NO$4:$NO$40),"",INDEX($CL$4:$CL$40,MATCH(ROW()-3,$NO$4:$NO$40,0)))</f>
        <v/>
      </c>
      <c r="NR5">
        <f>IF($CQ$5="",FALSE,SUMPRODUCT(('Final Calculation Sheet'!$Q$4:$Q$40=$CQ$5)*($NQ$6:$NQ$42=1))&gt;0)</f>
        <v/>
      </c>
      <c r="NS5">
        <f>$NS$4+--($NR5)</f>
        <v/>
      </c>
      <c r="NT5">
        <f>IF(ROW()-3&gt;MAX($NS$4:$NS$40),"",INDEX($CQ$4:$CQ$40,MATCH(ROW()-3,$NS$4:$NS$40,0)))</f>
        <v/>
      </c>
      <c r="NV5">
        <f>IF($CV$5="",FALSE,SUMPRODUCT(('Final Calculation Sheet'!$R$4:$R$40=$CV$5)*($NU$6:$NU$42=1))&gt;0)</f>
        <v/>
      </c>
      <c r="NW5">
        <f>$NW$4+--($NV5)</f>
        <v/>
      </c>
      <c r="NX5">
        <f>IF(ROW()-3&gt;MAX($NW$4:$NW$40),"",INDEX($CV$4:$CV$40,MATCH(ROW()-3,$NW$4:$NW$40,0)))</f>
        <v/>
      </c>
      <c r="NZ5">
        <f>IF($DA$5="",FALSE,SUMPRODUCT(('Final Calculation Sheet'!$S$4:$S$40=$DA$5)*($NY$6:$NY$42=1))&gt;0)</f>
        <v/>
      </c>
      <c r="OA5">
        <f>$OA$4+--($NZ5)</f>
        <v/>
      </c>
      <c r="OB5">
        <f>IF(ROW()-3&gt;MAX($OA$4:$OA$40),"",INDEX($DA$4:$DA$40,MATCH(ROW()-3,$OA$4:$OA$40,0)))</f>
        <v/>
      </c>
      <c r="OD5">
        <f>IF($DF$5="",FALSE,SUMPRODUCT(('Final Calculation Sheet'!$T$4:$T$40=$DF$5)*($OC$6:$OC$42=1))&gt;0)</f>
        <v/>
      </c>
      <c r="OE5">
        <f>$OE$4+--($OD5)</f>
        <v/>
      </c>
      <c r="OF5">
        <f>IF(ROW()-3&gt;MAX($OE$4:$OE$40),"",INDEX($DF$4:$DF$40,MATCH(ROW()-3,$OE$4:$OE$40,0)))</f>
        <v/>
      </c>
      <c r="OH5">
        <f>IF($DK$5="",FALSE,SUMPRODUCT(('Final Calculation Sheet'!$U$4:$U$40=$DK$5)*($OG$6:$OG$42=1))&gt;0)</f>
        <v/>
      </c>
      <c r="OI5">
        <f>$OI$4+--($OH5)</f>
        <v/>
      </c>
      <c r="OJ5">
        <f>IF(ROW()-3&gt;MAX($OI$4:$OI$40),"",INDEX($DK$4:$DK$40,MATCH(ROW()-3,$OI$4:$OI$40,0)))</f>
        <v/>
      </c>
      <c r="OL5">
        <f>IF($DP$5="",FALSE,SUMPRODUCT(('Final Calculation Sheet'!$V$4:$V$40=$DP$5)*($OK$6:$OK$42=1))&gt;0)</f>
        <v/>
      </c>
      <c r="OM5">
        <f>$OM$4+--($OL5)</f>
        <v/>
      </c>
      <c r="ON5">
        <f>IF(ROW()-3&gt;MAX($OM$4:$OM$40),"",INDEX($DP$4:$DP$40,MATCH(ROW()-3,$OM$4:$OM$40,0)))</f>
        <v/>
      </c>
      <c r="OP5">
        <f>IF($DU$5="",FALSE,SUMPRODUCT(('Final Calculation Sheet'!$W$4:$W$40=$DU$5)*($OO$6:$OO$42=1))&gt;0)</f>
        <v/>
      </c>
      <c r="OQ5">
        <f>$OQ$4+--($OP5)</f>
        <v/>
      </c>
      <c r="OR5">
        <f>IF(ROW()-3&gt;MAX($OQ$4:$OQ$40),"",INDEX($DU$4:$DU$40,MATCH(ROW()-3,$OQ$4:$OQ$40,0)))</f>
        <v/>
      </c>
      <c r="OT5">
        <f>IF($DZ$5="",FALSE,SUMPRODUCT(('Final Calculation Sheet'!$X$4:$X$40=$DZ$5)*($OS$6:$OS$42=1))&gt;0)</f>
        <v/>
      </c>
      <c r="OU5">
        <f>$OU$4+--($OT5)</f>
        <v/>
      </c>
      <c r="OV5">
        <f>IF(ROW()-3&gt;MAX($OU$4:$OU$40),"",INDEX($DZ$4:$DZ$40,MATCH(ROW()-3,$OU$4:$OU$40,0)))</f>
        <v/>
      </c>
      <c r="OX5">
        <f>IF($EE$5="",FALSE,SUMPRODUCT(('Final Calculation Sheet'!$Y$4:$Y$40=$EE$5)*($OW$6:$OW$42=1))&gt;0)</f>
        <v/>
      </c>
      <c r="OY5">
        <f>$OY$4+--($OX5)</f>
        <v/>
      </c>
      <c r="OZ5">
        <f>IF(ROW()-3&gt;MAX($OY$4:$OY$40),"",INDEX($EE$4:$EE$40,MATCH(ROW()-3,$OY$4:$OY$40,0)))</f>
        <v/>
      </c>
      <c r="PB5">
        <f>IF($EJ$5="",FALSE,SUMPRODUCT(('Final Calculation Sheet'!$Z$4:$Z$40=$EJ$5)*($PA$6:$PA$42=1))&gt;0)</f>
        <v/>
      </c>
      <c r="PC5">
        <f>$PC$4+--($PB5)</f>
        <v/>
      </c>
      <c r="PD5">
        <f>IF(ROW()-3&gt;MAX($PC$4:$PC$40),"",INDEX($EJ$4:$EJ$40,MATCH(ROW()-3,$PC$4:$PC$40,0)))</f>
        <v/>
      </c>
      <c r="PF5">
        <f>IF($EO$5="",FALSE,SUMPRODUCT(('Final Calculation Sheet'!$AA$4:$AA$40=$EO$5)*($PE$6:$PE$42=1))&gt;0)</f>
        <v/>
      </c>
      <c r="PG5">
        <f>$PG$4+--($PF5)</f>
        <v/>
      </c>
      <c r="PH5">
        <f>IF(ROW()-3&gt;MAX($PG$4:$PG$40),"",INDEX($EO$4:$EO$40,MATCH(ROW()-3,$PG$4:$PG$40,0)))</f>
        <v/>
      </c>
      <c r="PJ5">
        <f>IF($ET$5="",FALSE,SUMPRODUCT(('Final Calculation Sheet'!$AB$4:$AB$40=$ET$5)*($PI$6:$PI$42=1))&gt;0)</f>
        <v/>
      </c>
      <c r="PK5">
        <f>$PK$4+--($PJ5)</f>
        <v/>
      </c>
      <c r="PL5">
        <f>IF(ROW()-3&gt;MAX($PK$4:$PK$40),"",INDEX($ET$4:$ET$40,MATCH(ROW()-3,$PK$4:$PK$40,0)))</f>
        <v/>
      </c>
      <c r="PN5">
        <f>IF($EY$5="",FALSE,SUMPRODUCT(('Final Calculation Sheet'!$AC$4:$AC$40=$EY$5)*($PM$6:$PM$42=1))&gt;0)</f>
        <v/>
      </c>
      <c r="PO5">
        <f>$PO$4+--($PN5)</f>
        <v/>
      </c>
      <c r="PP5">
        <f>IF(ROW()-3&gt;MAX($PO$4:$PO$40),"",INDEX($EY$4:$EY$40,MATCH(ROW()-3,$PO$4:$PO$40,0)))</f>
        <v/>
      </c>
      <c r="PR5">
        <f>IF($FD$5="",FALSE,SUMPRODUCT(('Final Calculation Sheet'!$AD$4:$AD$40=$FD$5)*($PQ$6:$PQ$42=1))&gt;0)</f>
        <v/>
      </c>
      <c r="PS5">
        <f>$PS$4+--($PR5)</f>
        <v/>
      </c>
      <c r="PT5">
        <f>IF(ROW()-3&gt;MAX($PS$4:$PS$40),"",INDEX($FD$4:$FD$40,MATCH(ROW()-3,$PS$4:$PS$40,0)))</f>
        <v/>
      </c>
      <c r="PV5">
        <f>IF($FX$5="",FALSE,SUMPRODUCT((IF('Final Calculation Sheet'!$AD$4:$AD$40&lt;=5,"SETTLED","OUTSTANDING")=$FX$5)*($PU$6:$PU$42=1))&gt;0)</f>
        <v/>
      </c>
      <c r="PW5">
        <f>$PW$4+--($PV5)</f>
        <v/>
      </c>
      <c r="PX5">
        <f>IF(ROW()-3&gt;MAX($PW$4:$PW$40),"",INDEX($FX$4:$FX$40,MATCH(ROW()-3,$PW$4:$PW$40,0)))</f>
        <v/>
      </c>
      <c r="PZ5">
        <f>IF($FI$5="",FALSE,SUMPRODUCT(('Final Calculation Sheet'!$AF$4:$AF$40=$FI$5)*($PY$6:$PY$42=1))&gt;0)</f>
        <v/>
      </c>
      <c r="QA5">
        <f>$QA$4+--($PZ5)</f>
        <v/>
      </c>
      <c r="QB5">
        <f>IF(ROW()-3&gt;MAX($QA$4:$QA$40),"",INDEX($FI$4:$FI$40,MATCH(ROW()-3,$QA$4:$QA$40,0)))</f>
        <v/>
      </c>
      <c r="QD5">
        <f>IF($FN$5="",FALSE,SUMPRODUCT(('Final Calculation Sheet'!$AG$4:$AG$40=$FN$5)*($QC$6:$QC$42=1))&gt;0)</f>
        <v/>
      </c>
      <c r="QE5">
        <f>$QE$4+--($QD5)</f>
        <v/>
      </c>
      <c r="QF5">
        <f>IF(ROW()-3&gt;MAX($QE$4:$QE$40),"",INDEX($FN$4:$FN$40,MATCH(ROW()-3,$QE$4:$QE$40,0)))</f>
        <v/>
      </c>
      <c r="QH5">
        <f>IF($FS$5="",FALSE,SUMPRODUCT(('Final Calculation Sheet'!$AH$4:$AH$40=$FS$5)*($QG$6:$QG$42=1))&gt;0)</f>
        <v/>
      </c>
      <c r="QI5">
        <f>$QI$4+--($QH5)</f>
        <v/>
      </c>
      <c r="QJ5">
        <f>IF(ROW()-3&gt;MAX($QI$4:$QI$40),"",INDEX($FS$4:$FS$40,MATCH(ROW()-3,$QI$4:$QI$40,0)))</f>
        <v/>
      </c>
      <c r="QK5" t="str">
        <f>IF('Final Calculation Sheet'!$AH$5="","",'Final Calculation Sheet'!$AH$5)</f>
      </c>
      <c r="QL5" t="str">
        <f>IF(QK5="","",COUNTIFS(QK$4:QK$40,"&lt;"&amp;QK5,QK$4:QK$40,"&lt;&gt;"&amp;"")+COUNTIF(QK$4:QK5,QK5))</f>
      </c>
      <c r="QM5" t="str">
        <f>IF(ROW()-3&gt;COUNTIF(QK$4:QK$40,"&lt;&gt;"&amp;""),"",INDEX(QK$4:QK$40,MATCH(ROW()-3,QL$4:QL$40,0)))</f>
      </c>
      <c r="QN5" t="str">
        <f>=QN4+F(AND(QM5&lt;&gt;"",COUNTIF(QM$4:QM5,QM5)=1),1,0)</f>
      </c>
      <c r="QO5" t="str">
        <f>IF(ROW()-3&gt;MAX(QN$4:QN$40),"",INDEX(QM$4:QM$40,MATCH(ROW()-3,QN$4:QN$40,0)))</f>
      </c>
      <c r="QP5" t="str">
        <f>IF(COUNTIF('Final Calculation Sheet'!$AM5:$BS5,0)&gt;0,0,1)</f>
      </c>
      <c r="QQ5" t="str">
        <f>IF($AI$5="",FALSE,SUMPRODUCT(('Final Calculation Sheet'!$A$4:$A$40=$AI$5)*($QP$4:$QP$40=1))&gt;0)</f>
      </c>
      <c r="QR5" t="str">
        <f>=$QR4+--($QQ5)</f>
      </c>
      <c r="QS5" t="str">
        <f>IF(ROW()-3&gt;MAX($QR$4:$QR$40),"",INDEX($AI$4:$AI$40,MATCH(ROW()-3,$QR$4:$QR$40,0)))</f>
      </c>
      <c r="QT5" t="str">
        <f>IF(COUNTIF('Final Calculation Sheet'!$AL5:$AL5,0)+COUNTIF('Final Calculation Sheet'!$AN5:$BS5,0)&gt;0,0,1)</f>
      </c>
      <c r="QU5" t="str">
        <f>IF($Y$5="",FALSE,SUMPRODUCT(('Final Calculation Sheet'!$B$4:$B$40=$Y$5)*($QT$4:$QT$40=1))&gt;0)</f>
      </c>
      <c r="QV5" t="str">
        <f>=$QV4+--($QU5)</f>
      </c>
      <c r="QW5" t="str">
        <f>IF(ROW()-3&gt;MAX($QV$4:$QV$40),"",INDEX($Y$4:$Y$40,MATCH(ROW()-3,$QV$4:$QV$40,0)))</f>
      </c>
      <c r="QX5" t="str">
        <f>IF(COUNTIF('Final Calculation Sheet'!$AL5:$AM5,0)+COUNTIF('Final Calculation Sheet'!$AO5:$BS5,0)&gt;0,0,1)</f>
      </c>
      <c r="QY5" t="str">
        <f>IF($AS$5="",FALSE,SUMPRODUCT(('Final Calculation Sheet'!$C$4:$C$40=$AS$5)*($QX$4:$QX$40=1))&gt;0)</f>
      </c>
      <c r="QZ5" t="str">
        <f>=$QZ4+--($QY5)</f>
      </c>
      <c r="RA5" t="str">
        <f>IF(ROW()-3&gt;MAX($QZ$4:$QZ$40),"",INDEX($AS$4:$AS$40,MATCH(ROW()-3,$QZ$4:$QZ$40,0)))</f>
      </c>
      <c r="RB5" t="str">
        <f>IF(COUNTIF('Final Calculation Sheet'!$AL5:$AN5,0)+COUNTIF('Final Calculation Sheet'!$AP5:$BS5,0)&gt;0,0,1)</f>
      </c>
      <c r="RC5" t="str">
        <f>IF($AD$5="",FALSE,SUMPRODUCT(('Final Calculation Sheet'!$D$4:$D$40=$AD$5)*($RB$4:$RB$40=1))&gt;0)</f>
      </c>
      <c r="RD5" t="str">
        <f>=$RD4+--($RC5)</f>
      </c>
      <c r="RE5" t="str">
        <f>IF(ROW()-3&gt;MAX($RD$4:$RD$40),"",INDEX($AD$4:$AD$40,MATCH(ROW()-3,$RD$4:$RD$40,0)))</f>
      </c>
      <c r="RF5" t="str">
        <f>IF(COUNTIF('Final Calculation Sheet'!$AL5:$AO5,0)+COUNTIF('Final Calculation Sheet'!$AQ5:$BS5,0)&gt;0,0,1)</f>
      </c>
      <c r="RG5" t="str">
        <f>IF($AN$5="",FALSE,SUMPRODUCT(('Final Calculation Sheet'!$E$4:$E$40=$AN$5)*($RF$4:$RF$40=1))&gt;0)</f>
      </c>
      <c r="RH5" t="str">
        <f>=$RH4+--($RG5)</f>
      </c>
      <c r="RI5" t="str">
        <f>IF(ROW()-3&gt;MAX($RH$4:$RH$40),"",INDEX($AN$4:$AN$40,MATCH(ROW()-3,$RH$4:$RH$40,0)))</f>
      </c>
      <c r="RJ5" t="str">
        <f>IF(COUNTIF('Final Calculation Sheet'!$AL5:$AP5,0)+COUNTIF('Final Calculation Sheet'!$AR5:$BS5,0)&gt;0,0,1)</f>
      </c>
      <c r="RK5" t="str">
        <f>IF($O$5="",FALSE,SUMPRODUCT(('Final Calculation Sheet'!$F$4:$F$40=$O$5)*($RJ$4:$RJ$40=1))&gt;0)</f>
      </c>
      <c r="RL5" t="str">
        <f>=$RL4+--($RK5)</f>
      </c>
      <c r="RM5" t="str">
        <f>IF(ROW()-3&gt;MAX($RL$4:$RL$40),"",INDEX($O$4:$O$40,MATCH(ROW()-3,$RL$4:$RL$40,0)))</f>
      </c>
      <c r="RN5" t="str">
        <f>IF(COUNTIF('Final Calculation Sheet'!$AL5:$AQ5,0)+COUNTIF('Final Calculation Sheet'!$AS5:$BS5,0)&gt;0,0,1)</f>
      </c>
      <c r="RO5" t="str">
        <f>IF($T$5="",FALSE,SUMPRODUCT(('Final Calculation Sheet'!$G$4:$G$40=$T$5)*($RN$4:$RN$40=1))&gt;0)</f>
      </c>
      <c r="RP5" t="str">
        <f>=$RP4+--($RO5)</f>
      </c>
      <c r="RQ5" t="str">
        <f>IF(ROW()-3&gt;MAX($RP$4:$RP$40),"",INDEX($T$4:$T$40,MATCH(ROW()-3,$RP$4:$RP$40,0)))</f>
      </c>
      <c r="RR5" t="str">
        <f>IF(COUNTIF('Final Calculation Sheet'!$AL5:$AR5,0)+COUNTIF('Final Calculation Sheet'!$AT5:$BS5,0)&gt;0,0,1)</f>
      </c>
      <c r="RS5" t="str">
        <f>IF($AX$5="",FALSE,SUMPRODUCT(('Final Calculation Sheet'!$H$4:$H$40=$AX$5)*($RR$4:$RR$40=1))&gt;0)</f>
      </c>
      <c r="RT5" t="str">
        <f>=$RT4+--($RS5)</f>
      </c>
      <c r="RU5" t="str">
        <f>IF(ROW()-3&gt;MAX($RT$4:$RT$40),"",INDEX($AX$4:$AX$40,MATCH(ROW()-3,$RT$4:$RT$40,0)))</f>
      </c>
      <c r="RV5" t="str">
        <f>IF(COUNTIF('Final Calculation Sheet'!$AL5:$AS5,0)+COUNTIF('Final Calculation Sheet'!$AU5:$BS5,0)&gt;0,0,1)</f>
      </c>
      <c r="RW5" t="str">
        <f>IF($BC$5="",FALSE,SUMPRODUCT(('Final Calculation Sheet'!$I$4:$I$40=$BC$5)*($RV$4:$RV$40=1))&gt;0)</f>
      </c>
      <c r="RX5" t="str">
        <f>=$RX4+--($RW5)</f>
      </c>
      <c r="RY5" t="str">
        <f>IF(ROW()-3&gt;MAX($RX$4:$RX$40),"",INDEX($BC$4:$BC$40,MATCH(ROW()-3,$RX$4:$RX$40,0)))</f>
      </c>
      <c r="RZ5" t="str">
        <f>IF(COUNTIF('Final Calculation Sheet'!$AL5:$AT5,0)+COUNTIF('Final Calculation Sheet'!$AV5:$BS5,0)&gt;0,0,1)</f>
      </c>
      <c r="SA5" t="str">
        <f>IF($BH$5="",FALSE,SUMPRODUCT(('Final Calculation Sheet'!$J$4:$J$40=$BH$5)*($RZ$4:$RZ$40=1))&gt;0)</f>
      </c>
      <c r="SB5" t="str">
        <f>=$SB4+--($SA5)</f>
      </c>
      <c r="SC5" t="str">
        <f>IF(ROW()-3&gt;MAX($SB$4:$SB$40),"",INDEX($BH$4:$BH$40,MATCH(ROW()-3,$SB$4:$SB$40,0)))</f>
      </c>
      <c r="SD5" t="str">
        <f>IF(COUNTIF('Final Calculation Sheet'!$AL5:$AU5,0)+COUNTIF('Final Calculation Sheet'!$AW5:$BS5,0)&gt;0,0,1)</f>
      </c>
      <c r="SE5" t="str">
        <f>IF($BM$5="",FALSE,SUMPRODUCT(('Final Calculation Sheet'!$K$4:$K$40=$BM$5)*($SD$4:$SD$40=1))&gt;0)</f>
      </c>
      <c r="SF5" t="str">
        <f>=$SF4+--($SE5)</f>
      </c>
      <c r="SG5" t="str">
        <f>IF(ROW()-3&gt;MAX($SF$4:$SF$40),"",INDEX($BM$4:$BM$40,MATCH(ROW()-3,$SF$4:$SF$40,0)))</f>
      </c>
      <c r="SH5" t="str">
        <f>IF(COUNTIF('Final Calculation Sheet'!$AL5:$AV5,0)+COUNTIF('Final Calculation Sheet'!$AX5:$BS5,0)&gt;0,0,1)</f>
      </c>
      <c r="SI5" t="str">
        <f>IF($BR$5="",FALSE,SUMPRODUCT(('Final Calculation Sheet'!$L$4:$L$40=$BR$5)*($SH$4:$SH$40=1))&gt;0)</f>
      </c>
      <c r="SJ5" t="str">
        <f>=$SJ4+--($SI5)</f>
      </c>
      <c r="SK5" t="str">
        <f>IF(ROW()-3&gt;MAX($SJ$4:$SJ$40),"",INDEX($BR$4:$BR$40,MATCH(ROW()-3,$SJ$4:$SJ$40,0)))</f>
      </c>
      <c r="SL5" t="str">
        <f>IF(COUNTIF('Final Calculation Sheet'!$AL5:$AW5,0)+COUNTIF('Final Calculation Sheet'!$AY5:$BS5,0)&gt;0,0,1)</f>
      </c>
      <c r="SM5" t="str">
        <f>IF($BW$5="",FALSE,SUMPRODUCT(('Final Calculation Sheet'!$M$4:$M$40=$BW$5)*($SL$4:$SL$40=1))&gt;0)</f>
      </c>
      <c r="SN5" t="str">
        <f>=$SN4+--($SM5)</f>
      </c>
      <c r="SO5" t="str">
        <f>IF(ROW()-3&gt;MAX($SN$4:$SN$40),"",INDEX($BW$4:$BW$40,MATCH(ROW()-3,$SN$4:$SN$40,0)))</f>
      </c>
      <c r="SP5" t="str">
        <f>IF(COUNTIF('Final Calculation Sheet'!$AL5:$AX5,0)+COUNTIF('Final Calculation Sheet'!$AZ5:$BS5,0)&gt;0,0,1)</f>
      </c>
      <c r="SQ5" t="str">
        <f>IF($CB$5="",FALSE,SUMPRODUCT(('Final Calculation Sheet'!$N$4:$N$40=$CB$5)*($SP$4:$SP$40=1))&gt;0)</f>
      </c>
      <c r="SR5" t="str">
        <f>=$SR4+--($SQ5)</f>
      </c>
      <c r="SS5" t="str">
        <f>IF(ROW()-3&gt;MAX($SR$4:$SR$40),"",INDEX($CB$4:$CB$40,MATCH(ROW()-3,$SR$4:$SR$40,0)))</f>
      </c>
      <c r="ST5" t="str">
        <f>IF(COUNTIF('Final Calculation Sheet'!$AL5:$AY5,0)+COUNTIF('Final Calculation Sheet'!$BA5:$BS5,0)&gt;0,0,1)</f>
      </c>
      <c r="SU5" t="str">
        <f>IF($CG$5="",FALSE,SUMPRODUCT(('Final Calculation Sheet'!$O$4:$O$40=$CG$5)*($ST$4:$ST$40=1))&gt;0)</f>
      </c>
      <c r="SV5" t="str">
        <f>=$SV4+--($SU5)</f>
      </c>
      <c r="SW5" t="str">
        <f>IF(ROW()-3&gt;MAX($SV$4:$SV$40),"",INDEX($CG$4:$CG$40,MATCH(ROW()-3,$SV$4:$SV$40,0)))</f>
      </c>
      <c r="SX5" t="str">
        <f>IF(COUNTIF('Final Calculation Sheet'!$AL5:$AZ5,0)+COUNTIF('Final Calculation Sheet'!$BB5:$BS5,0)&gt;0,0,1)</f>
      </c>
      <c r="SY5" t="str">
        <f>IF($CL$5="",FALSE,SUMPRODUCT(('Final Calculation Sheet'!$P$4:$P$40=$CL$5)*($SX$4:$SX$40=1))&gt;0)</f>
      </c>
      <c r="SZ5" t="str">
        <f>=$SZ4+--($SY5)</f>
      </c>
      <c r="TA5" t="str">
        <f>IF(ROW()-3&gt;MAX($SZ$4:$SZ$40),"",INDEX($CL$4:$CL$40,MATCH(ROW()-3,$SZ$4:$SZ$40,0)))</f>
      </c>
      <c r="TB5" t="str">
        <f>IF(COUNTIF('Final Calculation Sheet'!$AL5:$BA5,0)+COUNTIF('Final Calculation Sheet'!$BC5:$BS5,0)&gt;0,0,1)</f>
      </c>
      <c r="TC5" t="str">
        <f>IF($CQ$5="",FALSE,SUMPRODUCT(('Final Calculation Sheet'!$Q$4:$Q$40=$CQ$5)*($TB$4:$TB$40=1))&gt;0)</f>
      </c>
      <c r="TD5" t="str">
        <f>=$TD4+--($TC5)</f>
      </c>
      <c r="TE5" t="str">
        <f>IF(ROW()-3&gt;MAX($TD$4:$TD$40),"",INDEX($CQ$4:$CQ$40,MATCH(ROW()-3,$TD$4:$TD$40,0)))</f>
      </c>
      <c r="TF5" t="str">
        <f>IF(COUNTIF('Final Calculation Sheet'!$AL5:$BB5,0)+COUNTIF('Final Calculation Sheet'!$BD5:$BS5,0)&gt;0,0,1)</f>
      </c>
      <c r="TG5" t="str">
        <f>IF($CV$5="",FALSE,SUMPRODUCT(('Final Calculation Sheet'!$R$4:$R$40=$CV$5)*($TF$4:$TF$40=1))&gt;0)</f>
      </c>
      <c r="TH5" t="str">
        <f>=$TH4+--($TG5)</f>
      </c>
      <c r="TI5" t="str">
        <f>IF(ROW()-3&gt;MAX($TH$4:$TH$40),"",INDEX($CV$4:$CV$40,MATCH(ROW()-3,$TH$4:$TH$40,0)))</f>
      </c>
      <c r="TJ5" t="str">
        <f>IF(COUNTIF('Final Calculation Sheet'!$AL5:$BC5,0)+COUNTIF('Final Calculation Sheet'!$BE5:$BS5,0)&gt;0,0,1)</f>
      </c>
      <c r="TK5" t="str">
        <f>IF($DA$5="",FALSE,SUMPRODUCT(('Final Calculation Sheet'!$S$4:$S$40=$DA$5)*($TJ$4:$TJ$40=1))&gt;0)</f>
      </c>
      <c r="TL5" t="str">
        <f>=$TL4+--($TK5)</f>
      </c>
      <c r="TM5" t="str">
        <f>IF(ROW()-3&gt;MAX($TL$4:$TL$40),"",INDEX($DA$4:$DA$40,MATCH(ROW()-3,$TL$4:$TL$40,0)))</f>
      </c>
      <c r="TN5" t="str">
        <f>IF(COUNTIF('Final Calculation Sheet'!$AL5:$BD5,0)+COUNTIF('Final Calculation Sheet'!$BF5:$BS5,0)&gt;0,0,1)</f>
      </c>
      <c r="TO5" t="str">
        <f>IF($DF$5="",FALSE,SUMPRODUCT(('Final Calculation Sheet'!$T$4:$T$40=$DF$5)*($TN$4:$TN$40=1))&gt;0)</f>
      </c>
      <c r="TP5" t="str">
        <f>=$TP4+--($TO5)</f>
      </c>
      <c r="TQ5" t="str">
        <f>IF(ROW()-3&gt;MAX($TP$4:$TP$40),"",INDEX($DF$4:$DF$40,MATCH(ROW()-3,$TP$4:$TP$40,0)))</f>
      </c>
      <c r="TR5" t="str">
        <f>IF(COUNTIF('Final Calculation Sheet'!$AL5:$BE5,0)+COUNTIF('Final Calculation Sheet'!$BG5:$BS5,0)&gt;0,0,1)</f>
      </c>
      <c r="TS5" t="str">
        <f>IF($DK$5="",FALSE,SUMPRODUCT(('Final Calculation Sheet'!$U$4:$U$40=$DK$5)*($TR$4:$TR$40=1))&gt;0)</f>
      </c>
      <c r="TT5" t="str">
        <f>=$TT4+--($TS5)</f>
      </c>
      <c r="TU5" t="str">
        <f>IF(ROW()-3&gt;MAX($TT$4:$TT$40),"",INDEX($DK$4:$DK$40,MATCH(ROW()-3,$TT$4:$TT$40,0)))</f>
      </c>
      <c r="TV5" t="str">
        <f>IF(COUNTIF('Final Calculation Sheet'!$AL5:$BF5,0)+COUNTIF('Final Calculation Sheet'!$BH5:$BS5,0)&gt;0,0,1)</f>
      </c>
      <c r="TW5" t="str">
        <f>IF($DP$5="",FALSE,SUMPRODUCT(('Final Calculation Sheet'!$V$4:$V$40=$DP$5)*($TV$4:$TV$40=1))&gt;0)</f>
      </c>
      <c r="TX5" t="str">
        <f>=$TX4+--($TW5)</f>
      </c>
      <c r="TY5" t="str">
        <f>IF(ROW()-3&gt;MAX($TX$4:$TX$40),"",INDEX($DP$4:$DP$40,MATCH(ROW()-3,$TX$4:$TX$40,0)))</f>
      </c>
      <c r="TZ5" t="str">
        <f>IF(COUNTIF('Final Calculation Sheet'!$AL5:$BG5,0)+COUNTIF('Final Calculation Sheet'!$BI5:$BS5,0)&gt;0,0,1)</f>
      </c>
      <c r="UA5" t="str">
        <f>IF($DU$5="",FALSE,SUMPRODUCT(('Final Calculation Sheet'!$W$4:$W$40=$DU$5)*($TZ$4:$TZ$40=1))&gt;0)</f>
      </c>
      <c r="UB5" t="str">
        <f>=$UB4+--($UA5)</f>
      </c>
      <c r="UC5" t="str">
        <f>IF(ROW()-3&gt;MAX($UB$4:$UB$40),"",INDEX($DU$4:$DU$40,MATCH(ROW()-3,$UB$4:$UB$40,0)))</f>
      </c>
      <c r="UD5" t="str">
        <f>IF(COUNTIF('Final Calculation Sheet'!$AL5:$BH5,0)+COUNTIF('Final Calculation Sheet'!$BJ5:$BS5,0)&gt;0,0,1)</f>
      </c>
      <c r="UE5" t="str">
        <f>IF($DZ$5="",FALSE,SUMPRODUCT(('Final Calculation Sheet'!$X$4:$X$40=$DZ$5)*($UD$4:$UD$40=1))&gt;0)</f>
      </c>
      <c r="UF5" t="str">
        <f>=$UF4+--($UE5)</f>
      </c>
      <c r="UG5" t="str">
        <f>IF(ROW()-3&gt;MAX($UF$4:$UF$40),"",INDEX($DZ$4:$DZ$40,MATCH(ROW()-3,$UF$4:$UF$40,0)))</f>
      </c>
      <c r="UH5" t="str">
        <f>IF(COUNTIF('Final Calculation Sheet'!$AL5:$BI5,0)+COUNTIF('Final Calculation Sheet'!$BK5:$BS5,0)&gt;0,0,1)</f>
      </c>
      <c r="UI5" t="str">
        <f>IF($EE$5="",FALSE,SUMPRODUCT(('Final Calculation Sheet'!$Y$4:$Y$40=$EE$5)*($UH$4:$UH$40=1))&gt;0)</f>
      </c>
      <c r="UJ5" t="str">
        <f>=$UJ4+--($UI5)</f>
      </c>
      <c r="UK5" t="str">
        <f>IF(ROW()-3&gt;MAX($UJ$4:$UJ$40),"",INDEX($EE$4:$EE$40,MATCH(ROW()-3,$UJ$4:$UJ$40,0)))</f>
      </c>
      <c r="UL5" t="str">
        <f>IF(COUNTIF('Final Calculation Sheet'!$AL5:$BJ5,0)+COUNTIF('Final Calculation Sheet'!$BL5:$BS5,0)&gt;0,0,1)</f>
      </c>
      <c r="UM5" t="str">
        <f>IF($EJ$5="",FALSE,SUMPRODUCT(('Final Calculation Sheet'!$Z$4:$Z$40=$EJ$5)*($UL$4:$UL$40=1))&gt;0)</f>
      </c>
      <c r="UN5" t="str">
        <f>=$UN4+--($UM5)</f>
      </c>
      <c r="UO5" t="str">
        <f>IF(ROW()-3&gt;MAX($UN$4:$UN$40),"",INDEX($EJ$4:$EJ$40,MATCH(ROW()-3,$UN$4:$UN$40,0)))</f>
      </c>
      <c r="UP5" t="str">
        <f>IF(COUNTIF('Final Calculation Sheet'!$AL5:$BK5,0)+COUNTIF('Final Calculation Sheet'!$BM5:$BS5,0)&gt;0,0,1)</f>
      </c>
      <c r="UQ5" t="str">
        <f>IF($EO$5="",FALSE,SUMPRODUCT(('Final Calculation Sheet'!$AA$4:$AA$40=$EO$5)*($UP$4:$UP$40=1))&gt;0)</f>
      </c>
      <c r="UR5" t="str">
        <f>=$UR4+--($UQ5)</f>
      </c>
      <c r="US5" t="str">
        <f>IF(ROW()-3&gt;MAX($UR$4:$UR$40),"",INDEX($EO$4:$EO$40,MATCH(ROW()-3,$UR$4:$UR$40,0)))</f>
      </c>
      <c r="UT5" t="str">
        <f>IF(COUNTIF('Final Calculation Sheet'!$AL5:$BL5,0)+COUNTIF('Final Calculation Sheet'!$BN5:$BS5,0)&gt;0,0,1)</f>
      </c>
      <c r="UU5" t="str">
        <f>IF($ET$5="",FALSE,SUMPRODUCT(('Final Calculation Sheet'!$AB$4:$AB$40=$ET$5)*($UT$4:$UT$40=1))&gt;0)</f>
      </c>
      <c r="UV5" t="str">
        <f>=$UV4+--($UU5)</f>
      </c>
      <c r="UW5" t="str">
        <f>IF(ROW()-3&gt;MAX($UV$4:$UV$40),"",INDEX($ET$4:$ET$40,MATCH(ROW()-3,$UV$4:$UV$40,0)))</f>
      </c>
      <c r="UX5" t="str">
        <f>IF(COUNTIF('Final Calculation Sheet'!$AL5:$BM5,0)+COUNTIF('Final Calculation Sheet'!$BO5:$BS5,0)&gt;0,0,1)</f>
      </c>
      <c r="UY5" t="str">
        <f>IF($EY$5="",FALSE,SUMPRODUCT(('Final Calculation Sheet'!$AC$4:$AC$40=$EY$5)*($UX$4:$UX$40=1))&gt;0)</f>
      </c>
      <c r="UZ5" t="str">
        <f>=$UZ4+--($UY5)</f>
      </c>
      <c r="VA5" t="str">
        <f>IF(ROW()-3&gt;MAX($UZ$4:$UZ$40),"",INDEX($EY$4:$EY$40,MATCH(ROW()-3,$UZ$4:$UZ$40,0)))</f>
      </c>
      <c r="VB5" t="str">
        <f>IF(COUNTIF('Final Calculation Sheet'!$AL5:$BN5,0)+COUNTIF('Final Calculation Sheet'!$BP5:$BS5,0)&gt;0,0,1)</f>
      </c>
      <c r="VC5" t="str">
        <f>IF($FD$5="",FALSE,SUMPRODUCT(('Final Calculation Sheet'!$AD$4:$AD$40=$FD$5)*($VB$4:$VB$40=1))&gt;0)</f>
      </c>
      <c r="VD5" t="str">
        <f>=$VD4+--($VC5)</f>
      </c>
      <c r="VE5" t="str">
        <f>IF(ROW()-3&gt;MAX($VD$4:$VD$40),"",INDEX($FD$4:$FD$40,MATCH(ROW()-3,$VD$4:$VD$40,0)))</f>
      </c>
      <c r="VF5" t="str">
        <f>IF(COUNTIF('Final Calculation Sheet'!$AL5:$BO5,0)+COUNTIF('Final Calculation Sheet'!$BQ5:$BS5,0)&gt;0,0,1)</f>
      </c>
      <c r="VG5" t="str">
        <f>IF($FI$5="",FALSE,SUMPRODUCT(('Final Calculation Sheet'!$AE$4:$AE$40=$FI$5)*($VF$4:$VF$40=1))&gt;0)</f>
      </c>
      <c r="VH5" t="str">
        <f>=$VH4+--($VG5)</f>
      </c>
      <c r="VI5" t="str">
        <f>IF(ROW()-3&gt;MAX($VH$4:$VH$40),"",INDEX($FI$4:$FI$40,MATCH(ROW()-3,$VH$4:$VH$40,0)))</f>
      </c>
      <c r="VJ5" t="str">
        <f>IF(COUNTIF('Final Calculation Sheet'!$AL5:$BP5,0)+COUNTIF('Final Calculation Sheet'!$BR5:$BS5,0)&gt;0,0,1)</f>
      </c>
      <c r="VK5" t="str">
        <f>IF($FN$5="",FALSE,SUMPRODUCT(('Final Calculation Sheet'!$AF$4:$AF$40=$FN$5)*($VJ$4:$VJ$40=1))&gt;0)</f>
      </c>
      <c r="VL5" t="str">
        <f>=$VL4+--($VK5)</f>
      </c>
      <c r="VM5" t="str">
        <f>IF(ROW()-3&gt;MAX($VL$4:$VL$40),"",INDEX($FN$4:$FN$40,MATCH(ROW()-3,$VL$4:$VL$40,0)))</f>
      </c>
      <c r="VN5" t="str">
        <f>IF(COUNTIF('Final Calculation Sheet'!$AL5:$BQ5,0)+COUNTIF('Final Calculation Sheet'!$BS5:$BS5,0)&gt;0,0,1)</f>
      </c>
      <c r="VO5" t="str">
        <f>IF($FS$5="",FALSE,SUMPRODUCT(('Final Calculation Sheet'!$AG$4:$AG$40=$FS$5)*($VN$4:$VN$40=1))&gt;0)</f>
      </c>
      <c r="VP5" t="str">
        <f>=$VP4+--($VO5)</f>
      </c>
      <c r="VQ5" t="str">
        <f>IF(ROW()-3&gt;MAX($VP$4:$VP$40),"",INDEX($FS$4:$FS$40,MATCH(ROW()-3,$VP$4:$VP$40,0)))</f>
      </c>
      <c r="VR5" t="str">
        <f>IF(COUNTIF('Final Calculation Sheet'!$AL5:$BR5,0)&gt;0,0,1)</f>
      </c>
      <c r="VS5" t="str">
        <f>IF($QO$5="",FALSE,SUMPRODUCT(('Final Calculation Sheet'!$AH$4:$AH$40=$QO$5)*($VR$4:$VR$40=1))&gt;0)</f>
      </c>
      <c r="VT5" t="str">
        <f>=$VT4+--($VS5)</f>
      </c>
      <c r="VU5" t="str">
        <f>IF(ROW()-3&gt;MAX($VT$4:$VT$40),"",INDEX($QO$4:$QO$40,MATCH(ROW()-3,$VT$4:$VT$40,0)))</f>
      </c>
    </row>
    <row r="6">
      <c r="A6">
        <f>IF(IFERROR('Final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IF(IFERROR('Final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s="55">
        <f>IF('Final Calculation Sheet'!$C$6="","",'Final Calculation Sheet'!$C$6)</f>
        <v/>
      </c>
      <c r="AP6">
        <f>IF(AO6="","",COUNTIFS(AO$4:AO$40,"&lt;"&amp;AO6,AO$4:AO$40,"&lt;&gt;"&amp;"")+COUNTIF(AO$4:AO6,AO6))</f>
        <v/>
      </c>
      <c r="AQ6" s="55">
        <f>IF(ROW()-3&gt;COUNTIF(AO$4:AO$40,"&lt;&gt;"&amp;""),"",INDEX(AO$4:AO$40,MATCH(ROW()-3,AP$4:AP$40,0)))</f>
        <v/>
      </c>
      <c r="AR6">
        <f>AR5+IF(AND(AQ6&lt;&gt;"",COUNTIF(AQ$4:AQ6,AQ6)=1),1,0)</f>
        <v/>
      </c>
      <c r="AS6" s="55">
        <f>IF(ROW()-3&gt;MAX(AR$4:AR$40),"",INDEX(AQ$4:AQ$40,MATCH(ROW()-3,AR$4:AR$40,0)))</f>
        <v/>
      </c>
      <c r="AT6" s="55">
        <f>IF('Final Calculation Sheet'!$H$6="","",'Final Calculation Sheet'!$H$6)</f>
        <v/>
      </c>
      <c r="AU6">
        <f>IF(AT6="","",COUNTIFS(AT$4:AT$40,"&lt;"&amp;AT6,AT$4:AT$40,"&lt;&gt;"&amp;"")+COUNTIF(AT$4:AT6,AT6))</f>
        <v/>
      </c>
      <c r="AV6" s="55">
        <f>IF(ROW()-3&gt;COUNTIF(AT$4:AT$40,"&lt;&gt;"&amp;""),"",INDEX(AT$4:AT$40,MATCH(ROW()-3,AU$4:AU$40,0)))</f>
        <v/>
      </c>
      <c r="AW6">
        <f>AW5+IF(AND(AV6&lt;&gt;"",COUNTIF(AV$4:AV6,AV6)=1),1,0)</f>
        <v/>
      </c>
      <c r="AX6" s="55">
        <f>IF(ROW()-3&gt;MAX(AW$4:AW$40),"",INDEX(AV$4:AV$40,MATCH(ROW()-3,AW$4:AW$40,0)))</f>
        <v/>
      </c>
      <c r="AY6" s="55">
        <f>IF('Final Calculation Sheet'!$I$6="","",'Final Calculation Sheet'!$I$6)</f>
        <v/>
      </c>
      <c r="AZ6">
        <f>IF(AY6="","",COUNTIFS(AY$4:AY$40,"&lt;"&amp;AY6,AY$4:AY$40,"&lt;&gt;"&amp;"")+COUNTIF(AY$4:AY6,AY6))</f>
        <v/>
      </c>
      <c r="BA6" s="55">
        <f>IF(ROW()-3&gt;COUNTIF(AY$4:AY$40,"&lt;&gt;"&amp;""),"",INDEX(AY$4:AY$40,MATCH(ROW()-3,AZ$4:AZ$40,0)))</f>
        <v/>
      </c>
      <c r="BB6">
        <f>BB5+IF(AND(BA6&lt;&gt;"",COUNTIF(BA$4:BA6,BA6)=1),1,0)</f>
        <v/>
      </c>
      <c r="BC6" s="55">
        <f>IF(ROW()-3&gt;MAX(BB$4:BB$40),"",INDEX(BA$4:BA$40,MATCH(ROW()-3,BB$4:BB$40,0)))</f>
        <v/>
      </c>
      <c r="BD6" s="55">
        <f>IF('Final Calculation Sheet'!$J$6="","",'Final Calculation Sheet'!$J$6)</f>
        <v/>
      </c>
      <c r="BE6">
        <f>IF(BD6="","",COUNTIFS(BD$4:BD$40,"&lt;"&amp;BD6,BD$4:BD$40,"&lt;&gt;"&amp;"")+COUNTIF(BD$4:BD6,BD6))</f>
        <v/>
      </c>
      <c r="BF6" s="55">
        <f>IF(ROW()-3&gt;COUNTIF(BD$4:BD$40,"&lt;&gt;"&amp;""),"",INDEX(BD$4:BD$40,MATCH(ROW()-3,BE$4:BE$40,0)))</f>
        <v/>
      </c>
      <c r="BG6">
        <f>BG5+IF(AND(BF6&lt;&gt;"",COUNTIF(BF$4:BF6,BF6)=1),1,0)</f>
        <v/>
      </c>
      <c r="BH6" s="55">
        <f>IF(ROW()-3&gt;MAX(BG$4:BG$40),"",INDEX(BF$4:BF$40,MATCH(ROW()-3,BG$4:BG$40,0)))</f>
        <v/>
      </c>
      <c r="BI6" s="55">
        <f>IF('Final Calculation Sheet'!$K$6="","",'Final Calculation Sheet'!$K$6)</f>
        <v/>
      </c>
      <c r="BJ6">
        <f>IF(BI6="","",COUNTIFS(BI$4:BI$40,"&lt;"&amp;BI6,BI$4:BI$40,"&lt;&gt;"&amp;"")+COUNTIF(BI$4:BI6,BI6))</f>
        <v/>
      </c>
      <c r="BK6" s="55">
        <f>IF(ROW()-3&gt;COUNTIF(BI$4:BI$40,"&lt;&gt;"&amp;""),"",INDEX(BI$4:BI$40,MATCH(ROW()-3,BJ$4:BJ$40,0)))</f>
        <v/>
      </c>
      <c r="BL6">
        <f>BL5+IF(AND(BK6&lt;&gt;"",COUNTIF(BK$4:BK6,BK6)=1),1,0)</f>
        <v/>
      </c>
      <c r="BM6" s="55">
        <f>IF(ROW()-3&gt;MAX(BL$4:BL$40),"",INDEX(BK$4:BK$40,MATCH(ROW()-3,BL$4:BL$40,0)))</f>
        <v/>
      </c>
      <c r="BN6" s="55">
        <f>IF('Final Calculation Sheet'!$L$6="","",'Final Calculation Sheet'!$L$6)</f>
        <v/>
      </c>
      <c r="BO6">
        <f>IF(BN6="","",COUNTIFS(BN$4:BN$40,"&lt;"&amp;BN6,BN$4:BN$40,"&lt;&gt;"&amp;"")+COUNTIF(BN$4:BN6,BN6))</f>
        <v/>
      </c>
      <c r="BP6" s="55">
        <f>IF(ROW()-3&gt;COUNTIF(BN$4:BN$40,"&lt;&gt;"&amp;""),"",INDEX(BN$4:BN$40,MATCH(ROW()-3,BO$4:BO$40,0)))</f>
        <v/>
      </c>
      <c r="BQ6">
        <f>BQ5+IF(AND(BP6&lt;&gt;"",COUNTIF(BP$4:BP6,BP6)=1),1,0)</f>
        <v/>
      </c>
      <c r="BR6" s="55">
        <f>IF(ROW()-3&gt;MAX(BQ$4:BQ$40),"",INDEX(BP$4:BP$40,MATCH(ROW()-3,BQ$4:BQ$40,0)))</f>
        <v/>
      </c>
      <c r="BS6" s="55">
        <f>IF('Final Calculation Sheet'!$M$6="","",'Final Calculation Sheet'!$M$6)</f>
        <v/>
      </c>
      <c r="BT6">
        <f>IF(BS6="","",COUNTIFS(BS$4:BS$40,"&lt;"&amp;BS6,BS$4:BS$40,"&lt;&gt;"&amp;"")+COUNTIF(BS$4:BS6,BS6))</f>
        <v/>
      </c>
      <c r="BU6" s="55">
        <f>IF(ROW()-3&gt;COUNTIF(BS$4:BS$40,"&lt;&gt;"&amp;""),"",INDEX(BS$4:BS$40,MATCH(ROW()-3,BT$4:BT$40,0)))</f>
        <v/>
      </c>
      <c r="BV6">
        <f>BV5+IF(AND(BU6&lt;&gt;"",COUNTIF(BU$4:BU6,BU6)=1),1,0)</f>
        <v/>
      </c>
      <c r="BW6" s="55">
        <f>IF(ROW()-3&gt;MAX(BV$4:BV$40),"",INDEX(BU$4:BU$40,MATCH(ROW()-3,BV$4:BV$40,0)))</f>
        <v/>
      </c>
      <c r="BX6" s="138">
        <f>IF('Final Calculation Sheet'!$N$6="","",'Final Calculation Sheet'!$N$6)</f>
        <v/>
      </c>
      <c r="BY6">
        <f>IF(BX6="","",COUNTIFS(BX$4:BX$40,"&lt;"&amp;BX6,BX$4:BX$40,"&lt;&gt;"&amp;"")+COUNTIF(BX$4:BX6,BX6))</f>
        <v/>
      </c>
      <c r="BZ6" s="138">
        <f>IF(ROW()-3&gt;COUNTIF(BX$4:BX$40,"&lt;&gt;"&amp;""),"",INDEX(BX$4:BX$40,MATCH(ROW()-3,BY$4:BY$40,0)))</f>
        <v/>
      </c>
      <c r="CA6">
        <f>CA5+IF(AND(BZ6&lt;&gt;"",COUNTIF(BZ$4:BZ6,BZ6)=1),1,0)</f>
        <v/>
      </c>
      <c r="CB6" s="138">
        <f>IF(ROW()-3&gt;MAX(CA$4:CA$40),"",INDEX(BZ$4:BZ$40,MATCH(ROW()-3,CA$4:CA$40,0)))</f>
        <v/>
      </c>
      <c r="CC6" s="55">
        <f>IF('Final Calculation Sheet'!$O$6="","",'Final Calculation Sheet'!$O$6)</f>
        <v/>
      </c>
      <c r="CD6">
        <f>IF(CC6="","",COUNTIFS(CC$4:CC$40,"&lt;"&amp;CC6,CC$4:CC$40,"&lt;&gt;"&amp;"")+COUNTIF(CC$4:CC6,CC6))</f>
        <v/>
      </c>
      <c r="CE6" s="55">
        <f>IF(ROW()-3&gt;COUNTIF(CC$4:CC$40,"&lt;&gt;"&amp;""),"",INDEX(CC$4:CC$40,MATCH(ROW()-3,CD$4:CD$40,0)))</f>
        <v/>
      </c>
      <c r="CF6">
        <f>CF5+IF(AND(CE6&lt;&gt;"",COUNTIF(CE$4:CE6,CE6)=1),1,0)</f>
        <v/>
      </c>
      <c r="CG6" s="55">
        <f>IF(ROW()-3&gt;MAX(CF$4:CF$40),"",INDEX(CE$4:CE$40,MATCH(ROW()-3,CF$4:CF$40,0)))</f>
        <v/>
      </c>
      <c r="CH6" s="55">
        <f>IF('Final Calculation Sheet'!$P$6="","",'Final Calculation Sheet'!$P$6)</f>
        <v/>
      </c>
      <c r="CI6">
        <f>IF(CH6="","",COUNTIFS(CH$4:CH$40,"&lt;"&amp;CH6,CH$4:CH$40,"&lt;&gt;"&amp;"")+COUNTIF(CH$4:CH6,CH6))</f>
        <v/>
      </c>
      <c r="CJ6" s="55">
        <f>IF(ROW()-3&gt;COUNTIF(CH$4:CH$40,"&lt;&gt;"&amp;""),"",INDEX(CH$4:CH$40,MATCH(ROW()-3,CI$4:CI$40,0)))</f>
        <v/>
      </c>
      <c r="CK6">
        <f>CK5+IF(AND(CJ6&lt;&gt;"",COUNTIF(CJ$4:CJ6,CJ6)=1),1,0)</f>
        <v/>
      </c>
      <c r="CL6" s="55">
        <f>IF(ROW()-3&gt;MAX(CK$4:CK$40),"",INDEX(CJ$4:CJ$40,MATCH(ROW()-3,CK$4:CK$40,0)))</f>
        <v/>
      </c>
      <c r="CM6" s="139">
        <f>IF('Final Calculation Sheet'!$Q$6="","",'Final Calculation Sheet'!$Q$6)</f>
        <v/>
      </c>
      <c r="CN6">
        <f>IF(CM6="","",COUNTIFS(CM$4:CM$40,"&lt;"&amp;CM6,CM$4:CM$40,"&lt;&gt;"&amp;"")+COUNTIF(CM$4:CM6,CM6))</f>
        <v/>
      </c>
      <c r="CO6" s="139">
        <f>IF(ROW()-3&gt;COUNTIF(CM$4:CM$40,"&lt;&gt;"&amp;""),"",INDEX(CM$4:CM$40,MATCH(ROW()-3,CN$4:CN$40,0)))</f>
        <v/>
      </c>
      <c r="CP6">
        <f>CP5+IF(AND(CO6&lt;&gt;"",COUNTIF(CO$4:CO6,CO6)=1),1,0)</f>
        <v/>
      </c>
      <c r="CQ6">
        <f>IF(ROW()-3&gt;MAX(CP$4:CP$40),"",INDEX(CO$4:CO$40,MATCH(ROW()-3,CP$4:CP$40,0)))</f>
        <v/>
      </c>
      <c r="CR6" s="55">
        <f>IF('Final Calculation Sheet'!$R$6="","",'Final Calculation Sheet'!$R$6)</f>
        <v/>
      </c>
      <c r="CS6">
        <f>IF(CR6="","",COUNTIFS(CR$4:CR$40,"&lt;"&amp;CR6,CR$4:CR$40,"&lt;&gt;"&amp;"")+COUNTIF(CR$4:CR6,CR6))</f>
        <v/>
      </c>
      <c r="CT6" s="55">
        <f>IF(ROW()-3&gt;COUNTIF(CR$4:CR$40,"&lt;&gt;"&amp;""),"",INDEX(CR$4:CR$40,MATCH(ROW()-3,CS$4:CS$40,0)))</f>
        <v/>
      </c>
      <c r="CU6">
        <f>CU5+IF(AND(CT6&lt;&gt;"",COUNTIF(CT$4:CT6,CT6)=1),1,0)</f>
        <v/>
      </c>
      <c r="CV6" s="55">
        <f>IF(ROW()-3&gt;MAX(CU$4:CU$40),"",INDEX(CT$4:CT$40,MATCH(ROW()-3,CU$4:CU$40,0)))</f>
        <v/>
      </c>
      <c r="CW6" s="55">
        <f>IF('Final Calculation Sheet'!$S$6="","",'Final Calculation Sheet'!$S$6)</f>
        <v/>
      </c>
      <c r="CX6">
        <f>IF(CW6="","",COUNTIFS(CW$4:CW$40,"&lt;"&amp;CW6,CW$4:CW$40,"&lt;&gt;"&amp;"")+COUNTIF(CW$4:CW6,CW6))</f>
        <v/>
      </c>
      <c r="CY6" s="55">
        <f>IF(ROW()-3&gt;COUNTIF(CW$4:CW$40,"&lt;&gt;"&amp;""),"",INDEX(CW$4:CW$40,MATCH(ROW()-3,CX$4:CX$40,0)))</f>
        <v/>
      </c>
      <c r="CZ6">
        <f>CZ5+IF(AND(CY6&lt;&gt;"",COUNTIF(CY$4:CY6,CY6)=1),1,0)</f>
        <v/>
      </c>
      <c r="DA6" s="55">
        <f>IF(ROW()-3&gt;MAX(CZ$4:CZ$40),"",INDEX(CY$4:CY$40,MATCH(ROW()-3,CZ$4:CZ$40,0)))</f>
        <v/>
      </c>
      <c r="DB6" s="55">
        <f>IF('Final Calculation Sheet'!$T$6="","",'Final Calculation Sheet'!$T$6)</f>
        <v/>
      </c>
      <c r="DC6">
        <f>IF(DB6="","",COUNTIFS(DB$4:DB$40,"&lt;"&amp;DB6,DB$4:DB$40,"&lt;&gt;"&amp;"")+COUNTIF(DB$4:DB6,DB6))</f>
        <v/>
      </c>
      <c r="DD6" s="55">
        <f>IF(ROW()-3&gt;COUNTIF(DB$4:DB$40,"&lt;&gt;"&amp;""),"",INDEX(DB$4:DB$40,MATCH(ROW()-3,DC$4:DC$40,0)))</f>
        <v/>
      </c>
      <c r="DE6">
        <f>DE5+IF(AND(DD6&lt;&gt;"",COUNTIF(DD$4:DD6,DD6)=1),1,0)</f>
        <v/>
      </c>
      <c r="DF6" s="55">
        <f>IF(ROW()-3&gt;MAX(DE$4:DE$40),"",INDEX(DD$4:DD$40,MATCH(ROW()-3,DE$4:DE$40,0)))</f>
        <v/>
      </c>
      <c r="DG6" s="140">
        <f>IF('Final Calculation Sheet'!$U$6="","",'Final Calculation Sheet'!$U$6)</f>
        <v/>
      </c>
      <c r="DH6">
        <f>IF(DG6="","",COUNTIFS(DG$4:DG$40,"&lt;"&amp;DG6,DG$4:DG$40,"&lt;&gt;"&amp;"")+COUNTIF(DG$4:DG6,DG6))</f>
        <v/>
      </c>
      <c r="DI6" s="140">
        <f>IF(ROW()-3&gt;COUNTIF(DG$4:DG$40,"&lt;&gt;"&amp;""),"",INDEX(DG$4:DG$40,MATCH(ROW()-3,DH$4:DH$40,0)))</f>
        <v/>
      </c>
      <c r="DJ6">
        <f>DJ5+IF(AND(DI6&lt;&gt;"",COUNTIF(DI$4:DI6,DI6)=1),1,0)</f>
        <v/>
      </c>
      <c r="DK6" s="140">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s="55">
        <f>IF('Final Calculation Sheet'!$W$6="","",'Final Calculation Sheet'!$W$6)</f>
        <v/>
      </c>
      <c r="DR6">
        <f>IF(DQ6="","",COUNTIFS(DQ$4:DQ$40,"&lt;"&amp;DQ6,DQ$4:DQ$40,"&lt;&gt;"&amp;"")+COUNTIF(DQ$4:DQ6,DQ6))</f>
        <v/>
      </c>
      <c r="DS6" s="55">
        <f>IF(ROW()-3&gt;COUNTIF(DQ$4:DQ$40,"&lt;&gt;"&amp;""),"",INDEX(DQ$4:DQ$40,MATCH(ROW()-3,DR$4:DR$40,0)))</f>
        <v/>
      </c>
      <c r="DT6">
        <f>DT5+IF(AND(DS6&lt;&gt;"",COUNTIF(DS$4:DS6,DS6)=1),1,0)</f>
        <v/>
      </c>
      <c r="DU6" s="55">
        <f>IF(ROW()-3&gt;MAX(DT$4:DT$40),"",INDEX(DS$4:DS$40,MATCH(ROW()-3,DT$4:DT$40,0)))</f>
        <v/>
      </c>
      <c r="DV6" s="55">
        <f>IF('Final Calculation Sheet'!$X$6="","",'Final Calculation Sheet'!$X$6)</f>
        <v/>
      </c>
      <c r="DW6">
        <f>IF(DV6="","",COUNTIFS(DV$4:DV$40,"&lt;"&amp;DV6,DV$4:DV$40,"&lt;&gt;"&amp;"")+COUNTIF(DV$4:DV6,DV6))</f>
        <v/>
      </c>
      <c r="DX6" s="55">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s="55">
        <f>IF('Final Calculation Sheet'!$Z$6="","",'Final Calculation Sheet'!$Z$6)</f>
        <v/>
      </c>
      <c r="EG6">
        <f>IF(EF6="","",COUNTIFS(EF$4:EF$40,"&lt;"&amp;EF6,EF$4:EF$40,"&lt;&gt;"&amp;"")+COUNTIF(EF$4:EF6,EF6))</f>
        <v/>
      </c>
      <c r="EH6" s="55">
        <f>IF(ROW()-3&gt;COUNTIF(EF$4:EF$40,"&lt;&gt;"&amp;""),"",INDEX(EF$4:EF$40,MATCH(ROW()-3,EG$4:EG$40,0)))</f>
        <v/>
      </c>
      <c r="EI6">
        <f>EI5+IF(AND(EH6&lt;&gt;"",COUNTIF(EH$4:EH6,EH6)=1),1,0)</f>
        <v/>
      </c>
      <c r="EJ6" s="55">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s="55">
        <f>IF('Final Calculation Sheet'!$AC$6="","",'Final Calculation Sheet'!$AC$6)</f>
        <v/>
      </c>
      <c r="EV6">
        <f>IF(EU6="","",COUNTIFS(EU$4:EU$40,"&lt;"&amp;EU6,EU$4:EU$40,"&lt;&gt;"&amp;"")+COUNTIF(EU$4:EU6,EU6))</f>
        <v/>
      </c>
      <c r="EW6" s="55">
        <f>IF(ROW()-3&gt;COUNTIF(EU$4:EU$40,"&lt;&gt;"&amp;""),"",INDEX(EU$4:EU$40,MATCH(ROW()-3,EV$4:EV$40,0)))</f>
        <v/>
      </c>
      <c r="EX6">
        <f>EX5+IF(AND(EW6&lt;&gt;"",COUNTIF(EW$4:EW6,EW6)=1),1,0)</f>
        <v/>
      </c>
      <c r="EY6" s="55">
        <f>IF(ROW()-3&gt;MAX(EX$4:EX$40),"",INDEX(EW$4:EW$40,MATCH(ROW()-3,EX$4:EX$40,0)))</f>
        <v/>
      </c>
      <c r="EZ6" s="55">
        <f>IF('Final Calculation Sheet'!$AD$6="","",'Final Calculation Sheet'!$AD$6)</f>
        <v/>
      </c>
      <c r="FA6">
        <f>IF(EZ6="","",COUNTIFS(EZ$4:EZ$40,"&lt;"&amp;EZ6,EZ$4:EZ$40,"&lt;&gt;"&amp;"")+COUNTIF(EZ$4:EZ6,EZ6))</f>
        <v/>
      </c>
      <c r="FB6" s="55">
        <f>IF(ROW()-3&gt;COUNTIF(EZ$4:EZ$40,"&lt;&gt;"&amp;""),"",INDEX(EZ$4:EZ$40,MATCH(ROW()-3,FA$4:FA$40,0)))</f>
        <v/>
      </c>
      <c r="FC6">
        <f>FC5+IF(AND(FB6&lt;&gt;"",COUNTIF(FB$4:FB6,FB6)=1),1,0)</f>
        <v/>
      </c>
      <c r="FD6" s="55">
        <f>IF(ROW()-3&gt;MAX(FC$4:FC$40),"",INDEX(FB$4:FB$40,MATCH(ROW()-3,FC$4:FC$40,0)))</f>
        <v/>
      </c>
      <c r="FE6">
        <f>IF('Final Calculation Sheet'!$AF$6="","",'Final Calculation Sheet'!$AF$6)</f>
        <v/>
      </c>
      <c r="FF6">
        <f>IF(FE6="","",COUNTIFS(FE$4:FE$40,"&lt;"&amp;FE6,FE$4:FE$40,"&lt;&gt;"&amp;"")+COUNTIF(FE$4:FE6,FE6))</f>
        <v/>
      </c>
      <c r="FG6">
        <f>IF(ROW()-3&gt;COUNTIF(FE$4:FE$40,"&lt;&gt;"&amp;""),"",INDEX(FE$4:FE$40,MATCH(ROW()-3,FF$4:FF$40,0)))</f>
        <v/>
      </c>
      <c r="FH6">
        <f>FH5+IF(AND(FG6&lt;&gt;"",COUNTIF(FG$4:FG6,FG6)=1),1,0)</f>
        <v/>
      </c>
      <c r="FI6">
        <f>IF(ROW()-3&gt;MAX(FH$4:FH$40),"",INDEX(FG$4:FG$40,MATCH(ROW()-3,FH$4:FH$40,0)))</f>
        <v/>
      </c>
      <c r="FJ6" s="141">
        <f>IF('Final Calculation Sheet'!$AG$6="","",'Final Calculation Sheet'!$AG$6)</f>
        <v/>
      </c>
      <c r="FK6">
        <f>IF(FJ6="","",COUNTIFS(FJ$4:FJ$40,"&lt;"&amp;FJ6,FJ$4:FJ$40,"&lt;&gt;"&amp;"")+COUNTIF(FJ$4:FJ6,FJ6))</f>
        <v/>
      </c>
      <c r="FL6" s="141">
        <f>IF(ROW()-3&gt;COUNTIF(FJ$4:FJ$40,"&lt;&gt;"&amp;""),"",INDEX(FJ$4:FJ$40,MATCH(ROW()-3,FK$4:FK$40,0)))</f>
        <v/>
      </c>
      <c r="FM6">
        <f>FM5+IF(AND(FL6&lt;&gt;"",COUNTIF(FL$4:FL6,FL6)=1),1,0)</f>
        <v/>
      </c>
      <c r="FN6">
        <f>IF(ROW()-3&gt;MAX(FM$4:FM$40),"",INDEX(FL$4:FL$40,MATCH(ROW()-3,FM$4:FM$40,0)))</f>
        <v/>
      </c>
      <c r="FO6">
        <f>IF('Final Calculation Sheet'!$AH$6="","",'Final Calculation Sheet'!$AH$6)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c r="FY6">
        <f>IF(COUNTIF('Live Search'!BM$5:BO$5,0)+COUNTIF('Live Search'!BQ$5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6">
        <f>IF($Y$6="",FALSE,SUMPRODUCT(('Final Calculation Sheet'!$B$4:$B$40=$Y$6)*($FY$6:$FY$42=1))&gt;0)</f>
        <v/>
      </c>
      <c r="GA6">
        <f>$GA$5+--($FZ$6)</f>
        <v/>
      </c>
      <c r="GB6">
        <f>IF(ROW()-3&gt;MAX($GA$4:$GA$40),"",INDEX($Y$4:$Y$40,MATCH(ROW()-3,$GA$4:$GA$40,0)))</f>
        <v/>
      </c>
      <c r="GC6">
        <f>IF(COUNTIF('Live Search'!BM$5:BM$5,0)+COUNTIF('Live Search'!BO$5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D6">
        <f>IF($O$6="",FALSE,SUMPRODUCT(('Final Calculation Sheet'!$F$4:$F$40=$O$6)*($GC$6:$GC$42=1))&gt;0)</f>
        <v/>
      </c>
      <c r="GE6">
        <f>$GE$5+--($GD6)</f>
        <v/>
      </c>
      <c r="GF6">
        <f>IF(ROW()-3&gt;MAX($GE$4:$GE$40),"",INDEX($O$4:$O$40,MATCH(ROW()-3,$GE$4:$GE$40,0)))</f>
        <v/>
      </c>
      <c r="GG6">
        <f>IF(COUNTIF('Live Search'!BM$5:BN$5,0)+COUNTIF('Live Search'!BP$5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H6">
        <f>IF($T$6="",FALSE,SUMPRODUCT(('Final Calculation Sheet'!$G$4:$G$40=$T$6)*($GG$6:$GG$42=1))&gt;0)</f>
        <v/>
      </c>
      <c r="GI6">
        <f>$GI$5+--($GH6)</f>
        <v/>
      </c>
      <c r="GJ6">
        <f>IF(ROW()-3&gt;MAX($GI$4:$GI$40),"",INDEX($T$4:$T$40,MATCH(ROW()-3,$GI$4:$GI$40,0)))</f>
        <v/>
      </c>
      <c r="GK6">
        <f>IF(COUNTIF('Live Search'!BM$5:BP$5,0)+COUNTIF('Live Search'!BR$5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L6">
        <f>IF($AD$6="",FALSE,SUMPRODUCT(('Final Calculation Sheet'!$D$4:$D$40=$AD$6)*($GK$6:$GK$42=1))&gt;0)</f>
        <v/>
      </c>
      <c r="GM6">
        <f>$GM$5+--($GL6)</f>
        <v/>
      </c>
      <c r="GN6">
        <f>IF(ROW()-3&gt;MAX($GM$4:$GM$40),"",INDEX($AD$4:$AD$40,MATCH(ROW()-3,$GM$4:$GM$40,0)))</f>
        <v/>
      </c>
      <c r="GO6">
        <f>IF(COUNTIF('Live Search'!BM$5:BQ$5,0)+COUNTIF('Live Search'!BS$5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P6">
        <f>IF($AI$6="",FALSE,SUMPRODUCT(('Final Calculation Sheet'!$A$4:$A$40=$AI$6)*($GO$6:$GO$42=1))&gt;0)</f>
        <v/>
      </c>
      <c r="GQ6">
        <f>$GQ$5+--($GP6)</f>
        <v/>
      </c>
      <c r="GR6">
        <f>IF(ROW()-3&gt;MAX($GQ$4:$GQ$40),"",INDEX($AI$4:$AI$40,MATCH(ROW()-3,$GQ$4:$GQ$40,0)))</f>
        <v/>
      </c>
      <c r="GS6">
        <f>IF(COUNTIF('Live Search'!BM$5:BR$5,0)+COUNTIF('Live Search'!BT$5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T6">
        <f>IF($AN$6="",FALSE,SUMPRODUCT(('Final Calculation Sheet'!$E$4:$E$40=$AN$6)*($GS$6:$GS$42=1))&gt;0)</f>
        <v/>
      </c>
      <c r="GU6">
        <f>$GU$5+--($GT6)</f>
        <v/>
      </c>
      <c r="GV6">
        <f>IF(ROW()-3&gt;MAX($GU$4:$GU$40),"",INDEX($AN$4:$AN$40,MATCH(ROW()-3,$GU$4:$GU$40,0)))</f>
        <v/>
      </c>
      <c r="GW6">
        <f>IF(COUNTIF('Live Search'!BM$5:BS$5,0)+COUNTIF('Live Search'!BU$5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X6">
        <f>IF($AS$6="",FALSE,SUMPRODUCT(('Final Calculation Sheet'!$C$4:$C$40=$AS$6)*($GW$6:$GW$42=1))&gt;0)</f>
        <v/>
      </c>
      <c r="GY6">
        <f>$GY$5+--($GX6)</f>
        <v/>
      </c>
      <c r="GZ6">
        <f>IF(ROW()-3&gt;MAX($GY$4:$GY$40),"",INDEX($AS$4:$AS$40,MATCH(ROW()-3,$GY$4:$GY$40,0)))</f>
        <v/>
      </c>
      <c r="HA6">
        <f>IF(COUNTIF('Live Search'!BM$5:BT$5,0)+COUNTIF('Live Search'!BV$5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B6">
        <f>IF($AX$6="",FALSE,SUMPRODUCT(('Final Calculation Sheet'!$H$4:$H$40=$AX$6)*($HA$6:$HA$42=1))&gt;0)</f>
        <v/>
      </c>
      <c r="HC6">
        <f>$HC$5+--($HB6)</f>
        <v/>
      </c>
      <c r="HD6">
        <f>IF(ROW()-3&gt;MAX($HC$4:$HC$40),"",INDEX($AX$4:$AX$40,MATCH(ROW()-3,$HC$4:$HC$40,0)))</f>
        <v/>
      </c>
      <c r="HE6">
        <f>IF(COUNTIF('Live Search'!BM$5:BU$5,0)+COUNTIF('Live Search'!BW$5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F6">
        <f>IF($BC$6="",FALSE,SUMPRODUCT(('Final Calculation Sheet'!$I$4:$I$40=$BC$6)*($HE$6:$HE$42=1))&gt;0)</f>
        <v/>
      </c>
      <c r="HG6">
        <f>$HG$5+--($HF6)</f>
        <v/>
      </c>
      <c r="HH6">
        <f>IF(ROW()-3&gt;MAX($HG$4:$HG$40),"",INDEX($BC$4:$BC$40,MATCH(ROW()-3,$HG$4:$HG$40,0)))</f>
        <v/>
      </c>
      <c r="HI6">
        <f>IF(COUNTIF('Live Search'!BM$5:BV$5,0)+COUNTIF('Live Search'!BX$5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J6">
        <f>IF($BH$6="",FALSE,SUMPRODUCT(('Final Calculation Sheet'!$J$4:$J$40=$BH$6)*($HI$6:$HI$42=1))&gt;0)</f>
        <v/>
      </c>
      <c r="HK6">
        <f>$HK$5+--($HJ6)</f>
        <v/>
      </c>
      <c r="HL6">
        <f>IF(ROW()-3&gt;MAX($HK$4:$HK$40),"",INDEX($BH$4:$BH$40,MATCH(ROW()-3,$HK$4:$HK$40,0)))</f>
        <v/>
      </c>
      <c r="HM6">
        <f>IF(COUNTIF('Live Search'!BM$5:BW$5,0)+COUNTIF('Live Search'!BY$5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N6">
        <f>IF($BM$6="",FALSE,SUMPRODUCT(('Final Calculation Sheet'!$K$4:$K$40=$BM$6)*($HM$6:$HM$42=1))&gt;0)</f>
        <v/>
      </c>
      <c r="HO6">
        <f>$HO$5+--($HN6)</f>
        <v/>
      </c>
      <c r="HP6">
        <f>IF(ROW()-3&gt;MAX($HO$4:$HO$40),"",INDEX($BM$4:$BM$40,MATCH(ROW()-3,$HO$4:$HO$40,0)))</f>
        <v/>
      </c>
      <c r="HQ6">
        <f>IF(COUNTIF('Live Search'!BM$5:BX$5,0)+COUNTIF('Live Search'!BZ$5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R6">
        <f>IF($BR$6="",FALSE,SUMPRODUCT(('Final Calculation Sheet'!$L$4:$L$40=$BR$6)*($HQ$6:$HQ$42=1))&gt;0)</f>
        <v/>
      </c>
      <c r="HS6">
        <f>$HS$5+--($HR6)</f>
        <v/>
      </c>
      <c r="HT6">
        <f>IF(ROW()-3&gt;MAX($HS$4:$HS$40),"",INDEX($BR$4:$BR$40,MATCH(ROW()-3,$HS$4:$HS$40,0)))</f>
        <v/>
      </c>
      <c r="HU6">
        <f>IF(COUNTIF('Live Search'!BM$5:BY$5,0)+COUNTIF('Live Search'!CA$5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V6">
        <f>IF($BW$6="",FALSE,SUMPRODUCT(('Final Calculation Sheet'!$M$4:$M$40=$BW$6)*($HU$6:$HU$42=1))&gt;0)</f>
        <v/>
      </c>
      <c r="HW6">
        <f>$HW$5+--($HV6)</f>
        <v/>
      </c>
      <c r="HX6">
        <f>IF(ROW()-3&gt;MAX($HW$4:$HW$40),"",INDEX($BW$4:$BW$40,MATCH(ROW()-3,$HW$4:$HW$40,0)))</f>
        <v/>
      </c>
      <c r="HY6">
        <f>IF(COUNTIF('Live Search'!BM$5:BZ$5,0)+COUNTIF('Live Search'!CB$5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HZ6">
        <f>IF($CB$6="",FALSE,SUMPRODUCT(('Final Calculation Sheet'!$N$4:$N$40=$CB$6)*($HY$6:$HY$42=1))&gt;0)</f>
        <v/>
      </c>
      <c r="IA6">
        <f>$IA$5+--($HZ6)</f>
        <v/>
      </c>
      <c r="IB6">
        <f>IF(ROW()-3&gt;MAX($IA$4:$IA$40),"",INDEX($CB$4:$CB$40,MATCH(ROW()-3,$IA$4:$IA$40,0)))</f>
        <v/>
      </c>
      <c r="IC6">
        <f>IF(COUNTIF('Live Search'!BM$5:CA$5,0)+COUNTIF('Live Search'!CC$5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D6">
        <f>IF($CG$6="",FALSE,SUMPRODUCT(('Final Calculation Sheet'!$O$4:$O$40=$CG$6)*($IC$6:$IC$42=1))&gt;0)</f>
        <v/>
      </c>
      <c r="IE6">
        <f>$IE$5+--($ID6)</f>
        <v/>
      </c>
      <c r="IF6">
        <f>IF(ROW()-3&gt;MAX($IE$4:$IE$40),"",INDEX($CG$4:$CG$40,MATCH(ROW()-3,$IE$4:$IE$40,0)))</f>
        <v/>
      </c>
      <c r="IG6">
        <f>IF(COUNTIF('Live Search'!BM$5:CB$5,0)+COUNTIF('Live Search'!CD$5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H6">
        <f>IF($CL$6="",FALSE,SUMPRODUCT(('Final Calculation Sheet'!$P$4:$P$40=$CL$6)*($IG$6:$IG$42=1))&gt;0)</f>
        <v/>
      </c>
      <c r="II6">
        <f>$II$5+--($IH6)</f>
        <v/>
      </c>
      <c r="IJ6">
        <f>IF(ROW()-3&gt;MAX($II$4:$II$40),"",INDEX($CL$4:$CL$40,MATCH(ROW()-3,$II$4:$II$40,0)))</f>
        <v/>
      </c>
      <c r="IK6">
        <f>IF(COUNTIF('Live Search'!BM$5:CC$5,0)+COUNTIF('Live Search'!CE$5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L6">
        <f>IF($CQ$6="",FALSE,SUMPRODUCT(('Final Calculation Sheet'!$Q$4:$Q$40=$CQ$6)*($IK$6:$IK$42=1))&gt;0)</f>
        <v/>
      </c>
      <c r="IM6">
        <f>$IM$5+--($IL6)</f>
        <v/>
      </c>
      <c r="IN6">
        <f>IF(ROW()-3&gt;MAX($IM$4:$IM$40),"",INDEX($CQ$4:$CQ$40,MATCH(ROW()-3,$IM$4:$IM$40,0)))</f>
        <v/>
      </c>
      <c r="IO6">
        <f>IF(COUNTIF('Live Search'!BM$5:CD$5,0)+COUNTIF('Live Search'!CF$5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P6">
        <f>IF($CV$6="",FALSE,SUMPRODUCT(('Final Calculation Sheet'!$R$4:$R$40=$CV$6)*($IO$6:$IO$42=1))&gt;0)</f>
        <v/>
      </c>
      <c r="IQ6">
        <f>$IQ$5+--($IP6)</f>
        <v/>
      </c>
      <c r="IR6">
        <f>IF(ROW()-3&gt;MAX($IQ$4:$IQ$40),"",INDEX($CV$4:$CV$40,MATCH(ROW()-3,$IQ$4:$IQ$40,0)))</f>
        <v/>
      </c>
      <c r="IS6">
        <f>IF(COUNTIF('Live Search'!BM$5:CE$5,0)+COUNTIF('Live Search'!CG$5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T6">
        <f>IF($DA$6="",FALSE,SUMPRODUCT(('Final Calculation Sheet'!$S$4:$S$40=$DA$6)*($IS$6:$IS$42=1))&gt;0)</f>
        <v/>
      </c>
      <c r="IU6">
        <f>$IU$5+--($IT6)</f>
        <v/>
      </c>
      <c r="IV6">
        <f>IF(ROW()-3&gt;MAX($IU$4:$IU$40),"",INDEX($DA$4:$DA$40,MATCH(ROW()-3,$IU$4:$IU$40,0)))</f>
        <v/>
      </c>
      <c r="IW6">
        <f>IF(COUNTIF('Live Search'!BM$5:CF$5,0)+COUNTIF('Live Search'!CH$5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IX6">
        <f>IF($DF$6="",FALSE,SUMPRODUCT(('Final Calculation Sheet'!$T$4:$T$40=$DF$6)*($IW$6:$IW$42=1))&gt;0)</f>
        <v/>
      </c>
      <c r="IY6">
        <f>$IY$5+--($IX6)</f>
        <v/>
      </c>
      <c r="IZ6">
        <f>IF(ROW()-3&gt;MAX($IY$4:$IY$40),"",INDEX($DF$4:$DF$40,MATCH(ROW()-3,$IY$4:$IY$40,0)))</f>
        <v/>
      </c>
      <c r="JA6">
        <f>IF(COUNTIF('Live Search'!BM$5:CG$5,0)+COUNTIF('Live Search'!CI$5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B6">
        <f>IF($DK$6="",FALSE,SUMPRODUCT(('Final Calculation Sheet'!$U$4:$U$40=$DK$6)*($JA$6:$JA$42=1))&gt;0)</f>
        <v/>
      </c>
      <c r="JC6">
        <f>$JC$5+--($JB6)</f>
        <v/>
      </c>
      <c r="JD6">
        <f>IF(ROW()-3&gt;MAX($JC$4:$JC$40),"",INDEX($DK$4:$DK$40,MATCH(ROW()-3,$JC$4:$JC$40,0)))</f>
        <v/>
      </c>
      <c r="JE6">
        <f>IF(COUNTIF('Live Search'!BM$5:CH$5,0)+COUNTIF('Live Search'!CJ$5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F6">
        <f>IF($DP$6="",FALSE,SUMPRODUCT(('Final Calculation Sheet'!$V$4:$V$40=$DP$6)*($JE$6:$JE$42=1))&gt;0)</f>
        <v/>
      </c>
      <c r="JG6">
        <f>$JG$5+--($JF6)</f>
        <v/>
      </c>
      <c r="JH6">
        <f>IF(ROW()-3&gt;MAX($JG$4:$JG$40),"",INDEX($DP$4:$DP$40,MATCH(ROW()-3,$JG$4:$JG$40,0)))</f>
        <v/>
      </c>
      <c r="JI6">
        <f>IF(COUNTIF('Live Search'!BM$5:CI$5,0)+COUNTIF('Live Search'!CK$5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J6">
        <f>IF($DU$6="",FALSE,SUMPRODUCT(('Final Calculation Sheet'!$W$4:$W$40=$DU$6)*($JI$6:$JI$42=1))&gt;0)</f>
        <v/>
      </c>
      <c r="JK6">
        <f>$JK$5+--($JJ6)</f>
        <v/>
      </c>
      <c r="JL6">
        <f>IF(ROW()-3&gt;MAX($JK$4:$JK$40),"",INDEX($DU$4:$DU$40,MATCH(ROW()-3,$JK$4:$JK$40,0)))</f>
        <v/>
      </c>
      <c r="JM6">
        <f>IF(COUNTIF('Live Search'!BM$5:CJ$5,0)+COUNTIF('Live Search'!CL$5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N6">
        <f>IF($DZ$6="",FALSE,SUMPRODUCT(('Final Calculation Sheet'!$X$4:$X$40=$DZ$6)*($JM$6:$JM$42=1))&gt;0)</f>
        <v/>
      </c>
      <c r="JO6">
        <f>$JO$5+--($JN6)</f>
        <v/>
      </c>
      <c r="JP6">
        <f>IF(ROW()-3&gt;MAX($JO$4:$JO$40),"",INDEX($DZ$4:$DZ$40,MATCH(ROW()-3,$JO$4:$JO$40,0)))</f>
        <v/>
      </c>
      <c r="JQ6">
        <f>IF(COUNTIF('Live Search'!BM$5:CK$5,0)+COUNTIF('Live Search'!C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R6">
        <f>IF($EE$6="",FALSE,SUMPRODUCT(('Final Calculation Sheet'!$Y$4:$Y$40=$EE$6)*($JQ$6:$JQ$42=1))&gt;0)</f>
        <v/>
      </c>
      <c r="JS6">
        <f>$JS$5+--($JR6)</f>
        <v/>
      </c>
      <c r="JT6">
        <f>IF(ROW()-3&gt;MAX($JS$4:$JS$40),"",INDEX($EE$4:$EE$40,MATCH(ROW()-3,$JS$4:$JS$40,0)))</f>
        <v/>
      </c>
      <c r="JU6">
        <f>IF(COUNTIF('Live Search'!BM$5:CL$5,0)+COUNTIF('Live Search'!CN$5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V6">
        <f>IF($EJ$6="",FALSE,SUMPRODUCT(('Final Calculation Sheet'!$Z$4:$Z$40=$EJ$6)*($JU$6:$JU$42=1))&gt;0)</f>
        <v/>
      </c>
      <c r="JW6">
        <f>$JW$5+--($JV6)</f>
        <v/>
      </c>
      <c r="JX6">
        <f>IF(ROW()-3&gt;MAX($JW$4:$JW$40),"",INDEX($EJ$4:$EJ$40,MATCH(ROW()-3,$JW$4:$JW$40,0)))</f>
        <v/>
      </c>
      <c r="JY6">
        <f>IF(COUNTIF('Live Search'!BM$5:CM$5,0)+COUNTIF('Live Search'!CO$5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JZ6">
        <f>IF($EO$6="",FALSE,SUMPRODUCT(('Final Calculation Sheet'!$AA$4:$AA$40=$EO$6)*($JY$6:$JY$42=1))&gt;0)</f>
        <v/>
      </c>
      <c r="KA6">
        <f>$KA$5+--($JZ6)</f>
        <v/>
      </c>
      <c r="KB6">
        <f>IF(ROW()-3&gt;MAX($KA$4:$KA$40),"",INDEX($EO$4:$EO$40,MATCH(ROW()-3,$KA$4:$KA$40,0)))</f>
        <v/>
      </c>
      <c r="KC6">
        <f>IF(COUNTIF('Live Search'!BM$5:CN$5,0)+COUNTIF('Live Search'!CP$5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D6">
        <f>IF($ET$6="",FALSE,SUMPRODUCT(('Final Calculation Sheet'!$AB$4:$AB$40=$ET$6)*($KC$6:$KC$42=1))&gt;0)</f>
        <v/>
      </c>
      <c r="KE6">
        <f>$KE$5+--($KD6)</f>
        <v/>
      </c>
      <c r="KF6">
        <f>IF(ROW()-3&gt;MAX($KE$4:$KE$40),"",INDEX($ET$4:$ET$40,MATCH(ROW()-3,$KE$4:$KE$40,0)))</f>
        <v/>
      </c>
      <c r="KG6">
        <f>IF(COUNTIF('Live Search'!BM$5:CO$5,0)+COUNTIF('Live Search'!CQ$5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H6">
        <f>IF($EY$6="",FALSE,SUMPRODUCT(('Final Calculation Sheet'!$AC$4:$AC$40=$EY$6)*($KG$6:$KG$42=1))&gt;0)</f>
        <v/>
      </c>
      <c r="KI6">
        <f>$KI$5+--($KH6)</f>
        <v/>
      </c>
      <c r="KJ6">
        <f>IF(ROW()-3&gt;MAX($KI$4:$KI$40),"",INDEX($EY$4:$EY$40,MATCH(ROW()-3,$KI$4:$KI$40,0)))</f>
        <v/>
      </c>
      <c r="KK6">
        <f>IF(COUNTIF('Live Search'!BM$5:CP$5,0)+COUNTIF('Live Search'!CR$5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L6">
        <f>IF($FD$6="",FALSE,SUMPRODUCT(('Final Calculation Sheet'!$AD$4:$AD$40=$FD$6)*($KK$6:$KK$42=1))&gt;0)</f>
        <v/>
      </c>
      <c r="KM6">
        <f>$KM$5+--($KL6)</f>
        <v/>
      </c>
      <c r="KN6">
        <f>IF(ROW()-3&gt;MAX($KM$4:$KM$40),"",INDEX($FD$4:$FD$40,MATCH(ROW()-3,$KM$4:$KM$40,0)))</f>
        <v/>
      </c>
      <c r="KO6">
        <f>IF(COUNTIF('Live Search'!BM$5:CT$5,0)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P6">
        <f>IF($FX$6="",FALSE,SUMPRODUCT((IF('Final Calculation Sheet'!$AD$4:$AD$40&lt;=5,"SETTLED","OUTSTANDING")=$FX$6)*($KO$6:$KO$42=1))&gt;0)</f>
        <v/>
      </c>
      <c r="KQ6">
        <f>$KQ$5+--($KP6)</f>
        <v/>
      </c>
      <c r="KR6">
        <f>IF(ROW()-3&gt;MAX($KQ$4:$KQ$40),"",INDEX($FX$4:$FX$40,MATCH(ROW()-3,$KQ$4:$KQ$40,0)))</f>
        <v/>
      </c>
      <c r="KS6">
        <f>IF(COUNTIF('Live Search'!BM$5:CQ$5,0)+COUNTIF('Live Search'!CS$5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T6">
        <f>IF($FI$6="",FALSE,SUMPRODUCT(('Final Calculation Sheet'!$AF$4:$AF$40=$FI$6)*($KS$6:$KS$42=1))&gt;0)</f>
        <v/>
      </c>
      <c r="KU6">
        <f>$KU$5+--($KT6)</f>
        <v/>
      </c>
      <c r="KV6">
        <f>IF(ROW()-3&gt;MAX($KU$4:$KU$40),"",INDEX($FI$4:$FI$40,MATCH(ROW()-3,$KU$4:$KU$40,0)))</f>
        <v/>
      </c>
      <c r="KW6">
        <f>IF(COUNTIF('Live Search'!BM$5:CR$5,0)+COUNTIF('Live Search'!CT$5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KX6">
        <f>IF($FN$6="",FALSE,SUMPRODUCT(('Final Calculation Sheet'!$AG$4:$AG$40=$FN$6)*($KW$6:$KW$42=1))&gt;0)</f>
        <v/>
      </c>
      <c r="KY6">
        <f>$KY$5+--($KX6)</f>
        <v/>
      </c>
      <c r="KZ6">
        <f>IF(ROW()-3&gt;MAX($KY$4:$KY$40),"",INDEX($FN$4:$FN$40,MATCH(ROW()-3,$KY$4:$KY$40,0)))</f>
        <v/>
      </c>
      <c r="LA6">
        <f>IF(COUNTIF('Live Search'!BM$5:CS$5,0)+COUNTIF('Live Search'!CU$5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LB6">
        <f>IF($FS$6="",FALSE,SUMPRODUCT(('Final Calculation Sheet'!$AH$4:$AH$40=$FS$6)*($LA$6:$LA$42=1))&gt;0)</f>
        <v/>
      </c>
      <c r="LC6">
        <f>$LC$5+--($LB6)</f>
        <v/>
      </c>
      <c r="LD6">
        <f>IF(ROW()-3&gt;MAX($LC$4:$LC$40),"",INDEX($FS$4:$FS$40,MATCH(ROW()-3,$LC$4:$LC$40,0)))</f>
        <v/>
      </c>
      <c r="LE6">
        <f>IF(COUNTIF('Buyer Groups'!DH59:EN59,0)&gt;0,0,1)</f>
        <v/>
      </c>
      <c r="LF6">
        <f>IF($O$6="",FALSE,SUMPRODUCT(('Final Calculation Sheet'!$F$4:$F$40=$O$6)*($LE$6:$LE$42=1))&gt;0)</f>
        <v/>
      </c>
      <c r="LG6">
        <f>$LG$5+--($LF6)</f>
        <v/>
      </c>
      <c r="LH6">
        <f>IF(ROW()-3&gt;MAX($LG$4:$LG$40),"",INDEX($O$4:$O$40,MATCH(ROW()-3,$LG$4:$LG$40,0)))</f>
        <v/>
      </c>
      <c r="LI6">
        <f>IF(COUNTIF('Buyer Groups'!DG59:DG59,0)+COUNTIF('Buyer Groups'!DI59:EN59,0)&gt;0,0,1)</f>
        <v/>
      </c>
      <c r="LJ6">
        <f>IF($T$6="",FALSE,SUMPRODUCT(('Final Calculation Sheet'!$G$4:$G$40=$T$6)*($LI$6:$LI$42=1))&gt;0)</f>
        <v/>
      </c>
      <c r="LK6">
        <f>$LK$5+--($LJ6)</f>
        <v/>
      </c>
      <c r="LL6">
        <f>IF(ROW()-3&gt;MAX($LK$4:$LK$40),"",INDEX($T$4:$T$40,MATCH(ROW()-3,$LK$4:$LK$40,0)))</f>
        <v/>
      </c>
      <c r="LM6">
        <f>IF(COUNTIF('Buyer Groups'!DG59:DH59,0)+COUNTIF('Buyer Groups'!DJ59:EN59,0)&gt;0,0,1)</f>
        <v/>
      </c>
      <c r="LN6">
        <f>IF($Y$6="",FALSE,SUMPRODUCT(('Final Calculation Sheet'!$B$4:$B$40=$Y$6)*($LM$6:$LM$42=1))&gt;0)</f>
        <v/>
      </c>
      <c r="LO6">
        <f>$LO$5+--($LN6)</f>
        <v/>
      </c>
      <c r="LP6">
        <f>IF(ROW()-3&gt;MAX($LO$4:$LO$40),"",INDEX($Y$4:$Y$40,MATCH(ROW()-3,$LO$4:$LO$40,0)))</f>
        <v/>
      </c>
      <c r="LQ6">
        <f>IF(COUNTIF('Buyer Groups'!DG59:DI59,0)+COUNTIF('Buyer Groups'!DK59:EN59,0)&gt;0,0,1)</f>
        <v/>
      </c>
      <c r="LR6">
        <f>IF($AD$6="",FALSE,SUMPRODUCT(('Final Calculation Sheet'!$D$4:$D$40=$AD$6)*($LQ$6:$LQ$42=1))&gt;0)</f>
        <v/>
      </c>
      <c r="LS6">
        <f>$LS$5+--($LR6)</f>
        <v/>
      </c>
      <c r="LT6">
        <f>IF(ROW()-3&gt;MAX($LS$4:$LS$40),"",INDEX($AD$4:$AD$40,MATCH(ROW()-3,$LS$4:$LS$40,0)))</f>
        <v/>
      </c>
      <c r="LU6">
        <f>IF(COUNTIF('Buyer Groups'!DG59:DJ59,0)+COUNTIF('Buyer Groups'!DL59:EN59,0)&gt;0,0,1)</f>
        <v/>
      </c>
      <c r="LV6">
        <f>IF($AI$6="",FALSE,SUMPRODUCT(('Final Calculation Sheet'!$A$4:$A$40=$AI$6)*($LU$6:$LU$42=1))&gt;0)</f>
        <v/>
      </c>
      <c r="LW6">
        <f>$LW$5+--($LV6)</f>
        <v/>
      </c>
      <c r="LX6">
        <f>IF(ROW()-3&gt;MAX($LW$4:$LW$40),"",INDEX($AI$4:$AI$40,MATCH(ROW()-3,$LW$4:$LW$40,0)))</f>
        <v/>
      </c>
      <c r="LY6">
        <f>IF(COUNTIF('Buyer Groups'!DG59:DK59,0)+COUNTIF('Buyer Groups'!DM59:EN59,0)&gt;0,0,1)</f>
        <v/>
      </c>
      <c r="LZ6">
        <f>IF($AN$6="",FALSE,SUMPRODUCT(('Final Calculation Sheet'!$E$4:$E$40=$AN$6)*($LY$6:$LY$42=1))&gt;0)</f>
        <v/>
      </c>
      <c r="MA6">
        <f>$MA$5+--($LZ6)</f>
        <v/>
      </c>
      <c r="MB6">
        <f>IF(ROW()-3&gt;MAX($MA$4:$MA$40),"",INDEX($AN$4:$AN$40,MATCH(ROW()-3,$MA$4:$MA$40,0)))</f>
        <v/>
      </c>
      <c r="MC6">
        <f>IF(COUNTIF('Buyer Groups'!DG59:DL59,0)+COUNTIF('Buyer Groups'!DN59:EN59,0)&gt;0,0,1)</f>
        <v/>
      </c>
      <c r="MD6">
        <f>IF($AS$6="",FALSE,SUMPRODUCT(('Final Calculation Sheet'!$C$4:$C$40=$AS$6)*($MC$6:$MC$42=1))&gt;0)</f>
        <v/>
      </c>
      <c r="ME6">
        <f>$ME$5+--($MD6)</f>
        <v/>
      </c>
      <c r="MF6">
        <f>IF(ROW()-3&gt;MAX($ME$4:$ME$40),"",INDEX($AS$4:$AS$40,MATCH(ROW()-3,$ME$4:$ME$40,0)))</f>
        <v/>
      </c>
      <c r="MG6">
        <f>IF(COUNTIF('Buyer Groups'!DG59:DM59,0)+COUNTIF('Buyer Groups'!DO59:EN59,0)&gt;0,0,1)</f>
        <v/>
      </c>
      <c r="MH6">
        <f>IF($AX$6="",FALSE,SUMPRODUCT(('Final Calculation Sheet'!$H$4:$H$40=$AX$6)*($MG$6:$MG$42=1))&gt;0)</f>
        <v/>
      </c>
      <c r="MI6">
        <f>$MI$5+--($MH6)</f>
        <v/>
      </c>
      <c r="MJ6">
        <f>IF(ROW()-3&gt;MAX($MI$4:$MI$40),"",INDEX($AX$4:$AX$40,MATCH(ROW()-3,$MI$4:$MI$40,0)))</f>
        <v/>
      </c>
      <c r="MK6">
        <f>IF(COUNTIF('Buyer Groups'!DG59:DN59,0)+COUNTIF('Buyer Groups'!DP59:EN59,0)&gt;0,0,1)</f>
        <v/>
      </c>
      <c r="ML6">
        <f>IF($BC$6="",FALSE,SUMPRODUCT(('Final Calculation Sheet'!$I$4:$I$40=$BC$6)*($MK$6:$MK$42=1))&gt;0)</f>
        <v/>
      </c>
      <c r="MM6">
        <f>$MM$5+--($ML6)</f>
        <v/>
      </c>
      <c r="MN6">
        <f>IF(ROW()-3&gt;MAX($MM$4:$MM$40),"",INDEX($BC$4:$BC$40,MATCH(ROW()-3,$MM$4:$MM$40,0)))</f>
        <v/>
      </c>
      <c r="MO6">
        <f>IF(COUNTIF('Buyer Groups'!DG59:DO59,0)+COUNTIF('Buyer Groups'!DQ59:EN59,0)&gt;0,0,1)</f>
        <v/>
      </c>
      <c r="MP6">
        <f>IF($BH$6="",FALSE,SUMPRODUCT(('Final Calculation Sheet'!$J$4:$J$40=$BH$6)*($MO$6:$MO$42=1))&gt;0)</f>
        <v/>
      </c>
      <c r="MQ6">
        <f>$MQ$5+--($MP6)</f>
        <v/>
      </c>
      <c r="MR6">
        <f>IF(ROW()-3&gt;MAX($MQ$4:$MQ$40),"",INDEX($BH$4:$BH$40,MATCH(ROW()-3,$MQ$4:$MQ$40,0)))</f>
        <v/>
      </c>
      <c r="MS6">
        <f>IF(COUNTIF('Buyer Groups'!DG59:DP59,0)+COUNTIF('Buyer Groups'!DR59:EN59,0)&gt;0,0,1)</f>
        <v/>
      </c>
      <c r="MT6">
        <f>IF($BM$6="",FALSE,SUMPRODUCT(('Final Calculation Sheet'!$K$4:$K$40=$BM$6)*($MS$6:$MS$42=1))&gt;0)</f>
        <v/>
      </c>
      <c r="MU6">
        <f>$MU$5+--($MT6)</f>
        <v/>
      </c>
      <c r="MV6">
        <f>IF(ROW()-3&gt;MAX($MU$4:$MU$40),"",INDEX($BM$4:$BM$40,MATCH(ROW()-3,$MU$4:$MU$40,0)))</f>
        <v/>
      </c>
      <c r="MW6">
        <f>IF(COUNTIF('Buyer Groups'!DG59:DQ59,0)+COUNTIF('Buyer Groups'!DS59:EN59,0)&gt;0,0,1)</f>
        <v/>
      </c>
      <c r="MX6">
        <f>IF($BR$6="",FALSE,SUMPRODUCT(('Final Calculation Sheet'!$L$4:$L$40=$BR$6)*($MW$6:$MW$42=1))&gt;0)</f>
        <v/>
      </c>
      <c r="MY6">
        <f>$MY$5+--($MX6)</f>
        <v/>
      </c>
      <c r="MZ6">
        <f>IF(ROW()-3&gt;MAX($MY$4:$MY$40),"",INDEX($BR$4:$BR$40,MATCH(ROW()-3,$MY$4:$MY$40,0)))</f>
        <v/>
      </c>
      <c r="NA6">
        <f>IF(COUNTIF('Buyer Groups'!DG59:DR59,0)+COUNTIF('Buyer Groups'!DT59:EN59,0)&gt;0,0,1)</f>
        <v/>
      </c>
      <c r="NB6">
        <f>IF($BW$6="",FALSE,SUMPRODUCT(('Final Calculation Sheet'!$M$4:$M$40=$BW$6)*($NA$6:$NA$42=1))&gt;0)</f>
        <v/>
      </c>
      <c r="NC6">
        <f>$NC$5+--($NB6)</f>
        <v/>
      </c>
      <c r="ND6">
        <f>IF(ROW()-3&gt;MAX($NC$4:$NC$40),"",INDEX($BW$4:$BW$40,MATCH(ROW()-3,$NC$4:$NC$40,0)))</f>
        <v/>
      </c>
      <c r="NE6">
        <f>IF(COUNTIF('Buyer Groups'!DG59:DS59,0)+COUNTIF('Buyer Groups'!DU59:EN59,0)&gt;0,0,1)</f>
        <v/>
      </c>
      <c r="NF6">
        <f>IF($CB$6="",FALSE,SUMPRODUCT(('Final Calculation Sheet'!$N$4:$N$40=$CB$6)*($NE$6:$NE$42=1))&gt;0)</f>
        <v/>
      </c>
      <c r="NG6">
        <f>$NG$5+--($NF6)</f>
        <v/>
      </c>
      <c r="NH6">
        <f>IF(ROW()-3&gt;MAX($NG$4:$NG$40),"",INDEX($CB$4:$CB$40,MATCH(ROW()-3,$NG$4:$NG$40,0)))</f>
        <v/>
      </c>
      <c r="NI6">
        <f>IF(COUNTIF('Buyer Groups'!DG59:DT59,0)+COUNTIF('Buyer Groups'!DV59:EN59,0)&gt;0,0,1)</f>
        <v/>
      </c>
      <c r="NJ6">
        <f>IF($CG$6="",FALSE,SUMPRODUCT(('Final Calculation Sheet'!$O$4:$O$40=$CG$6)*($NI$6:$NI$42=1))&gt;0)</f>
        <v/>
      </c>
      <c r="NK6">
        <f>$NK$5+--($NJ6)</f>
        <v/>
      </c>
      <c r="NL6">
        <f>IF(ROW()-3&gt;MAX($NK$4:$NK$40),"",INDEX($CG$4:$CG$40,MATCH(ROW()-3,$NK$4:$NK$40,0)))</f>
        <v/>
      </c>
      <c r="NM6">
        <f>IF(COUNTIF('Buyer Groups'!DG59:DU59,0)+COUNTIF('Buyer Groups'!DW59:EN59,0)&gt;0,0,1)</f>
        <v/>
      </c>
      <c r="NN6">
        <f>IF($CL$6="",FALSE,SUMPRODUCT(('Final Calculation Sheet'!$P$4:$P$40=$CL$6)*($NM$6:$NM$42=1))&gt;0)</f>
        <v/>
      </c>
      <c r="NO6">
        <f>$NO$5+--($NN6)</f>
        <v/>
      </c>
      <c r="NP6">
        <f>IF(ROW()-3&gt;MAX($NO$4:$NO$40),"",INDEX($CL$4:$CL$40,MATCH(ROW()-3,$NO$4:$NO$40,0)))</f>
        <v/>
      </c>
      <c r="NQ6">
        <f>IF(COUNTIF('Buyer Groups'!DG59:DV59,0)+COUNTIF('Buyer Groups'!DX59:EN59,0)&gt;0,0,1)</f>
        <v/>
      </c>
      <c r="NR6">
        <f>IF($CQ$6="",FALSE,SUMPRODUCT(('Final Calculation Sheet'!$Q$4:$Q$40=$CQ$6)*($NQ$6:$NQ$42=1))&gt;0)</f>
        <v/>
      </c>
      <c r="NS6">
        <f>$NS$5+--($NR6)</f>
        <v/>
      </c>
      <c r="NT6">
        <f>IF(ROW()-3&gt;MAX($NS$4:$NS$40),"",INDEX($CQ$4:$CQ$40,MATCH(ROW()-3,$NS$4:$NS$40,0)))</f>
        <v/>
      </c>
      <c r="NU6">
        <f>IF(COUNTIF('Buyer Groups'!DG59:DW59,0)+COUNTIF('Buyer Groups'!DY59:EN59,0)&gt;0,0,1)</f>
        <v/>
      </c>
      <c r="NV6">
        <f>IF($CV$6="",FALSE,SUMPRODUCT(('Final Calculation Sheet'!$R$4:$R$40=$CV$6)*($NU$6:$NU$42=1))&gt;0)</f>
        <v/>
      </c>
      <c r="NW6">
        <f>$NW$5+--($NV6)</f>
        <v/>
      </c>
      <c r="NX6">
        <f>IF(ROW()-3&gt;MAX($NW$4:$NW$40),"",INDEX($CV$4:$CV$40,MATCH(ROW()-3,$NW$4:$NW$40,0)))</f>
        <v/>
      </c>
      <c r="NY6">
        <f>IF(COUNTIF('Buyer Groups'!DG59:DX59,0)+COUNTIF('Buyer Groups'!DZ59:EN59,0)&gt;0,0,1)</f>
        <v/>
      </c>
      <c r="NZ6">
        <f>IF($DA$6="",FALSE,SUMPRODUCT(('Final Calculation Sheet'!$S$4:$S$40=$DA$6)*($NY$6:$NY$42=1))&gt;0)</f>
        <v/>
      </c>
      <c r="OA6">
        <f>$OA$5+--($NZ6)</f>
        <v/>
      </c>
      <c r="OB6">
        <f>IF(ROW()-3&gt;MAX($OA$4:$OA$40),"",INDEX($DA$4:$DA$40,MATCH(ROW()-3,$OA$4:$OA$40,0)))</f>
        <v/>
      </c>
      <c r="OC6">
        <f>IF(COUNTIF('Buyer Groups'!DG59:DY59,0)+COUNTIF('Buyer Groups'!EA59:EN59,0)&gt;0,0,1)</f>
        <v/>
      </c>
      <c r="OD6">
        <f>IF($DF$6="",FALSE,SUMPRODUCT(('Final Calculation Sheet'!$T$4:$T$40=$DF$6)*($OC$6:$OC$42=1))&gt;0)</f>
        <v/>
      </c>
      <c r="OE6">
        <f>$OE$5+--($OD6)</f>
        <v/>
      </c>
      <c r="OF6">
        <f>IF(ROW()-3&gt;MAX($OE$4:$OE$40),"",INDEX($DF$4:$DF$40,MATCH(ROW()-3,$OE$4:$OE$40,0)))</f>
        <v/>
      </c>
      <c r="OG6">
        <f>IF(COUNTIF('Buyer Groups'!DG59:DZ59,0)+COUNTIF('Buyer Groups'!EB59:EN59,0)&gt;0,0,1)</f>
        <v/>
      </c>
      <c r="OH6">
        <f>IF($DK$6="",FALSE,SUMPRODUCT(('Final Calculation Sheet'!$U$4:$U$40=$DK$6)*($OG$6:$OG$42=1))&gt;0)</f>
        <v/>
      </c>
      <c r="OI6">
        <f>$OI$5+--($OH6)</f>
        <v/>
      </c>
      <c r="OJ6">
        <f>IF(ROW()-3&gt;MAX($OI$4:$OI$40),"",INDEX($DK$4:$DK$40,MATCH(ROW()-3,$OI$4:$OI$40,0)))</f>
        <v/>
      </c>
      <c r="OK6">
        <f>IF(COUNTIF('Buyer Groups'!DG59:EA59,0)+COUNTIF('Buyer Groups'!EC59:EN59,0)&gt;0,0,1)</f>
        <v/>
      </c>
      <c r="OL6">
        <f>IF($DP$6="",FALSE,SUMPRODUCT(('Final Calculation Sheet'!$V$4:$V$40=$DP$6)*($OK$6:$OK$42=1))&gt;0)</f>
        <v/>
      </c>
      <c r="OM6">
        <f>$OM$5+--($OL6)</f>
        <v/>
      </c>
      <c r="ON6">
        <f>IF(ROW()-3&gt;MAX($OM$4:$OM$40),"",INDEX($DP$4:$DP$40,MATCH(ROW()-3,$OM$4:$OM$40,0)))</f>
        <v/>
      </c>
      <c r="OO6">
        <f>IF(COUNTIF('Buyer Groups'!DG59:EB59,0)+COUNTIF('Buyer Groups'!ED59:EN59,0)&gt;0,0,1)</f>
        <v/>
      </c>
      <c r="OP6">
        <f>IF($DU$6="",FALSE,SUMPRODUCT(('Final Calculation Sheet'!$W$4:$W$40=$DU$6)*($OO$6:$OO$42=1))&gt;0)</f>
        <v/>
      </c>
      <c r="OQ6">
        <f>$OQ$5+--($OP6)</f>
        <v/>
      </c>
      <c r="OR6">
        <f>IF(ROW()-3&gt;MAX($OQ$4:$OQ$40),"",INDEX($DU$4:$DU$40,MATCH(ROW()-3,$OQ$4:$OQ$40,0)))</f>
        <v/>
      </c>
      <c r="OS6">
        <f>IF(COUNTIF('Buyer Groups'!DG59:EC59,0)+COUNTIF('Buyer Groups'!EE59:EN59,0)&gt;0,0,1)</f>
        <v/>
      </c>
      <c r="OT6">
        <f>IF($DZ$6="",FALSE,SUMPRODUCT(('Final Calculation Sheet'!$X$4:$X$40=$DZ$6)*($OS$6:$OS$42=1))&gt;0)</f>
        <v/>
      </c>
      <c r="OU6">
        <f>$OU$5+--($OT6)</f>
        <v/>
      </c>
      <c r="OV6">
        <f>IF(ROW()-3&gt;MAX($OU$4:$OU$40),"",INDEX($DZ$4:$DZ$40,MATCH(ROW()-3,$OU$4:$OU$40,0)))</f>
        <v/>
      </c>
      <c r="OW6">
        <f>IF(COUNTIF('Buyer Groups'!DG59:ED59,0)+COUNTIF('Buyer Groups'!EF59:EN59,0)&gt;0,0,1)</f>
        <v/>
      </c>
      <c r="OX6">
        <f>IF($EE$6="",FALSE,SUMPRODUCT(('Final Calculation Sheet'!$Y$4:$Y$40=$EE$6)*($OW$6:$OW$42=1))&gt;0)</f>
        <v/>
      </c>
      <c r="OY6">
        <f>$OY$5+--($OX6)</f>
        <v/>
      </c>
      <c r="OZ6">
        <f>IF(ROW()-3&gt;MAX($OY$4:$OY$40),"",INDEX($EE$4:$EE$40,MATCH(ROW()-3,$OY$4:$OY$40,0)))</f>
        <v/>
      </c>
      <c r="PA6">
        <f>IF(COUNTIF('Buyer Groups'!DG59:EE59,0)+COUNTIF('Buyer Groups'!EG59:EN59,0)&gt;0,0,1)</f>
        <v/>
      </c>
      <c r="PB6">
        <f>IF($EJ$6="",FALSE,SUMPRODUCT(('Final Calculation Sheet'!$Z$4:$Z$40=$EJ$6)*($PA$6:$PA$42=1))&gt;0)</f>
        <v/>
      </c>
      <c r="PC6">
        <f>$PC$5+--($PB6)</f>
        <v/>
      </c>
      <c r="PD6">
        <f>IF(ROW()-3&gt;MAX($PC$4:$PC$40),"",INDEX($EJ$4:$EJ$40,MATCH(ROW()-3,$PC$4:$PC$40,0)))</f>
        <v/>
      </c>
      <c r="PE6">
        <f>IF(COUNTIF('Buyer Groups'!DG59:EF59,0)+COUNTIF('Buyer Groups'!EH59:EN59,0)&gt;0,0,1)</f>
        <v/>
      </c>
      <c r="PF6">
        <f>IF($EO$6="",FALSE,SUMPRODUCT(('Final Calculation Sheet'!$AA$4:$AA$40=$EO$6)*($PE$6:$PE$42=1))&gt;0)</f>
        <v/>
      </c>
      <c r="PG6">
        <f>$PG$5+--($PF6)</f>
        <v/>
      </c>
      <c r="PH6">
        <f>IF(ROW()-3&gt;MAX($PG$4:$PG$40),"",INDEX($EO$4:$EO$40,MATCH(ROW()-3,$PG$4:$PG$40,0)))</f>
        <v/>
      </c>
      <c r="PI6">
        <f>IF(COUNTIF('Buyer Groups'!DG59:EG59,0)+COUNTIF('Buyer Groups'!EI59:EN59,0)&gt;0,0,1)</f>
        <v/>
      </c>
      <c r="PJ6">
        <f>IF($ET$6="",FALSE,SUMPRODUCT(('Final Calculation Sheet'!$AB$4:$AB$40=$ET$6)*($PI$6:$PI$42=1))&gt;0)</f>
        <v/>
      </c>
      <c r="PK6">
        <f>$PK$5+--($PJ6)</f>
        <v/>
      </c>
      <c r="PL6">
        <f>IF(ROW()-3&gt;MAX($PK$4:$PK$40),"",INDEX($ET$4:$ET$40,MATCH(ROW()-3,$PK$4:$PK$40,0)))</f>
        <v/>
      </c>
      <c r="PM6">
        <f>IF(COUNTIF('Buyer Groups'!DG59:EH59,0)+COUNTIF('Buyer Groups'!EJ59:EN59,0)&gt;0,0,1)</f>
        <v/>
      </c>
      <c r="PN6">
        <f>IF($EY$6="",FALSE,SUMPRODUCT(('Final Calculation Sheet'!$AC$4:$AC$40=$EY$6)*($PM$6:$PM$42=1))&gt;0)</f>
        <v/>
      </c>
      <c r="PO6">
        <f>$PO$5+--($PN6)</f>
        <v/>
      </c>
      <c r="PP6">
        <f>IF(ROW()-3&gt;MAX($PO$4:$PO$40),"",INDEX($EY$4:$EY$40,MATCH(ROW()-3,$PO$4:$PO$40,0)))</f>
        <v/>
      </c>
      <c r="PQ6">
        <f>IF(COUNTIF('Buyer Groups'!DG59:EI59,0)+COUNTIF('Buyer Groups'!EK59:EN59,0)&gt;0,0,1)</f>
        <v/>
      </c>
      <c r="PR6">
        <f>IF($FD$6="",FALSE,SUMPRODUCT(('Final Calculation Sheet'!$AD$4:$AD$40=$FD$6)*($PQ$6:$PQ$42=1))&gt;0)</f>
        <v/>
      </c>
      <c r="PS6">
        <f>$PS$5+--($PR6)</f>
        <v/>
      </c>
      <c r="PT6">
        <f>IF(ROW()-3&gt;MAX($PS$4:$PS$40),"",INDEX($FD$4:$FD$40,MATCH(ROW()-3,$PS$4:$PS$40,0)))</f>
        <v/>
      </c>
      <c r="PU6">
        <f>IF(COUNTIF('Buyer Groups'!DG59:EJ59,0)+COUNTIF('Buyer Groups'!EL59:EN59,0)&gt;0,0,1)</f>
        <v/>
      </c>
      <c r="PV6">
        <f>IF($FX$6="",FALSE,SUMPRODUCT((IF('Final Calculation Sheet'!$AD$4:$AD$40&lt;=5,"SETTLED","OUTSTANDING")=$FX$6)*($PU$6:$PU$42=1))&gt;0)</f>
        <v/>
      </c>
      <c r="PW6">
        <f>$PW$5+--($PV6)</f>
        <v/>
      </c>
      <c r="PX6">
        <f>IF(ROW()-3&gt;MAX($PW$4:$PW$40),"",INDEX($FX$4:$FX$40,MATCH(ROW()-3,$PW$4:$PW$40,0)))</f>
        <v/>
      </c>
      <c r="PY6">
        <f>IF(COUNTIF('Buyer Groups'!DG59:EK59,0)+COUNTIF('Buyer Groups'!EM59:EN59,0)&gt;0,0,1)</f>
        <v/>
      </c>
      <c r="PZ6">
        <f>IF($FI$6="",FALSE,SUMPRODUCT(('Final Calculation Sheet'!$AF$4:$AF$40=$FI$6)*($PY$6:$PY$42=1))&gt;0)</f>
        <v/>
      </c>
      <c r="QA6">
        <f>$QA$5+--($PZ6)</f>
        <v/>
      </c>
      <c r="QB6">
        <f>IF(ROW()-3&gt;MAX($QA$4:$QA$40),"",INDEX($FI$4:$FI$40,MATCH(ROW()-3,$QA$4:$QA$40,0)))</f>
        <v/>
      </c>
      <c r="QC6">
        <f>IF(COUNTIF('Buyer Groups'!DG59:EL59,0)+COUNTIF('Buyer Groups'!EN59:EN59,0)&gt;0,0,1)</f>
        <v/>
      </c>
      <c r="QD6">
        <f>IF($FN$6="",FALSE,SUMPRODUCT(('Final Calculation Sheet'!$AG$4:$AG$40=$FN$6)*($QC$6:$QC$42=1))&gt;0)</f>
        <v/>
      </c>
      <c r="QE6">
        <f>$QE$5+--($QD6)</f>
        <v/>
      </c>
      <c r="QF6">
        <f>IF(ROW()-3&gt;MAX($QE$4:$QE$40),"",INDEX($FN$4:$FN$40,MATCH(ROW()-3,$QE$4:$QE$40,0)))</f>
        <v/>
      </c>
      <c r="QG6">
        <f>IF(COUNTIF('Buyer Groups'!DG59:EM59,0)&gt;0,0,1)</f>
        <v/>
      </c>
      <c r="QH6">
        <f>IF($FS$6="",FALSE,SUMPRODUCT(('Final Calculation Sheet'!$AH$4:$AH$40=$FS$6)*($QG$6:$QG$42=1))&gt;0)</f>
        <v/>
      </c>
      <c r="QI6">
        <f>$QI$5+--($QH6)</f>
        <v/>
      </c>
      <c r="QJ6">
        <f>IF(ROW()-3&gt;MAX($QI$4:$QI$40),"",INDEX($FS$4:$FS$40,MATCH(ROW()-3,$QI$4:$QI$40,0)))</f>
        <v/>
      </c>
      <c r="QK6" t="str">
        <f>IF('Final Calculation Sheet'!$AH$6="","",'Final Calculation Sheet'!$AH$6)</f>
      </c>
      <c r="QL6" t="str">
        <f>IF(QK6="","",COUNTIFS(QK$4:QK$40,"&lt;"&amp;QK6,QK$4:QK$40,"&lt;&gt;"&amp;"")+COUNTIF(QK$4:QK6,QK6))</f>
      </c>
      <c r="QM6" t="str">
        <f>IF(ROW()-3&gt;COUNTIF(QK$4:QK$40,"&lt;&gt;"&amp;""),"",INDEX(QK$4:QK$40,MATCH(ROW()-3,QL$4:QL$40,0)))</f>
      </c>
      <c r="QN6" t="str">
        <f>=QN5+F(AND(QM6&lt;&gt;"",COUNTIF(QM$4:QM6,QM6)=1),1,0)</f>
      </c>
      <c r="QO6" t="str">
        <f>IF(ROW()-3&gt;MAX(QN$4:QN$40),"",INDEX(QM$4:QM$40,MATCH(ROW()-3,QN$4:QN$40,0)))</f>
      </c>
      <c r="QP6" t="str">
        <f>IF(COUNTIF('Final Calculation Sheet'!$AM6:$BS6,0)&gt;0,0,1)</f>
      </c>
      <c r="QQ6" t="str">
        <f>IF($AI$6="",FALSE,SUMPRODUCT(('Final Calculation Sheet'!$A$4:$A$40=$AI$6)*($QP$4:$QP$40=1))&gt;0)</f>
      </c>
      <c r="QR6" t="str">
        <f>=$QR5+--($QQ6)</f>
      </c>
      <c r="QS6" t="str">
        <f>IF(ROW()-3&gt;MAX($QR$4:$QR$40),"",INDEX($AI$4:$AI$40,MATCH(ROW()-3,$QR$4:$QR$40,0)))</f>
      </c>
      <c r="QT6" t="str">
        <f>IF(COUNTIF('Final Calculation Sheet'!$AL6:$AL6,0)+COUNTIF('Final Calculation Sheet'!$AN6:$BS6,0)&gt;0,0,1)</f>
      </c>
      <c r="QU6" t="str">
        <f>IF($Y$6="",FALSE,SUMPRODUCT(('Final Calculation Sheet'!$B$4:$B$40=$Y$6)*($QT$4:$QT$40=1))&gt;0)</f>
      </c>
      <c r="QV6" t="str">
        <f>=$QV5+--($QU6)</f>
      </c>
      <c r="QW6" t="str">
        <f>IF(ROW()-3&gt;MAX($QV$4:$QV$40),"",INDEX($Y$4:$Y$40,MATCH(ROW()-3,$QV$4:$QV$40,0)))</f>
      </c>
      <c r="QX6" t="str">
        <f>IF(COUNTIF('Final Calculation Sheet'!$AL6:$AM6,0)+COUNTIF('Final Calculation Sheet'!$AO6:$BS6,0)&gt;0,0,1)</f>
      </c>
      <c r="QY6" t="str">
        <f>IF($AS$6="",FALSE,SUMPRODUCT(('Final Calculation Sheet'!$C$4:$C$40=$AS$6)*($QX$4:$QX$40=1))&gt;0)</f>
      </c>
      <c r="QZ6" t="str">
        <f>=$QZ5+--($QY6)</f>
      </c>
      <c r="RA6" t="str">
        <f>IF(ROW()-3&gt;MAX($QZ$4:$QZ$40),"",INDEX($AS$4:$AS$40,MATCH(ROW()-3,$QZ$4:$QZ$40,0)))</f>
      </c>
      <c r="RB6" t="str">
        <f>IF(COUNTIF('Final Calculation Sheet'!$AL6:$AN6,0)+COUNTIF('Final Calculation Sheet'!$AP6:$BS6,0)&gt;0,0,1)</f>
      </c>
      <c r="RC6" t="str">
        <f>IF($AD$6="",FALSE,SUMPRODUCT(('Final Calculation Sheet'!$D$4:$D$40=$AD$6)*($RB$4:$RB$40=1))&gt;0)</f>
      </c>
      <c r="RD6" t="str">
        <f>=$RD5+--($RC6)</f>
      </c>
      <c r="RE6" t="str">
        <f>IF(ROW()-3&gt;MAX($RD$4:$RD$40),"",INDEX($AD$4:$AD$40,MATCH(ROW()-3,$RD$4:$RD$40,0)))</f>
      </c>
      <c r="RF6" t="str">
        <f>IF(COUNTIF('Final Calculation Sheet'!$AL6:$AO6,0)+COUNTIF('Final Calculation Sheet'!$AQ6:$BS6,0)&gt;0,0,1)</f>
      </c>
      <c r="RG6" t="str">
        <f>IF($AN$6="",FALSE,SUMPRODUCT(('Final Calculation Sheet'!$E$4:$E$40=$AN$6)*($RF$4:$RF$40=1))&gt;0)</f>
      </c>
      <c r="RH6" t="str">
        <f>=$RH5+--($RG6)</f>
      </c>
      <c r="RI6" t="str">
        <f>IF(ROW()-3&gt;MAX($RH$4:$RH$40),"",INDEX($AN$4:$AN$40,MATCH(ROW()-3,$RH$4:$RH$40,0)))</f>
      </c>
      <c r="RJ6" t="str">
        <f>IF(COUNTIF('Final Calculation Sheet'!$AL6:$AP6,0)+COUNTIF('Final Calculation Sheet'!$AR6:$BS6,0)&gt;0,0,1)</f>
      </c>
      <c r="RK6" t="str">
        <f>IF($O$6="",FALSE,SUMPRODUCT(('Final Calculation Sheet'!$F$4:$F$40=$O$6)*($RJ$4:$RJ$40=1))&gt;0)</f>
      </c>
      <c r="RL6" t="str">
        <f>=$RL5+--($RK6)</f>
      </c>
      <c r="RM6" t="str">
        <f>IF(ROW()-3&gt;MAX($RL$4:$RL$40),"",INDEX($O$4:$O$40,MATCH(ROW()-3,$RL$4:$RL$40,0)))</f>
      </c>
      <c r="RN6" t="str">
        <f>IF(COUNTIF('Final Calculation Sheet'!$AL6:$AQ6,0)+COUNTIF('Final Calculation Sheet'!$AS6:$BS6,0)&gt;0,0,1)</f>
      </c>
      <c r="RO6" t="str">
        <f>IF($T$6="",FALSE,SUMPRODUCT(('Final Calculation Sheet'!$G$4:$G$40=$T$6)*($RN$4:$RN$40=1))&gt;0)</f>
      </c>
      <c r="RP6" t="str">
        <f>=$RP5+--($RO6)</f>
      </c>
      <c r="RQ6" t="str">
        <f>IF(ROW()-3&gt;MAX($RP$4:$RP$40),"",INDEX($T$4:$T$40,MATCH(ROW()-3,$RP$4:$RP$40,0)))</f>
      </c>
      <c r="RR6" t="str">
        <f>IF(COUNTIF('Final Calculation Sheet'!$AL6:$AR6,0)+COUNTIF('Final Calculation Sheet'!$AT6:$BS6,0)&gt;0,0,1)</f>
      </c>
      <c r="RS6" t="str">
        <f>IF($AX$6="",FALSE,SUMPRODUCT(('Final Calculation Sheet'!$H$4:$H$40=$AX$6)*($RR$4:$RR$40=1))&gt;0)</f>
      </c>
      <c r="RT6" t="str">
        <f>=$RT5+--($RS6)</f>
      </c>
      <c r="RU6" t="str">
        <f>IF(ROW()-3&gt;MAX($RT$4:$RT$40),"",INDEX($AX$4:$AX$40,MATCH(ROW()-3,$RT$4:$RT$40,0)))</f>
      </c>
      <c r="RV6" t="str">
        <f>IF(COUNTIF('Final Calculation Sheet'!$AL6:$AS6,0)+COUNTIF('Final Calculation Sheet'!$AU6:$BS6,0)&gt;0,0,1)</f>
      </c>
      <c r="RW6" t="str">
        <f>IF($BC$6="",FALSE,SUMPRODUCT(('Final Calculation Sheet'!$I$4:$I$40=$BC$6)*($RV$4:$RV$40=1))&gt;0)</f>
      </c>
      <c r="RX6" t="str">
        <f>=$RX5+--($RW6)</f>
      </c>
      <c r="RY6" t="str">
        <f>IF(ROW()-3&gt;MAX($RX$4:$RX$40),"",INDEX($BC$4:$BC$40,MATCH(ROW()-3,$RX$4:$RX$40,0)))</f>
      </c>
      <c r="RZ6" t="str">
        <f>IF(COUNTIF('Final Calculation Sheet'!$AL6:$AT6,0)+COUNTIF('Final Calculation Sheet'!$AV6:$BS6,0)&gt;0,0,1)</f>
      </c>
      <c r="SA6" t="str">
        <f>IF($BH$6="",FALSE,SUMPRODUCT(('Final Calculation Sheet'!$J$4:$J$40=$BH$6)*($RZ$4:$RZ$40=1))&gt;0)</f>
      </c>
      <c r="SB6" t="str">
        <f>=$SB5+--($SA6)</f>
      </c>
      <c r="SC6" t="str">
        <f>IF(ROW()-3&gt;MAX($SB$4:$SB$40),"",INDEX($BH$4:$BH$40,MATCH(ROW()-3,$SB$4:$SB$40,0)))</f>
      </c>
      <c r="SD6" t="str">
        <f>IF(COUNTIF('Final Calculation Sheet'!$AL6:$AU6,0)+COUNTIF('Final Calculation Sheet'!$AW6:$BS6,0)&gt;0,0,1)</f>
      </c>
      <c r="SE6" t="str">
        <f>IF($BM$6="",FALSE,SUMPRODUCT(('Final Calculation Sheet'!$K$4:$K$40=$BM$6)*($SD$4:$SD$40=1))&gt;0)</f>
      </c>
      <c r="SF6" t="str">
        <f>=$SF5+--($SE6)</f>
      </c>
      <c r="SG6" t="str">
        <f>IF(ROW()-3&gt;MAX($SF$4:$SF$40),"",INDEX($BM$4:$BM$40,MATCH(ROW()-3,$SF$4:$SF$40,0)))</f>
      </c>
      <c r="SH6" t="str">
        <f>IF(COUNTIF('Final Calculation Sheet'!$AL6:$AV6,0)+COUNTIF('Final Calculation Sheet'!$AX6:$BS6,0)&gt;0,0,1)</f>
      </c>
      <c r="SI6" t="str">
        <f>IF($BR$6="",FALSE,SUMPRODUCT(('Final Calculation Sheet'!$L$4:$L$40=$BR$6)*($SH$4:$SH$40=1))&gt;0)</f>
      </c>
      <c r="SJ6" t="str">
        <f>=$SJ5+--($SI6)</f>
      </c>
      <c r="SK6" t="str">
        <f>IF(ROW()-3&gt;MAX($SJ$4:$SJ$40),"",INDEX($BR$4:$BR$40,MATCH(ROW()-3,$SJ$4:$SJ$40,0)))</f>
      </c>
      <c r="SL6" t="str">
        <f>IF(COUNTIF('Final Calculation Sheet'!$AL6:$AW6,0)+COUNTIF('Final Calculation Sheet'!$AY6:$BS6,0)&gt;0,0,1)</f>
      </c>
      <c r="SM6" t="str">
        <f>IF($BW$6="",FALSE,SUMPRODUCT(('Final Calculation Sheet'!$M$4:$M$40=$BW$6)*($SL$4:$SL$40=1))&gt;0)</f>
      </c>
      <c r="SN6" t="str">
        <f>=$SN5+--($SM6)</f>
      </c>
      <c r="SO6" t="str">
        <f>IF(ROW()-3&gt;MAX($SN$4:$SN$40),"",INDEX($BW$4:$BW$40,MATCH(ROW()-3,$SN$4:$SN$40,0)))</f>
      </c>
      <c r="SP6" t="str">
        <f>IF(COUNTIF('Final Calculation Sheet'!$AL6:$AX6,0)+COUNTIF('Final Calculation Sheet'!$AZ6:$BS6,0)&gt;0,0,1)</f>
      </c>
      <c r="SQ6" t="str">
        <f>IF($CB$6="",FALSE,SUMPRODUCT(('Final Calculation Sheet'!$N$4:$N$40=$CB$6)*($SP$4:$SP$40=1))&gt;0)</f>
      </c>
      <c r="SR6" t="str">
        <f>=$SR5+--($SQ6)</f>
      </c>
      <c r="SS6" t="str">
        <f>IF(ROW()-3&gt;MAX($SR$4:$SR$40),"",INDEX($CB$4:$CB$40,MATCH(ROW()-3,$SR$4:$SR$40,0)))</f>
      </c>
      <c r="ST6" t="str">
        <f>IF(COUNTIF('Final Calculation Sheet'!$AL6:$AY6,0)+COUNTIF('Final Calculation Sheet'!$BA6:$BS6,0)&gt;0,0,1)</f>
      </c>
      <c r="SU6" t="str">
        <f>IF($CG$6="",FALSE,SUMPRODUCT(('Final Calculation Sheet'!$O$4:$O$40=$CG$6)*($ST$4:$ST$40=1))&gt;0)</f>
      </c>
      <c r="SV6" t="str">
        <f>=$SV5+--($SU6)</f>
      </c>
      <c r="SW6" t="str">
        <f>IF(ROW()-3&gt;MAX($SV$4:$SV$40),"",INDEX($CG$4:$CG$40,MATCH(ROW()-3,$SV$4:$SV$40,0)))</f>
      </c>
      <c r="SX6" t="str">
        <f>IF(COUNTIF('Final Calculation Sheet'!$AL6:$AZ6,0)+COUNTIF('Final Calculation Sheet'!$BB6:$BS6,0)&gt;0,0,1)</f>
      </c>
      <c r="SY6" t="str">
        <f>IF($CL$6="",FALSE,SUMPRODUCT(('Final Calculation Sheet'!$P$4:$P$40=$CL$6)*($SX$4:$SX$40=1))&gt;0)</f>
      </c>
      <c r="SZ6" t="str">
        <f>=$SZ5+--($SY6)</f>
      </c>
      <c r="TA6" t="str">
        <f>IF(ROW()-3&gt;MAX($SZ$4:$SZ$40),"",INDEX($CL$4:$CL$40,MATCH(ROW()-3,$SZ$4:$SZ$40,0)))</f>
      </c>
      <c r="TB6" t="str">
        <f>IF(COUNTIF('Final Calculation Sheet'!$AL6:$BA6,0)+COUNTIF('Final Calculation Sheet'!$BC6:$BS6,0)&gt;0,0,1)</f>
      </c>
      <c r="TC6" t="str">
        <f>IF($CQ$6="",FALSE,SUMPRODUCT(('Final Calculation Sheet'!$Q$4:$Q$40=$CQ$6)*($TB$4:$TB$40=1))&gt;0)</f>
      </c>
      <c r="TD6" t="str">
        <f>=$TD5+--($TC6)</f>
      </c>
      <c r="TE6" t="str">
        <f>IF(ROW()-3&gt;MAX($TD$4:$TD$40),"",INDEX($CQ$4:$CQ$40,MATCH(ROW()-3,$TD$4:$TD$40,0)))</f>
      </c>
      <c r="TF6" t="str">
        <f>IF(COUNTIF('Final Calculation Sheet'!$AL6:$BB6,0)+COUNTIF('Final Calculation Sheet'!$BD6:$BS6,0)&gt;0,0,1)</f>
      </c>
      <c r="TG6" t="str">
        <f>IF($CV$6="",FALSE,SUMPRODUCT(('Final Calculation Sheet'!$R$4:$R$40=$CV$6)*($TF$4:$TF$40=1))&gt;0)</f>
      </c>
      <c r="TH6" t="str">
        <f>=$TH5+--($TG6)</f>
      </c>
      <c r="TI6" t="str">
        <f>IF(ROW()-3&gt;MAX($TH$4:$TH$40),"",INDEX($CV$4:$CV$40,MATCH(ROW()-3,$TH$4:$TH$40,0)))</f>
      </c>
      <c r="TJ6" t="str">
        <f>IF(COUNTIF('Final Calculation Sheet'!$AL6:$BC6,0)+COUNTIF('Final Calculation Sheet'!$BE6:$BS6,0)&gt;0,0,1)</f>
      </c>
      <c r="TK6" t="str">
        <f>IF($DA$6="",FALSE,SUMPRODUCT(('Final Calculation Sheet'!$S$4:$S$40=$DA$6)*($TJ$4:$TJ$40=1))&gt;0)</f>
      </c>
      <c r="TL6" t="str">
        <f>=$TL5+--($TK6)</f>
      </c>
      <c r="TM6" t="str">
        <f>IF(ROW()-3&gt;MAX($TL$4:$TL$40),"",INDEX($DA$4:$DA$40,MATCH(ROW()-3,$TL$4:$TL$40,0)))</f>
      </c>
      <c r="TN6" t="str">
        <f>IF(COUNTIF('Final Calculation Sheet'!$AL6:$BD6,0)+COUNTIF('Final Calculation Sheet'!$BF6:$BS6,0)&gt;0,0,1)</f>
      </c>
      <c r="TO6" t="str">
        <f>IF($DF$6="",FALSE,SUMPRODUCT(('Final Calculation Sheet'!$T$4:$T$40=$DF$6)*($TN$4:$TN$40=1))&gt;0)</f>
      </c>
      <c r="TP6" t="str">
        <f>=$TP5+--($TO6)</f>
      </c>
      <c r="TQ6" t="str">
        <f>IF(ROW()-3&gt;MAX($TP$4:$TP$40),"",INDEX($DF$4:$DF$40,MATCH(ROW()-3,$TP$4:$TP$40,0)))</f>
      </c>
      <c r="TR6" t="str">
        <f>IF(COUNTIF('Final Calculation Sheet'!$AL6:$BE6,0)+COUNTIF('Final Calculation Sheet'!$BG6:$BS6,0)&gt;0,0,1)</f>
      </c>
      <c r="TS6" t="str">
        <f>IF($DK$6="",FALSE,SUMPRODUCT(('Final Calculation Sheet'!$U$4:$U$40=$DK$6)*($TR$4:$TR$40=1))&gt;0)</f>
      </c>
      <c r="TT6" t="str">
        <f>=$TT5+--($TS6)</f>
      </c>
      <c r="TU6" t="str">
        <f>IF(ROW()-3&gt;MAX($TT$4:$TT$40),"",INDEX($DK$4:$DK$40,MATCH(ROW()-3,$TT$4:$TT$40,0)))</f>
      </c>
      <c r="TV6" t="str">
        <f>IF(COUNTIF('Final Calculation Sheet'!$AL6:$BF6,0)+COUNTIF('Final Calculation Sheet'!$BH6:$BS6,0)&gt;0,0,1)</f>
      </c>
      <c r="TW6" t="str">
        <f>IF($DP$6="",FALSE,SUMPRODUCT(('Final Calculation Sheet'!$V$4:$V$40=$DP$6)*($TV$4:$TV$40=1))&gt;0)</f>
      </c>
      <c r="TX6" t="str">
        <f>=$TX5+--($TW6)</f>
      </c>
      <c r="TY6" t="str">
        <f>IF(ROW()-3&gt;MAX($TX$4:$TX$40),"",INDEX($DP$4:$DP$40,MATCH(ROW()-3,$TX$4:$TX$40,0)))</f>
      </c>
      <c r="TZ6" t="str">
        <f>IF(COUNTIF('Final Calculation Sheet'!$AL6:$BG6,0)+COUNTIF('Final Calculation Sheet'!$BI6:$BS6,0)&gt;0,0,1)</f>
      </c>
      <c r="UA6" t="str">
        <f>IF($DU$6="",FALSE,SUMPRODUCT(('Final Calculation Sheet'!$W$4:$W$40=$DU$6)*($TZ$4:$TZ$40=1))&gt;0)</f>
      </c>
      <c r="UB6" t="str">
        <f>=$UB5+--($UA6)</f>
      </c>
      <c r="UC6" t="str">
        <f>IF(ROW()-3&gt;MAX($UB$4:$UB$40),"",INDEX($DU$4:$DU$40,MATCH(ROW()-3,$UB$4:$UB$40,0)))</f>
      </c>
      <c r="UD6" t="str">
        <f>IF(COUNTIF('Final Calculation Sheet'!$AL6:$BH6,0)+COUNTIF('Final Calculation Sheet'!$BJ6:$BS6,0)&gt;0,0,1)</f>
      </c>
      <c r="UE6" t="str">
        <f>IF($DZ$6="",FALSE,SUMPRODUCT(('Final Calculation Sheet'!$X$4:$X$40=$DZ$6)*($UD$4:$UD$40=1))&gt;0)</f>
      </c>
      <c r="UF6" t="str">
        <f>=$UF5+--($UE6)</f>
      </c>
      <c r="UG6" t="str">
        <f>IF(ROW()-3&gt;MAX($UF$4:$UF$40),"",INDEX($DZ$4:$DZ$40,MATCH(ROW()-3,$UF$4:$UF$40,0)))</f>
      </c>
      <c r="UH6" t="str">
        <f>IF(COUNTIF('Final Calculation Sheet'!$AL6:$BI6,0)+COUNTIF('Final Calculation Sheet'!$BK6:$BS6,0)&gt;0,0,1)</f>
      </c>
      <c r="UI6" t="str">
        <f>IF($EE$6="",FALSE,SUMPRODUCT(('Final Calculation Sheet'!$Y$4:$Y$40=$EE$6)*($UH$4:$UH$40=1))&gt;0)</f>
      </c>
      <c r="UJ6" t="str">
        <f>=$UJ5+--($UI6)</f>
      </c>
      <c r="UK6" t="str">
        <f>IF(ROW()-3&gt;MAX($UJ$4:$UJ$40),"",INDEX($EE$4:$EE$40,MATCH(ROW()-3,$UJ$4:$UJ$40,0)))</f>
      </c>
      <c r="UL6" t="str">
        <f>IF(COUNTIF('Final Calculation Sheet'!$AL6:$BJ6,0)+COUNTIF('Final Calculation Sheet'!$BL6:$BS6,0)&gt;0,0,1)</f>
      </c>
      <c r="UM6" t="str">
        <f>IF($EJ$6="",FALSE,SUMPRODUCT(('Final Calculation Sheet'!$Z$4:$Z$40=$EJ$6)*($UL$4:$UL$40=1))&gt;0)</f>
      </c>
      <c r="UN6" t="str">
        <f>=$UN5+--($UM6)</f>
      </c>
      <c r="UO6" t="str">
        <f>IF(ROW()-3&gt;MAX($UN$4:$UN$40),"",INDEX($EJ$4:$EJ$40,MATCH(ROW()-3,$UN$4:$UN$40,0)))</f>
      </c>
      <c r="UP6" t="str">
        <f>IF(COUNTIF('Final Calculation Sheet'!$AL6:$BK6,0)+COUNTIF('Final Calculation Sheet'!$BM6:$BS6,0)&gt;0,0,1)</f>
      </c>
      <c r="UQ6" t="str">
        <f>IF($EO$6="",FALSE,SUMPRODUCT(('Final Calculation Sheet'!$AA$4:$AA$40=$EO$6)*($UP$4:$UP$40=1))&gt;0)</f>
      </c>
      <c r="UR6" t="str">
        <f>=$UR5+--($UQ6)</f>
      </c>
      <c r="US6" t="str">
        <f>IF(ROW()-3&gt;MAX($UR$4:$UR$40),"",INDEX($EO$4:$EO$40,MATCH(ROW()-3,$UR$4:$UR$40,0)))</f>
      </c>
      <c r="UT6" t="str">
        <f>IF(COUNTIF('Final Calculation Sheet'!$AL6:$BL6,0)+COUNTIF('Final Calculation Sheet'!$BN6:$BS6,0)&gt;0,0,1)</f>
      </c>
      <c r="UU6" t="str">
        <f>IF($ET$6="",FALSE,SUMPRODUCT(('Final Calculation Sheet'!$AB$4:$AB$40=$ET$6)*($UT$4:$UT$40=1))&gt;0)</f>
      </c>
      <c r="UV6" t="str">
        <f>=$UV5+--($UU6)</f>
      </c>
      <c r="UW6" t="str">
        <f>IF(ROW()-3&gt;MAX($UV$4:$UV$40),"",INDEX($ET$4:$ET$40,MATCH(ROW()-3,$UV$4:$UV$40,0)))</f>
      </c>
      <c r="UX6" t="str">
        <f>IF(COUNTIF('Final Calculation Sheet'!$AL6:$BM6,0)+COUNTIF('Final Calculation Sheet'!$BO6:$BS6,0)&gt;0,0,1)</f>
      </c>
      <c r="UY6" t="str">
        <f>IF($EY$6="",FALSE,SUMPRODUCT(('Final Calculation Sheet'!$AC$4:$AC$40=$EY$6)*($UX$4:$UX$40=1))&gt;0)</f>
      </c>
      <c r="UZ6" t="str">
        <f>=$UZ5+--($UY6)</f>
      </c>
      <c r="VA6" t="str">
        <f>IF(ROW()-3&gt;MAX($UZ$4:$UZ$40),"",INDEX($EY$4:$EY$40,MATCH(ROW()-3,$UZ$4:$UZ$40,0)))</f>
      </c>
      <c r="VB6" t="str">
        <f>IF(COUNTIF('Final Calculation Sheet'!$AL6:$BN6,0)+COUNTIF('Final Calculation Sheet'!$BP6:$BS6,0)&gt;0,0,1)</f>
      </c>
      <c r="VC6" t="str">
        <f>IF($FD$6="",FALSE,SUMPRODUCT(('Final Calculation Sheet'!$AD$4:$AD$40=$FD$6)*($VB$4:$VB$40=1))&gt;0)</f>
      </c>
      <c r="VD6" t="str">
        <f>=$VD5+--($VC6)</f>
      </c>
      <c r="VE6" t="str">
        <f>IF(ROW()-3&gt;MAX($VD$4:$VD$40),"",INDEX($FD$4:$FD$40,MATCH(ROW()-3,$VD$4:$VD$40,0)))</f>
      </c>
      <c r="VF6" t="str">
        <f>IF(COUNTIF('Final Calculation Sheet'!$AL6:$BO6,0)+COUNTIF('Final Calculation Sheet'!$BQ6:$BS6,0)&gt;0,0,1)</f>
      </c>
      <c r="VG6" t="str">
        <f>IF($FI$6="",FALSE,SUMPRODUCT(('Final Calculation Sheet'!$AE$4:$AE$40=$FI$6)*($VF$4:$VF$40=1))&gt;0)</f>
      </c>
      <c r="VH6" t="str">
        <f>=$VH5+--($VG6)</f>
      </c>
      <c r="VI6" t="str">
        <f>IF(ROW()-3&gt;MAX($VH$4:$VH$40),"",INDEX($FI$4:$FI$40,MATCH(ROW()-3,$VH$4:$VH$40,0)))</f>
      </c>
      <c r="VJ6" t="str">
        <f>IF(COUNTIF('Final Calculation Sheet'!$AL6:$BP6,0)+COUNTIF('Final Calculation Sheet'!$BR6:$BS6,0)&gt;0,0,1)</f>
      </c>
      <c r="VK6" t="str">
        <f>IF($FN$6="",FALSE,SUMPRODUCT(('Final Calculation Sheet'!$AF$4:$AF$40=$FN$6)*($VJ$4:$VJ$40=1))&gt;0)</f>
      </c>
      <c r="VL6" t="str">
        <f>=$VL5+--($VK6)</f>
      </c>
      <c r="VM6" t="str">
        <f>IF(ROW()-3&gt;MAX($VL$4:$VL$40),"",INDEX($FN$4:$FN$40,MATCH(ROW()-3,$VL$4:$VL$40,0)))</f>
      </c>
      <c r="VN6" t="str">
        <f>IF(COUNTIF('Final Calculation Sheet'!$AL6:$BQ6,0)+COUNTIF('Final Calculation Sheet'!$BS6:$BS6,0)&gt;0,0,1)</f>
      </c>
      <c r="VO6" t="str">
        <f>IF($FS$6="",FALSE,SUMPRODUCT(('Final Calculation Sheet'!$AG$4:$AG$40=$FS$6)*($VN$4:$VN$40=1))&gt;0)</f>
      </c>
      <c r="VP6" t="str">
        <f>=$VP5+--($VO6)</f>
      </c>
      <c r="VQ6" t="str">
        <f>IF(ROW()-3&gt;MAX($VP$4:$VP$40),"",INDEX($FS$4:$FS$40,MATCH(ROW()-3,$VP$4:$VP$40,0)))</f>
      </c>
      <c r="VR6" t="str">
        <f>IF(COUNTIF('Final Calculation Sheet'!$AL6:$BR6,0)&gt;0,0,1)</f>
      </c>
      <c r="VS6" t="str">
        <f>IF($QO$6="",FALSE,SUMPRODUCT(('Final Calculation Sheet'!$AH$4:$AH$40=$QO$6)*($VR$4:$VR$40=1))&gt;0)</f>
      </c>
      <c r="VT6" t="str">
        <f>=$VT5+--($VS6)</f>
      </c>
      <c r="VU6" t="str">
        <f>IF(ROW()-3&gt;MAX($VT$4:$VT$40),"",INDEX($QO$4:$QO$40,MATCH(ROW()-3,$VT$4:$VT$40,0)))</f>
      </c>
    </row>
    <row r="7">
      <c r="A7">
        <f>IF(IFERROR('Final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IF(IFERROR('Final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s="55">
        <f>IF('Final Calculation Sheet'!$C$7="","",'Final Calculation Sheet'!$C$7)</f>
        <v/>
      </c>
      <c r="AP7">
        <f>IF(AO7="","",COUNTIFS(AO$4:AO$40,"&lt;"&amp;AO7,AO$4:AO$40,"&lt;&gt;"&amp;"")+COUNTIF(AO$4:AO7,AO7))</f>
        <v/>
      </c>
      <c r="AQ7" s="55">
        <f>IF(ROW()-3&gt;COUNTIF(AO$4:AO$40,"&lt;&gt;"&amp;""),"",INDEX(AO$4:AO$40,MATCH(ROW()-3,AP$4:AP$40,0)))</f>
        <v/>
      </c>
      <c r="AR7">
        <f>AR6+IF(AND(AQ7&lt;&gt;"",COUNTIF(AQ$4:AQ7,AQ7)=1),1,0)</f>
        <v/>
      </c>
      <c r="AS7" s="55">
        <f>IF(ROW()-3&gt;MAX(AR$4:AR$40),"",INDEX(AQ$4:AQ$40,MATCH(ROW()-3,AR$4:AR$40,0)))</f>
        <v/>
      </c>
      <c r="AT7" s="55">
        <f>IF('Final Calculation Sheet'!$H$7="","",'Final Calculation Sheet'!$H$7)</f>
        <v/>
      </c>
      <c r="AU7">
        <f>IF(AT7="","",COUNTIFS(AT$4:AT$40,"&lt;"&amp;AT7,AT$4:AT$40,"&lt;&gt;"&amp;"")+COUNTIF(AT$4:AT7,AT7))</f>
        <v/>
      </c>
      <c r="AV7" s="55">
        <f>IF(ROW()-3&gt;COUNTIF(AT$4:AT$40,"&lt;&gt;"&amp;""),"",INDEX(AT$4:AT$40,MATCH(ROW()-3,AU$4:AU$40,0)))</f>
        <v/>
      </c>
      <c r="AW7">
        <f>AW6+IF(AND(AV7&lt;&gt;"",COUNTIF(AV$4:AV7,AV7)=1),1,0)</f>
        <v/>
      </c>
      <c r="AX7" s="55">
        <f>IF(ROW()-3&gt;MAX(AW$4:AW$40),"",INDEX(AV$4:AV$40,MATCH(ROW()-3,AW$4:AW$40,0)))</f>
        <v/>
      </c>
      <c r="AY7" s="55">
        <f>IF('Final Calculation Sheet'!$I$7="","",'Final Calculation Sheet'!$I$7)</f>
        <v/>
      </c>
      <c r="AZ7">
        <f>IF(AY7="","",COUNTIFS(AY$4:AY$40,"&lt;"&amp;AY7,AY$4:AY$40,"&lt;&gt;"&amp;"")+COUNTIF(AY$4:AY7,AY7))</f>
        <v/>
      </c>
      <c r="BA7" s="55">
        <f>IF(ROW()-3&gt;COUNTIF(AY$4:AY$40,"&lt;&gt;"&amp;""),"",INDEX(AY$4:AY$40,MATCH(ROW()-3,AZ$4:AZ$40,0)))</f>
        <v/>
      </c>
      <c r="BB7">
        <f>BB6+IF(AND(BA7&lt;&gt;"",COUNTIF(BA$4:BA7,BA7)=1),1,0)</f>
        <v/>
      </c>
      <c r="BC7" s="55">
        <f>IF(ROW()-3&gt;MAX(BB$4:BB$40),"",INDEX(BA$4:BA$40,MATCH(ROW()-3,BB$4:BB$40,0)))</f>
        <v/>
      </c>
      <c r="BD7" s="55">
        <f>IF('Final Calculation Sheet'!$J$7="","",'Final Calculation Sheet'!$J$7)</f>
        <v/>
      </c>
      <c r="BE7">
        <f>IF(BD7="","",COUNTIFS(BD$4:BD$40,"&lt;"&amp;BD7,BD$4:BD$40,"&lt;&gt;"&amp;"")+COUNTIF(BD$4:BD7,BD7))</f>
        <v/>
      </c>
      <c r="BF7" s="55">
        <f>IF(ROW()-3&gt;COUNTIF(BD$4:BD$40,"&lt;&gt;"&amp;""),"",INDEX(BD$4:BD$40,MATCH(ROW()-3,BE$4:BE$40,0)))</f>
        <v/>
      </c>
      <c r="BG7">
        <f>BG6+IF(AND(BF7&lt;&gt;"",COUNTIF(BF$4:BF7,BF7)=1),1,0)</f>
        <v/>
      </c>
      <c r="BH7" s="55">
        <f>IF(ROW()-3&gt;MAX(BG$4:BG$40),"",INDEX(BF$4:BF$40,MATCH(ROW()-3,BG$4:BG$40,0)))</f>
        <v/>
      </c>
      <c r="BI7" s="55">
        <f>IF('Final Calculation Sheet'!$K$7="","",'Final Calculation Sheet'!$K$7)</f>
        <v/>
      </c>
      <c r="BJ7">
        <f>IF(BI7="","",COUNTIFS(BI$4:BI$40,"&lt;"&amp;BI7,BI$4:BI$40,"&lt;&gt;"&amp;"")+COUNTIF(BI$4:BI7,BI7))</f>
        <v/>
      </c>
      <c r="BK7" s="55">
        <f>IF(ROW()-3&gt;COUNTIF(BI$4:BI$40,"&lt;&gt;"&amp;""),"",INDEX(BI$4:BI$40,MATCH(ROW()-3,BJ$4:BJ$40,0)))</f>
        <v/>
      </c>
      <c r="BL7">
        <f>BL6+IF(AND(BK7&lt;&gt;"",COUNTIF(BK$4:BK7,BK7)=1),1,0)</f>
        <v/>
      </c>
      <c r="BM7" s="55">
        <f>IF(ROW()-3&gt;MAX(BL$4:BL$40),"",INDEX(BK$4:BK$40,MATCH(ROW()-3,BL$4:BL$40,0)))</f>
        <v/>
      </c>
      <c r="BN7" s="55">
        <f>IF('Final Calculation Sheet'!$L$7="","",'Final Calculation Sheet'!$L$7)</f>
        <v/>
      </c>
      <c r="BO7">
        <f>IF(BN7="","",COUNTIFS(BN$4:BN$40,"&lt;"&amp;BN7,BN$4:BN$40,"&lt;&gt;"&amp;"")+COUNTIF(BN$4:BN7,BN7))</f>
        <v/>
      </c>
      <c r="BP7" s="55">
        <f>IF(ROW()-3&gt;COUNTIF(BN$4:BN$40,"&lt;&gt;"&amp;""),"",INDEX(BN$4:BN$40,MATCH(ROW()-3,BO$4:BO$40,0)))</f>
        <v/>
      </c>
      <c r="BQ7">
        <f>BQ6+IF(AND(BP7&lt;&gt;"",COUNTIF(BP$4:BP7,BP7)=1),1,0)</f>
        <v/>
      </c>
      <c r="BR7" s="55">
        <f>IF(ROW()-3&gt;MAX(BQ$4:BQ$40),"",INDEX(BP$4:BP$40,MATCH(ROW()-3,BQ$4:BQ$40,0)))</f>
        <v/>
      </c>
      <c r="BS7" s="55">
        <f>IF('Final Calculation Sheet'!$M$7="","",'Final Calculation Sheet'!$M$7)</f>
        <v/>
      </c>
      <c r="BT7">
        <f>IF(BS7="","",COUNTIFS(BS$4:BS$40,"&lt;"&amp;BS7,BS$4:BS$40,"&lt;&gt;"&amp;"")+COUNTIF(BS$4:BS7,BS7))</f>
        <v/>
      </c>
      <c r="BU7" s="55">
        <f>IF(ROW()-3&gt;COUNTIF(BS$4:BS$40,"&lt;&gt;"&amp;""),"",INDEX(BS$4:BS$40,MATCH(ROW()-3,BT$4:BT$40,0)))</f>
        <v/>
      </c>
      <c r="BV7">
        <f>BV6+IF(AND(BU7&lt;&gt;"",COUNTIF(BU$4:BU7,BU7)=1),1,0)</f>
        <v/>
      </c>
      <c r="BW7" s="55">
        <f>IF(ROW()-3&gt;MAX(BV$4:BV$40),"",INDEX(BU$4:BU$40,MATCH(ROW()-3,BV$4:BV$40,0)))</f>
        <v/>
      </c>
      <c r="BX7" s="138">
        <f>IF('Final Calculation Sheet'!$N$7="","",'Final Calculation Sheet'!$N$7)</f>
        <v/>
      </c>
      <c r="BY7">
        <f>IF(BX7="","",COUNTIFS(BX$4:BX$40,"&lt;"&amp;BX7,BX$4:BX$40,"&lt;&gt;"&amp;"")+COUNTIF(BX$4:BX7,BX7))</f>
        <v/>
      </c>
      <c r="BZ7" s="138">
        <f>IF(ROW()-3&gt;COUNTIF(BX$4:BX$40,"&lt;&gt;"&amp;""),"",INDEX(BX$4:BX$40,MATCH(ROW()-3,BY$4:BY$40,0)))</f>
        <v/>
      </c>
      <c r="CA7">
        <f>CA6+IF(AND(BZ7&lt;&gt;"",COUNTIF(BZ$4:BZ7,BZ7)=1),1,0)</f>
        <v/>
      </c>
      <c r="CB7" s="138">
        <f>IF(ROW()-3&gt;MAX(CA$4:CA$40),"",INDEX(BZ$4:BZ$40,MATCH(ROW()-3,CA$4:CA$40,0)))</f>
        <v/>
      </c>
      <c r="CC7" s="55">
        <f>IF('Final Calculation Sheet'!$O$7="","",'Final Calculation Sheet'!$O$7)</f>
        <v/>
      </c>
      <c r="CD7">
        <f>IF(CC7="","",COUNTIFS(CC$4:CC$40,"&lt;"&amp;CC7,CC$4:CC$40,"&lt;&gt;"&amp;"")+COUNTIF(CC$4:CC7,CC7))</f>
        <v/>
      </c>
      <c r="CE7" s="55">
        <f>IF(ROW()-3&gt;COUNTIF(CC$4:CC$40,"&lt;&gt;"&amp;""),"",INDEX(CC$4:CC$40,MATCH(ROW()-3,CD$4:CD$40,0)))</f>
        <v/>
      </c>
      <c r="CF7">
        <f>CF6+IF(AND(CE7&lt;&gt;"",COUNTIF(CE$4:CE7,CE7)=1),1,0)</f>
        <v/>
      </c>
      <c r="CG7" s="55">
        <f>IF(ROW()-3&gt;MAX(CF$4:CF$40),"",INDEX(CE$4:CE$40,MATCH(ROW()-3,CF$4:CF$40,0)))</f>
        <v/>
      </c>
      <c r="CH7" s="55">
        <f>IF('Final Calculation Sheet'!$P$7="","",'Final Calculation Sheet'!$P$7)</f>
        <v/>
      </c>
      <c r="CI7">
        <f>IF(CH7="","",COUNTIFS(CH$4:CH$40,"&lt;"&amp;CH7,CH$4:CH$40,"&lt;&gt;"&amp;"")+COUNTIF(CH$4:CH7,CH7))</f>
        <v/>
      </c>
      <c r="CJ7" s="55">
        <f>IF(ROW()-3&gt;COUNTIF(CH$4:CH$40,"&lt;&gt;"&amp;""),"",INDEX(CH$4:CH$40,MATCH(ROW()-3,CI$4:CI$40,0)))</f>
        <v/>
      </c>
      <c r="CK7">
        <f>CK6+IF(AND(CJ7&lt;&gt;"",COUNTIF(CJ$4:CJ7,CJ7)=1),1,0)</f>
        <v/>
      </c>
      <c r="CL7" s="55">
        <f>IF(ROW()-3&gt;MAX(CK$4:CK$40),"",INDEX(CJ$4:CJ$40,MATCH(ROW()-3,CK$4:CK$40,0)))</f>
        <v/>
      </c>
      <c r="CM7" s="139">
        <f>IF('Final Calculation Sheet'!$Q$7="","",'Final Calculation Sheet'!$Q$7)</f>
        <v/>
      </c>
      <c r="CN7">
        <f>IF(CM7="","",COUNTIFS(CM$4:CM$40,"&lt;"&amp;CM7,CM$4:CM$40,"&lt;&gt;"&amp;"")+COUNTIF(CM$4:CM7,CM7))</f>
        <v/>
      </c>
      <c r="CO7" s="139">
        <f>IF(ROW()-3&gt;COUNTIF(CM$4:CM$40,"&lt;&gt;"&amp;""),"",INDEX(CM$4:CM$40,MATCH(ROW()-3,CN$4:CN$40,0)))</f>
        <v/>
      </c>
      <c r="CP7">
        <f>CP6+IF(AND(CO7&lt;&gt;"",COUNTIF(CO$4:CO7,CO7)=1),1,0)</f>
        <v/>
      </c>
      <c r="CQ7">
        <f>IF(ROW()-3&gt;MAX(CP$4:CP$40),"",INDEX(CO$4:CO$40,MATCH(ROW()-3,CP$4:CP$40,0)))</f>
        <v/>
      </c>
      <c r="CR7" s="55">
        <f>IF('Final Calculation Sheet'!$R$7="","",'Final Calculation Sheet'!$R$7)</f>
        <v/>
      </c>
      <c r="CS7">
        <f>IF(CR7="","",COUNTIFS(CR$4:CR$40,"&lt;"&amp;CR7,CR$4:CR$40,"&lt;&gt;"&amp;"")+COUNTIF(CR$4:CR7,CR7))</f>
        <v/>
      </c>
      <c r="CT7" s="55">
        <f>IF(ROW()-3&gt;COUNTIF(CR$4:CR$40,"&lt;&gt;"&amp;""),"",INDEX(CR$4:CR$40,MATCH(ROW()-3,CS$4:CS$40,0)))</f>
        <v/>
      </c>
      <c r="CU7">
        <f>CU6+IF(AND(CT7&lt;&gt;"",COUNTIF(CT$4:CT7,CT7)=1),1,0)</f>
        <v/>
      </c>
      <c r="CV7" s="55">
        <f>IF(ROW()-3&gt;MAX(CU$4:CU$40),"",INDEX(CT$4:CT$40,MATCH(ROW()-3,CU$4:CU$40,0)))</f>
        <v/>
      </c>
      <c r="CW7" s="55">
        <f>IF('Final Calculation Sheet'!$S$7="","",'Final Calculation Sheet'!$S$7)</f>
        <v/>
      </c>
      <c r="CX7">
        <f>IF(CW7="","",COUNTIFS(CW$4:CW$40,"&lt;"&amp;CW7,CW$4:CW$40,"&lt;&gt;"&amp;"")+COUNTIF(CW$4:CW7,CW7))</f>
        <v/>
      </c>
      <c r="CY7" s="55">
        <f>IF(ROW()-3&gt;COUNTIF(CW$4:CW$40,"&lt;&gt;"&amp;""),"",INDEX(CW$4:CW$40,MATCH(ROW()-3,CX$4:CX$40,0)))</f>
        <v/>
      </c>
      <c r="CZ7">
        <f>CZ6+IF(AND(CY7&lt;&gt;"",COUNTIF(CY$4:CY7,CY7)=1),1,0)</f>
        <v/>
      </c>
      <c r="DA7" s="55">
        <f>IF(ROW()-3&gt;MAX(CZ$4:CZ$40),"",INDEX(CY$4:CY$40,MATCH(ROW()-3,CZ$4:CZ$40,0)))</f>
        <v/>
      </c>
      <c r="DB7" s="55">
        <f>IF('Final Calculation Sheet'!$T$7="","",'Final Calculation Sheet'!$T$7)</f>
        <v/>
      </c>
      <c r="DC7">
        <f>IF(DB7="","",COUNTIFS(DB$4:DB$40,"&lt;"&amp;DB7,DB$4:DB$40,"&lt;&gt;"&amp;"")+COUNTIF(DB$4:DB7,DB7))</f>
        <v/>
      </c>
      <c r="DD7" s="55">
        <f>IF(ROW()-3&gt;COUNTIF(DB$4:DB$40,"&lt;&gt;"&amp;""),"",INDEX(DB$4:DB$40,MATCH(ROW()-3,DC$4:DC$40,0)))</f>
        <v/>
      </c>
      <c r="DE7">
        <f>DE6+IF(AND(DD7&lt;&gt;"",COUNTIF(DD$4:DD7,DD7)=1),1,0)</f>
        <v/>
      </c>
      <c r="DF7" s="55">
        <f>IF(ROW()-3&gt;MAX(DE$4:DE$40),"",INDEX(DD$4:DD$40,MATCH(ROW()-3,DE$4:DE$40,0)))</f>
        <v/>
      </c>
      <c r="DG7" s="140">
        <f>IF('Final Calculation Sheet'!$U$7="","",'Final Calculation Sheet'!$U$7)</f>
        <v/>
      </c>
      <c r="DH7">
        <f>IF(DG7="","",COUNTIFS(DG$4:DG$40,"&lt;"&amp;DG7,DG$4:DG$40,"&lt;&gt;"&amp;"")+COUNTIF(DG$4:DG7,DG7))</f>
        <v/>
      </c>
      <c r="DI7" s="140">
        <f>IF(ROW()-3&gt;COUNTIF(DG$4:DG$40,"&lt;&gt;"&amp;""),"",INDEX(DG$4:DG$40,MATCH(ROW()-3,DH$4:DH$40,0)))</f>
        <v/>
      </c>
      <c r="DJ7">
        <f>DJ6+IF(AND(DI7&lt;&gt;"",COUNTIF(DI$4:DI7,DI7)=1),1,0)</f>
        <v/>
      </c>
      <c r="DK7" s="140">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s="55">
        <f>IF('Final Calculation Sheet'!$W$7="","",'Final Calculation Sheet'!$W$7)</f>
        <v/>
      </c>
      <c r="DR7">
        <f>IF(DQ7="","",COUNTIFS(DQ$4:DQ$40,"&lt;"&amp;DQ7,DQ$4:DQ$40,"&lt;&gt;"&amp;"")+COUNTIF(DQ$4:DQ7,DQ7))</f>
        <v/>
      </c>
      <c r="DS7" s="55">
        <f>IF(ROW()-3&gt;COUNTIF(DQ$4:DQ$40,"&lt;&gt;"&amp;""),"",INDEX(DQ$4:DQ$40,MATCH(ROW()-3,DR$4:DR$40,0)))</f>
        <v/>
      </c>
      <c r="DT7">
        <f>DT6+IF(AND(DS7&lt;&gt;"",COUNTIF(DS$4:DS7,DS7)=1),1,0)</f>
        <v/>
      </c>
      <c r="DU7" s="55">
        <f>IF(ROW()-3&gt;MAX(DT$4:DT$40),"",INDEX(DS$4:DS$40,MATCH(ROW()-3,DT$4:DT$40,0)))</f>
        <v/>
      </c>
      <c r="DV7" s="55">
        <f>IF('Final Calculation Sheet'!$X$7="","",'Final Calculation Sheet'!$X$7)</f>
        <v/>
      </c>
      <c r="DW7">
        <f>IF(DV7="","",COUNTIFS(DV$4:DV$40,"&lt;"&amp;DV7,DV$4:DV$40,"&lt;&gt;"&amp;"")+COUNTIF(DV$4:DV7,DV7))</f>
        <v/>
      </c>
      <c r="DX7" s="55">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s="55">
        <f>IF('Final Calculation Sheet'!$Z$7="","",'Final Calculation Sheet'!$Z$7)</f>
        <v/>
      </c>
      <c r="EG7">
        <f>IF(EF7="","",COUNTIFS(EF$4:EF$40,"&lt;"&amp;EF7,EF$4:EF$40,"&lt;&gt;"&amp;"")+COUNTIF(EF$4:EF7,EF7))</f>
        <v/>
      </c>
      <c r="EH7" s="55">
        <f>IF(ROW()-3&gt;COUNTIF(EF$4:EF$40,"&lt;&gt;"&amp;""),"",INDEX(EF$4:EF$40,MATCH(ROW()-3,EG$4:EG$40,0)))</f>
        <v/>
      </c>
      <c r="EI7">
        <f>EI6+IF(AND(EH7&lt;&gt;"",COUNTIF(EH$4:EH7,EH7)=1),1,0)</f>
        <v/>
      </c>
      <c r="EJ7" s="55">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s="55">
        <f>IF('Final Calculation Sheet'!$AC$7="","",'Final Calculation Sheet'!$AC$7)</f>
        <v/>
      </c>
      <c r="EV7">
        <f>IF(EU7="","",COUNTIFS(EU$4:EU$40,"&lt;"&amp;EU7,EU$4:EU$40,"&lt;&gt;"&amp;"")+COUNTIF(EU$4:EU7,EU7))</f>
        <v/>
      </c>
      <c r="EW7" s="55">
        <f>IF(ROW()-3&gt;COUNTIF(EU$4:EU$40,"&lt;&gt;"&amp;""),"",INDEX(EU$4:EU$40,MATCH(ROW()-3,EV$4:EV$40,0)))</f>
        <v/>
      </c>
      <c r="EX7">
        <f>EX6+IF(AND(EW7&lt;&gt;"",COUNTIF(EW$4:EW7,EW7)=1),1,0)</f>
        <v/>
      </c>
      <c r="EY7" s="55">
        <f>IF(ROW()-3&gt;MAX(EX$4:EX$40),"",INDEX(EW$4:EW$40,MATCH(ROW()-3,EX$4:EX$40,0)))</f>
        <v/>
      </c>
      <c r="EZ7" s="55">
        <f>IF('Final Calculation Sheet'!$AD$7="","",'Final Calculation Sheet'!$AD$7)</f>
        <v/>
      </c>
      <c r="FA7">
        <f>IF(EZ7="","",COUNTIFS(EZ$4:EZ$40,"&lt;"&amp;EZ7,EZ$4:EZ$40,"&lt;&gt;"&amp;"")+COUNTIF(EZ$4:EZ7,EZ7))</f>
        <v/>
      </c>
      <c r="FB7" s="55">
        <f>IF(ROW()-3&gt;COUNTIF(EZ$4:EZ$40,"&lt;&gt;"&amp;""),"",INDEX(EZ$4:EZ$40,MATCH(ROW()-3,FA$4:FA$40,0)))</f>
        <v/>
      </c>
      <c r="FC7">
        <f>FC6+IF(AND(FB7&lt;&gt;"",COUNTIF(FB$4:FB7,FB7)=1),1,0)</f>
        <v/>
      </c>
      <c r="FD7" s="55">
        <f>IF(ROW()-3&gt;MAX(FC$4:FC$40),"",INDEX(FB$4:FB$40,MATCH(ROW()-3,FC$4:FC$40,0)))</f>
        <v/>
      </c>
      <c r="FE7">
        <f>IF('Final Calculation Sheet'!$AF$7="","",'Final Calculation Sheet'!$AF$7)</f>
        <v/>
      </c>
      <c r="FF7">
        <f>IF(FE7="","",COUNTIFS(FE$4:FE$40,"&lt;"&amp;FE7,FE$4:FE$40,"&lt;&gt;"&amp;"")+COUNTIF(FE$4:FE7,FE7))</f>
        <v/>
      </c>
      <c r="FG7">
        <f>IF(ROW()-3&gt;COUNTIF(FE$4:FE$40,"&lt;&gt;"&amp;""),"",INDEX(FE$4:FE$40,MATCH(ROW()-3,FF$4:FF$40,0)))</f>
        <v/>
      </c>
      <c r="FH7">
        <f>FH6+IF(AND(FG7&lt;&gt;"",COUNTIF(FG$4:FG7,FG7)=1),1,0)</f>
        <v/>
      </c>
      <c r="FI7">
        <f>IF(ROW()-3&gt;MAX(FH$4:FH$40),"",INDEX(FG$4:FG$40,MATCH(ROW()-3,FH$4:FH$40,0)))</f>
        <v/>
      </c>
      <c r="FJ7" s="141">
        <f>IF('Final Calculation Sheet'!$AG$7="","",'Final Calculation Sheet'!$AG$7)</f>
        <v/>
      </c>
      <c r="FK7">
        <f>IF(FJ7="","",COUNTIFS(FJ$4:FJ$40,"&lt;"&amp;FJ7,FJ$4:FJ$40,"&lt;&gt;"&amp;"")+COUNTIF(FJ$4:FJ7,FJ7))</f>
        <v/>
      </c>
      <c r="FL7" s="141">
        <f>IF(ROW()-3&gt;COUNTIF(FJ$4:FJ$40,"&lt;&gt;"&amp;""),"",INDEX(FJ$4:FJ$40,MATCH(ROW()-3,FK$4:FK$40,0)))</f>
        <v/>
      </c>
      <c r="FM7">
        <f>FM6+IF(AND(FL7&lt;&gt;"",COUNTIF(FL$4:FL7,FL7)=1),1,0)</f>
        <v/>
      </c>
      <c r="FN7">
        <f>IF(ROW()-3&gt;MAX(FM$4:FM$40),"",INDEX(FL$4:FL$40,MATCH(ROW()-3,FM$4:FM$40,0)))</f>
        <v/>
      </c>
      <c r="FO7">
        <f>IF('Final Calculation Sheet'!$AH$7="","",'Final Calculation Sheet'!$AH$7)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c r="FY7">
        <f>IF(COUNTIF('Live Search'!BM$6:BO$6,0)+COUNTIF('Live Search'!BQ$6:CU$6,0)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7">
        <f>IF($Y$7="",FALSE,SUMPRODUCT(('Final Calculation Sheet'!$B$4:$B$40=$Y$7)*($FY$6:$FY$42=1))&gt;0)</f>
        <v/>
      </c>
      <c r="GA7">
        <f>$GA$6+--($FZ$7)</f>
        <v/>
      </c>
      <c r="GB7">
        <f>IF(ROW()-3&gt;MAX($GA$4:$GA$40),"",INDEX($Y$4:$Y$40,MATCH(ROW()-3,$GA$4:$GA$40,0)))</f>
        <v/>
      </c>
      <c r="GC7">
        <f>IF(COUNTIF('Live Search'!BM$6:BM$6,0)+COUNTIF('Live Search'!BO$6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D7">
        <f>IF($O$7="",FALSE,SUMPRODUCT(('Final Calculation Sheet'!$F$4:$F$40=$O$7)*($GC$6:$GC$42=1))&gt;0)</f>
        <v/>
      </c>
      <c r="GE7">
        <f>$GE$6+--($GD7)</f>
        <v/>
      </c>
      <c r="GF7">
        <f>IF(ROW()-3&gt;MAX($GE$4:$GE$40),"",INDEX($O$4:$O$40,MATCH(ROW()-3,$GE$4:$GE$40,0)))</f>
        <v/>
      </c>
      <c r="GG7">
        <f>IF(COUNTIF('Live Search'!BM$6:BN$6,0)+COUNTIF('Live Search'!BP$6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H7">
        <f>IF($T$7="",FALSE,SUMPRODUCT(('Final Calculation Sheet'!$G$4:$G$40=$T$7)*($GG$6:$GG$42=1))&gt;0)</f>
        <v/>
      </c>
      <c r="GI7">
        <f>$GI$6+--($GH7)</f>
        <v/>
      </c>
      <c r="GJ7">
        <f>IF(ROW()-3&gt;MAX($GI$4:$GI$40),"",INDEX($T$4:$T$40,MATCH(ROW()-3,$GI$4:$GI$40,0)))</f>
        <v/>
      </c>
      <c r="GK7">
        <f>IF(COUNTIF('Live Search'!BM$6:BP$6,0)+COUNTIF('Live Search'!BR$6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L7">
        <f>IF($AD$7="",FALSE,SUMPRODUCT(('Final Calculation Sheet'!$D$4:$D$40=$AD$7)*($GK$6:$GK$42=1))&gt;0)</f>
        <v/>
      </c>
      <c r="GM7">
        <f>$GM$6+--($GL7)</f>
        <v/>
      </c>
      <c r="GN7">
        <f>IF(ROW()-3&gt;MAX($GM$4:$GM$40),"",INDEX($AD$4:$AD$40,MATCH(ROW()-3,$GM$4:$GM$40,0)))</f>
        <v/>
      </c>
      <c r="GO7">
        <f>IF(COUNTIF('Live Search'!BM$6:BQ$6,0)+COUNTIF('Live Search'!BS$6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P7">
        <f>IF($AI$7="",FALSE,SUMPRODUCT(('Final Calculation Sheet'!$A$4:$A$40=$AI$7)*($GO$6:$GO$42=1))&gt;0)</f>
        <v/>
      </c>
      <c r="GQ7">
        <f>$GQ$6+--($GP7)</f>
        <v/>
      </c>
      <c r="GR7">
        <f>IF(ROW()-3&gt;MAX($GQ$4:$GQ$40),"",INDEX($AI$4:$AI$40,MATCH(ROW()-3,$GQ$4:$GQ$40,0)))</f>
        <v/>
      </c>
      <c r="GS7">
        <f>IF(COUNTIF('Live Search'!BM$6:BR$6,0)+COUNTIF('Live Search'!BT$6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T7">
        <f>IF($AN$7="",FALSE,SUMPRODUCT(('Final Calculation Sheet'!$E$4:$E$40=$AN$7)*($GS$6:$GS$42=1))&gt;0)</f>
        <v/>
      </c>
      <c r="GU7">
        <f>$GU$6+--($GT7)</f>
        <v/>
      </c>
      <c r="GV7">
        <f>IF(ROW()-3&gt;MAX($GU$4:$GU$40),"",INDEX($AN$4:$AN$40,MATCH(ROW()-3,$GU$4:$GU$40,0)))</f>
        <v/>
      </c>
      <c r="GW7">
        <f>IF(COUNTIF('Live Search'!BM$6:BS$6,0)+COUNTIF('Live Search'!BU$6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GX7">
        <f>IF($AS$7="",FALSE,SUMPRODUCT(('Final Calculation Sheet'!$C$4:$C$40=$AS$7)*($GW$6:$GW$42=1))&gt;0)</f>
        <v/>
      </c>
      <c r="GY7">
        <f>$GY$6+--($GX7)</f>
        <v/>
      </c>
      <c r="GZ7">
        <f>IF(ROW()-3&gt;MAX($GY$4:$GY$40),"",INDEX($AS$4:$AS$40,MATCH(ROW()-3,$GY$4:$GY$40,0)))</f>
        <v/>
      </c>
      <c r="HA7">
        <f>IF(COUNTIF('Live Search'!BM$6:BT$6,0)+COUNTIF('Live Search'!BV$6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B7">
        <f>IF($AX$7="",FALSE,SUMPRODUCT(('Final Calculation Sheet'!$H$4:$H$40=$AX$7)*($HA$6:$HA$42=1))&gt;0)</f>
        <v/>
      </c>
      <c r="HC7">
        <f>$HC$6+--($HB7)</f>
        <v/>
      </c>
      <c r="HD7">
        <f>IF(ROW()-3&gt;MAX($HC$4:$HC$40),"",INDEX($AX$4:$AX$40,MATCH(ROW()-3,$HC$4:$HC$40,0)))</f>
        <v/>
      </c>
      <c r="HE7">
        <f>IF(COUNTIF('Live Search'!BM$6:BU$6,0)+COUNTIF('Live Search'!BW$6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F7">
        <f>IF($BC$7="",FALSE,SUMPRODUCT(('Final Calculation Sheet'!$I$4:$I$40=$BC$7)*($HE$6:$HE$42=1))&gt;0)</f>
        <v/>
      </c>
      <c r="HG7">
        <f>$HG$6+--($HF7)</f>
        <v/>
      </c>
      <c r="HH7">
        <f>IF(ROW()-3&gt;MAX($HG$4:$HG$40),"",INDEX($BC$4:$BC$40,MATCH(ROW()-3,$HG$4:$HG$40,0)))</f>
        <v/>
      </c>
      <c r="HI7">
        <f>IF(COUNTIF('Live Search'!BM$6:BV$6,0)+COUNTIF('Live Search'!BX$6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J7">
        <f>IF($BH$7="",FALSE,SUMPRODUCT(('Final Calculation Sheet'!$J$4:$J$40=$BH$7)*($HI$6:$HI$42=1))&gt;0)</f>
        <v/>
      </c>
      <c r="HK7">
        <f>$HK$6+--($HJ7)</f>
        <v/>
      </c>
      <c r="HL7">
        <f>IF(ROW()-3&gt;MAX($HK$4:$HK$40),"",INDEX($BH$4:$BH$40,MATCH(ROW()-3,$HK$4:$HK$40,0)))</f>
        <v/>
      </c>
      <c r="HM7">
        <f>IF(COUNTIF('Live Search'!BM$6:BW$6,0)+COUNTIF('Live Search'!BY$6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N7">
        <f>IF($BM$7="",FALSE,SUMPRODUCT(('Final Calculation Sheet'!$K$4:$K$40=$BM$7)*($HM$6:$HM$42=1))&gt;0)</f>
        <v/>
      </c>
      <c r="HO7">
        <f>$HO$6+--($HN7)</f>
        <v/>
      </c>
      <c r="HP7">
        <f>IF(ROW()-3&gt;MAX($HO$4:$HO$40),"",INDEX($BM$4:$BM$40,MATCH(ROW()-3,$HO$4:$HO$40,0)))</f>
        <v/>
      </c>
      <c r="HQ7">
        <f>IF(COUNTIF('Live Search'!BM$6:BX$6,0)+COUNTIF('Live Search'!BZ$6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R7">
        <f>IF($BR$7="",FALSE,SUMPRODUCT(('Final Calculation Sheet'!$L$4:$L$40=$BR$7)*($HQ$6:$HQ$42=1))&gt;0)</f>
        <v/>
      </c>
      <c r="HS7">
        <f>$HS$6+--($HR7)</f>
        <v/>
      </c>
      <c r="HT7">
        <f>IF(ROW()-3&gt;MAX($HS$4:$HS$40),"",INDEX($BR$4:$BR$40,MATCH(ROW()-3,$HS$4:$HS$40,0)))</f>
        <v/>
      </c>
      <c r="HU7">
        <f>IF(COUNTIF('Live Search'!BM$6:BY$6,0)+COUNTIF('Live Search'!CA$6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V7">
        <f>IF($BW$7="",FALSE,SUMPRODUCT(('Final Calculation Sheet'!$M$4:$M$40=$BW$7)*($HU$6:$HU$42=1))&gt;0)</f>
        <v/>
      </c>
      <c r="HW7">
        <f>$HW$6+--($HV7)</f>
        <v/>
      </c>
      <c r="HX7">
        <f>IF(ROW()-3&gt;MAX($HW$4:$HW$40),"",INDEX($BW$4:$BW$40,MATCH(ROW()-3,$HW$4:$HW$40,0)))</f>
        <v/>
      </c>
      <c r="HY7">
        <f>IF(COUNTIF('Live Search'!BM$6:BZ$6,0)+COUNTIF('Live Search'!CB$6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HZ7">
        <f>IF($CB$7="",FALSE,SUMPRODUCT(('Final Calculation Sheet'!$N$4:$N$40=$CB$7)*($HY$6:$HY$42=1))&gt;0)</f>
        <v/>
      </c>
      <c r="IA7">
        <f>$IA$6+--($HZ7)</f>
        <v/>
      </c>
      <c r="IB7">
        <f>IF(ROW()-3&gt;MAX($IA$4:$IA$40),"",INDEX($CB$4:$CB$40,MATCH(ROW()-3,$IA$4:$IA$40,0)))</f>
        <v/>
      </c>
      <c r="IC7">
        <f>IF(COUNTIF('Live Search'!BM$6:CA$6,0)+COUNTIF('Live Search'!CC$6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D7">
        <f>IF($CG$7="",FALSE,SUMPRODUCT(('Final Calculation Sheet'!$O$4:$O$40=$CG$7)*($IC$6:$IC$42=1))&gt;0)</f>
        <v/>
      </c>
      <c r="IE7">
        <f>$IE$6+--($ID7)</f>
        <v/>
      </c>
      <c r="IF7">
        <f>IF(ROW()-3&gt;MAX($IE$4:$IE$40),"",INDEX($CG$4:$CG$40,MATCH(ROW()-3,$IE$4:$IE$40,0)))</f>
        <v/>
      </c>
      <c r="IG7">
        <f>IF(COUNTIF('Live Search'!BM$6:CB$6,0)+COUNTIF('Live Search'!CD$6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H7">
        <f>IF($CL$7="",FALSE,SUMPRODUCT(('Final Calculation Sheet'!$P$4:$P$40=$CL$7)*($IG$6:$IG$42=1))&gt;0)</f>
        <v/>
      </c>
      <c r="II7">
        <f>$II$6+--($IH7)</f>
        <v/>
      </c>
      <c r="IJ7">
        <f>IF(ROW()-3&gt;MAX($II$4:$II$40),"",INDEX($CL$4:$CL$40,MATCH(ROW()-3,$II$4:$II$40,0)))</f>
        <v/>
      </c>
      <c r="IK7">
        <f>IF(COUNTIF('Live Search'!BM$6:CC$6,0)+COUNTIF('Live Search'!CE$6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L7">
        <f>IF($CQ$7="",FALSE,SUMPRODUCT(('Final Calculation Sheet'!$Q$4:$Q$40=$CQ$7)*($IK$6:$IK$42=1))&gt;0)</f>
        <v/>
      </c>
      <c r="IM7">
        <f>$IM$6+--($IL7)</f>
        <v/>
      </c>
      <c r="IN7">
        <f>IF(ROW()-3&gt;MAX($IM$4:$IM$40),"",INDEX($CQ$4:$CQ$40,MATCH(ROW()-3,$IM$4:$IM$40,0)))</f>
        <v/>
      </c>
      <c r="IO7">
        <f>IF(COUNTIF('Live Search'!BM$6:CD$6,0)+COUNTIF('Live Search'!CF$6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P7">
        <f>IF($CV$7="",FALSE,SUMPRODUCT(('Final Calculation Sheet'!$R$4:$R$40=$CV$7)*($IO$6:$IO$42=1))&gt;0)</f>
        <v/>
      </c>
      <c r="IQ7">
        <f>$IQ$6+--($IP7)</f>
        <v/>
      </c>
      <c r="IR7">
        <f>IF(ROW()-3&gt;MAX($IQ$4:$IQ$40),"",INDEX($CV$4:$CV$40,MATCH(ROW()-3,$IQ$4:$IQ$40,0)))</f>
        <v/>
      </c>
      <c r="IS7">
        <f>IF(COUNTIF('Live Search'!BM$6:CE$6,0)+COUNTIF('Live Search'!CG$6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T7">
        <f>IF($DA$7="",FALSE,SUMPRODUCT(('Final Calculation Sheet'!$S$4:$S$40=$DA$7)*($IS$6:$IS$42=1))&gt;0)</f>
        <v/>
      </c>
      <c r="IU7">
        <f>$IU$6+--($IT7)</f>
        <v/>
      </c>
      <c r="IV7">
        <f>IF(ROW()-3&gt;MAX($IU$4:$IU$40),"",INDEX($DA$4:$DA$40,MATCH(ROW()-3,$IU$4:$IU$40,0)))</f>
        <v/>
      </c>
      <c r="IW7">
        <f>IF(COUNTIF('Live Search'!BM$6:CF$6,0)+COUNTIF('Live Search'!CH$6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IX7">
        <f>IF($DF$7="",FALSE,SUMPRODUCT(('Final Calculation Sheet'!$T$4:$T$40=$DF$7)*($IW$6:$IW$42=1))&gt;0)</f>
        <v/>
      </c>
      <c r="IY7">
        <f>$IY$6+--($IX7)</f>
        <v/>
      </c>
      <c r="IZ7">
        <f>IF(ROW()-3&gt;MAX($IY$4:$IY$40),"",INDEX($DF$4:$DF$40,MATCH(ROW()-3,$IY$4:$IY$40,0)))</f>
        <v/>
      </c>
      <c r="JA7">
        <f>IF(COUNTIF('Live Search'!BM$6:CG$6,0)+COUNTIF('Live Search'!CI$6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B7">
        <f>IF($DK$7="",FALSE,SUMPRODUCT(('Final Calculation Sheet'!$U$4:$U$40=$DK$7)*($JA$6:$JA$42=1))&gt;0)</f>
        <v/>
      </c>
      <c r="JC7">
        <f>$JC$6+--($JB7)</f>
        <v/>
      </c>
      <c r="JD7">
        <f>IF(ROW()-3&gt;MAX($JC$4:$JC$40),"",INDEX($DK$4:$DK$40,MATCH(ROW()-3,$JC$4:$JC$40,0)))</f>
        <v/>
      </c>
      <c r="JE7">
        <f>IF(COUNTIF('Live Search'!BM$6:CH$6,0)+COUNTIF('Live Search'!CJ$6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F7">
        <f>IF($DP$7="",FALSE,SUMPRODUCT(('Final Calculation Sheet'!$V$4:$V$40=$DP$7)*($JE$6:$JE$42=1))&gt;0)</f>
        <v/>
      </c>
      <c r="JG7">
        <f>$JG$6+--($JF7)</f>
        <v/>
      </c>
      <c r="JH7">
        <f>IF(ROW()-3&gt;MAX($JG$4:$JG$40),"",INDEX($DP$4:$DP$40,MATCH(ROW()-3,$JG$4:$JG$40,0)))</f>
        <v/>
      </c>
      <c r="JI7">
        <f>IF(COUNTIF('Live Search'!BM$6:CI$6,0)+COUNTIF('Live Search'!CK$6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J7">
        <f>IF($DU$7="",FALSE,SUMPRODUCT(('Final Calculation Sheet'!$W$4:$W$40=$DU$7)*($JI$6:$JI$42=1))&gt;0)</f>
        <v/>
      </c>
      <c r="JK7">
        <f>$JK$6+--($JJ7)</f>
        <v/>
      </c>
      <c r="JL7">
        <f>IF(ROW()-3&gt;MAX($JK$4:$JK$40),"",INDEX($DU$4:$DU$40,MATCH(ROW()-3,$JK$4:$JK$40,0)))</f>
        <v/>
      </c>
      <c r="JM7">
        <f>IF(COUNTIF('Live Search'!BM$6:CJ$6,0)+COUNTIF('Live Search'!CL$6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N7">
        <f>IF($DZ$7="",FALSE,SUMPRODUCT(('Final Calculation Sheet'!$X$4:$X$40=$DZ$7)*($JM$6:$JM$42=1))&gt;0)</f>
        <v/>
      </c>
      <c r="JO7">
        <f>$JO$6+--($JN7)</f>
        <v/>
      </c>
      <c r="JP7">
        <f>IF(ROW()-3&gt;MAX($JO$4:$JO$40),"",INDEX($DZ$4:$DZ$40,MATCH(ROW()-3,$JO$4:$JO$40,0)))</f>
        <v/>
      </c>
      <c r="JQ7">
        <f>IF(COUNTIF('Live Search'!BM$6:CK$6,0)+COUNTIF('Live Search'!C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R7">
        <f>IF($EE$7="",FALSE,SUMPRODUCT(('Final Calculation Sheet'!$Y$4:$Y$40=$EE$7)*($JQ$6:$JQ$42=1))&gt;0)</f>
        <v/>
      </c>
      <c r="JS7">
        <f>$JS$6+--($JR7)</f>
        <v/>
      </c>
      <c r="JT7">
        <f>IF(ROW()-3&gt;MAX($JS$4:$JS$40),"",INDEX($EE$4:$EE$40,MATCH(ROW()-3,$JS$4:$JS$40,0)))</f>
        <v/>
      </c>
      <c r="JU7">
        <f>IF(COUNTIF('Live Search'!BM$6:CL$6,0)+COUNTIF('Live Search'!CN$6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V7">
        <f>IF($EJ$7="",FALSE,SUMPRODUCT(('Final Calculation Sheet'!$Z$4:$Z$40=$EJ$7)*($JU$6:$JU$42=1))&gt;0)</f>
        <v/>
      </c>
      <c r="JW7">
        <f>$JW$6+--($JV7)</f>
        <v/>
      </c>
      <c r="JX7">
        <f>IF(ROW()-3&gt;MAX($JW$4:$JW$40),"",INDEX($EJ$4:$EJ$40,MATCH(ROW()-3,$JW$4:$JW$40,0)))</f>
        <v/>
      </c>
      <c r="JY7">
        <f>IF(COUNTIF('Live Search'!BM$6:CM$6,0)+COUNTIF('Live Search'!CO$6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JZ7">
        <f>IF($EO$7="",FALSE,SUMPRODUCT(('Final Calculation Sheet'!$AA$4:$AA$40=$EO$7)*($JY$6:$JY$42=1))&gt;0)</f>
        <v/>
      </c>
      <c r="KA7">
        <f>$KA$6+--($JZ7)</f>
        <v/>
      </c>
      <c r="KB7">
        <f>IF(ROW()-3&gt;MAX($KA$4:$KA$40),"",INDEX($EO$4:$EO$40,MATCH(ROW()-3,$KA$4:$KA$40,0)))</f>
        <v/>
      </c>
      <c r="KC7">
        <f>IF(COUNTIF('Live Search'!BM$6:CN$6,0)+COUNTIF('Live Search'!CP$6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D7">
        <f>IF($ET$7="",FALSE,SUMPRODUCT(('Final Calculation Sheet'!$AB$4:$AB$40=$ET$7)*($KC$6:$KC$42=1))&gt;0)</f>
        <v/>
      </c>
      <c r="KE7">
        <f>$KE$6+--($KD7)</f>
        <v/>
      </c>
      <c r="KF7">
        <f>IF(ROW()-3&gt;MAX($KE$4:$KE$40),"",INDEX($ET$4:$ET$40,MATCH(ROW()-3,$KE$4:$KE$40,0)))</f>
        <v/>
      </c>
      <c r="KG7">
        <f>IF(COUNTIF('Live Search'!BM$6:CO$6,0)+COUNTIF('Live Search'!CQ$6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H7">
        <f>IF($EY$7="",FALSE,SUMPRODUCT(('Final Calculation Sheet'!$AC$4:$AC$40=$EY$7)*($KG$6:$KG$42=1))&gt;0)</f>
        <v/>
      </c>
      <c r="KI7">
        <f>$KI$6+--($KH7)</f>
        <v/>
      </c>
      <c r="KJ7">
        <f>IF(ROW()-3&gt;MAX($KI$4:$KI$40),"",INDEX($EY$4:$EY$40,MATCH(ROW()-3,$KI$4:$KI$40,0)))</f>
        <v/>
      </c>
      <c r="KK7">
        <f>IF(COUNTIF('Live Search'!BM$6:CP$6,0)+COUNTIF('Live Search'!CR$6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L7">
        <f>IF($FD$7="",FALSE,SUMPRODUCT(('Final Calculation Sheet'!$AD$4:$AD$40=$FD$7)*($KK$6:$KK$42=1))&gt;0)</f>
        <v/>
      </c>
      <c r="KM7">
        <f>$KM$6+--($KL7)</f>
        <v/>
      </c>
      <c r="KN7">
        <f>IF(ROW()-3&gt;MAX($KM$4:$KM$40),"",INDEX($FD$4:$FD$40,MATCH(ROW()-3,$KM$4:$KM$40,0)))</f>
        <v/>
      </c>
      <c r="KO7">
        <f>IF(COUNTIF('Live Search'!BM$6:CT$6,0)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P7">
        <f>IF($FX$7="",FALSE,SUMPRODUCT((IF('Final Calculation Sheet'!$AD$4:$AD$40&lt;=5,"SETTLED","OUTSTANDING")=$FX$7)*($KO$6:$KO$42=1))&gt;0)</f>
        <v/>
      </c>
      <c r="KQ7">
        <f>$KQ$6+--($KP7)</f>
        <v/>
      </c>
      <c r="KR7">
        <f>IF(ROW()-3&gt;MAX($KQ$4:$KQ$40),"",INDEX($FX$4:$FX$40,MATCH(ROW()-3,$KQ$4:$KQ$40,0)))</f>
        <v/>
      </c>
      <c r="KS7">
        <f>IF(COUNTIF('Live Search'!BM$6:CQ$6,0)+COUNTIF('Live Search'!CS$6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T7">
        <f>IF($FI$7="",FALSE,SUMPRODUCT(('Final Calculation Sheet'!$AF$4:$AF$40=$FI$7)*($KS$6:$KS$42=1))&gt;0)</f>
        <v/>
      </c>
      <c r="KU7">
        <f>$KU$6+--($KT7)</f>
        <v/>
      </c>
      <c r="KV7">
        <f>IF(ROW()-3&gt;MAX($KU$4:$KU$40),"",INDEX($FI$4:$FI$40,MATCH(ROW()-3,$KU$4:$KU$40,0)))</f>
        <v/>
      </c>
      <c r="KW7">
        <f>IF(COUNTIF('Live Search'!BM$6:CR$6,0)+COUNTIF('Live Search'!CT$6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KX7">
        <f>IF($FN$7="",FALSE,SUMPRODUCT(('Final Calculation Sheet'!$AG$4:$AG$40=$FN$7)*($KW$6:$KW$42=1))&gt;0)</f>
        <v/>
      </c>
      <c r="KY7">
        <f>$KY$6+--($KX7)</f>
        <v/>
      </c>
      <c r="KZ7">
        <f>IF(ROW()-3&gt;MAX($KY$4:$KY$40),"",INDEX($FN$4:$FN$40,MATCH(ROW()-3,$KY$4:$KY$40,0)))</f>
        <v/>
      </c>
      <c r="LA7">
        <f>IF(COUNTIF('Live Search'!BM$6:CS$6,0)+COUNTIF('Live Search'!CU$6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LB7">
        <f>IF($FS$7="",FALSE,SUMPRODUCT(('Final Calculation Sheet'!$AH$4:$AH$40=$FS$7)*($LA$6:$LA$42=1))&gt;0)</f>
        <v/>
      </c>
      <c r="LC7">
        <f>$LC$6+--($LB7)</f>
        <v/>
      </c>
      <c r="LD7">
        <f>IF(ROW()-3&gt;MAX($LC$4:$LC$40),"",INDEX($FS$4:$FS$40,MATCH(ROW()-3,$LC$4:$LC$40,0)))</f>
        <v/>
      </c>
      <c r="LE7">
        <f>IF(COUNTIF('Buyer Groups'!DH60:EN60,0)&gt;0,0,1)</f>
        <v/>
      </c>
      <c r="LF7">
        <f>IF($O$7="",FALSE,SUMPRODUCT(('Final Calculation Sheet'!$F$4:$F$40=$O$7)*($LE$6:$LE$42=1))&gt;0)</f>
        <v/>
      </c>
      <c r="LG7">
        <f>$LG$6+--($LF7)</f>
        <v/>
      </c>
      <c r="LH7">
        <f>IF(ROW()-3&gt;MAX($LG$4:$LG$40),"",INDEX($O$4:$O$40,MATCH(ROW()-3,$LG$4:$LG$40,0)))</f>
        <v/>
      </c>
      <c r="LI7">
        <f>IF(COUNTIF('Buyer Groups'!DG60:DG60,0)+COUNTIF('Buyer Groups'!DI60:EN60,0)&gt;0,0,1)</f>
        <v/>
      </c>
      <c r="LJ7">
        <f>IF($T$7="",FALSE,SUMPRODUCT(('Final Calculation Sheet'!$G$4:$G$40=$T$7)*($LI$6:$LI$42=1))&gt;0)</f>
        <v/>
      </c>
      <c r="LK7">
        <f>$LK$6+--($LJ7)</f>
        <v/>
      </c>
      <c r="LL7">
        <f>IF(ROW()-3&gt;MAX($LK$4:$LK$40),"",INDEX($T$4:$T$40,MATCH(ROW()-3,$LK$4:$LK$40,0)))</f>
        <v/>
      </c>
      <c r="LM7">
        <f>IF(COUNTIF('Buyer Groups'!DG60:DH60,0)+COUNTIF('Buyer Groups'!DJ60:EN60,0)&gt;0,0,1)</f>
        <v/>
      </c>
      <c r="LN7">
        <f>IF($Y$7="",FALSE,SUMPRODUCT(('Final Calculation Sheet'!$B$4:$B$40=$Y$7)*($LM$6:$LM$42=1))&gt;0)</f>
        <v/>
      </c>
      <c r="LO7">
        <f>$LO$6+--($LN7)</f>
        <v/>
      </c>
      <c r="LP7">
        <f>IF(ROW()-3&gt;MAX($LO$4:$LO$40),"",INDEX($Y$4:$Y$40,MATCH(ROW()-3,$LO$4:$LO$40,0)))</f>
        <v/>
      </c>
      <c r="LQ7">
        <f>IF(COUNTIF('Buyer Groups'!DG60:DI60,0)+COUNTIF('Buyer Groups'!DK60:EN60,0)&gt;0,0,1)</f>
        <v/>
      </c>
      <c r="LR7">
        <f>IF($AD$7="",FALSE,SUMPRODUCT(('Final Calculation Sheet'!$D$4:$D$40=$AD$7)*($LQ$6:$LQ$42=1))&gt;0)</f>
        <v/>
      </c>
      <c r="LS7">
        <f>$LS$6+--($LR7)</f>
        <v/>
      </c>
      <c r="LT7">
        <f>IF(ROW()-3&gt;MAX($LS$4:$LS$40),"",INDEX($AD$4:$AD$40,MATCH(ROW()-3,$LS$4:$LS$40,0)))</f>
        <v/>
      </c>
      <c r="LU7">
        <f>IF(COUNTIF('Buyer Groups'!DG60:DJ60,0)+COUNTIF('Buyer Groups'!DL60:EN60,0)&gt;0,0,1)</f>
        <v/>
      </c>
      <c r="LV7">
        <f>IF($AI$7="",FALSE,SUMPRODUCT(('Final Calculation Sheet'!$A$4:$A$40=$AI$7)*($LU$6:$LU$42=1))&gt;0)</f>
        <v/>
      </c>
      <c r="LW7">
        <f>$LW$6+--($LV7)</f>
        <v/>
      </c>
      <c r="LX7">
        <f>IF(ROW()-3&gt;MAX($LW$4:$LW$40),"",INDEX($AI$4:$AI$40,MATCH(ROW()-3,$LW$4:$LW$40,0)))</f>
        <v/>
      </c>
      <c r="LY7">
        <f>IF(COUNTIF('Buyer Groups'!DG60:DK60,0)+COUNTIF('Buyer Groups'!DM60:EN60,0)&gt;0,0,1)</f>
        <v/>
      </c>
      <c r="LZ7">
        <f>IF($AN$7="",FALSE,SUMPRODUCT(('Final Calculation Sheet'!$E$4:$E$40=$AN$7)*($LY$6:$LY$42=1))&gt;0)</f>
        <v/>
      </c>
      <c r="MA7">
        <f>$MA$6+--($LZ7)</f>
        <v/>
      </c>
      <c r="MB7">
        <f>IF(ROW()-3&gt;MAX($MA$4:$MA$40),"",INDEX($AN$4:$AN$40,MATCH(ROW()-3,$MA$4:$MA$40,0)))</f>
        <v/>
      </c>
      <c r="MC7">
        <f>IF(COUNTIF('Buyer Groups'!DG60:DL60,0)+COUNTIF('Buyer Groups'!DN60:EN60,0)&gt;0,0,1)</f>
        <v/>
      </c>
      <c r="MD7">
        <f>IF($AS$7="",FALSE,SUMPRODUCT(('Final Calculation Sheet'!$C$4:$C$40=$AS$7)*($MC$6:$MC$42=1))&gt;0)</f>
        <v/>
      </c>
      <c r="ME7">
        <f>$ME$6+--($MD7)</f>
        <v/>
      </c>
      <c r="MF7">
        <f>IF(ROW()-3&gt;MAX($ME$4:$ME$40),"",INDEX($AS$4:$AS$40,MATCH(ROW()-3,$ME$4:$ME$40,0)))</f>
        <v/>
      </c>
      <c r="MG7">
        <f>IF(COUNTIF('Buyer Groups'!DG60:DM60,0)+COUNTIF('Buyer Groups'!DO60:EN60,0)&gt;0,0,1)</f>
        <v/>
      </c>
      <c r="MH7">
        <f>IF($AX$7="",FALSE,SUMPRODUCT(('Final Calculation Sheet'!$H$4:$H$40=$AX$7)*($MG$6:$MG$42=1))&gt;0)</f>
        <v/>
      </c>
      <c r="MI7">
        <f>$MI$6+--($MH7)</f>
        <v/>
      </c>
      <c r="MJ7">
        <f>IF(ROW()-3&gt;MAX($MI$4:$MI$40),"",INDEX($AX$4:$AX$40,MATCH(ROW()-3,$MI$4:$MI$40,0)))</f>
        <v/>
      </c>
      <c r="MK7">
        <f>IF(COUNTIF('Buyer Groups'!DG60:DN60,0)+COUNTIF('Buyer Groups'!DP60:EN60,0)&gt;0,0,1)</f>
        <v/>
      </c>
      <c r="ML7">
        <f>IF($BC$7="",FALSE,SUMPRODUCT(('Final Calculation Sheet'!$I$4:$I$40=$BC$7)*($MK$6:$MK$42=1))&gt;0)</f>
        <v/>
      </c>
      <c r="MM7">
        <f>$MM$6+--($ML7)</f>
        <v/>
      </c>
      <c r="MN7">
        <f>IF(ROW()-3&gt;MAX($MM$4:$MM$40),"",INDEX($BC$4:$BC$40,MATCH(ROW()-3,$MM$4:$MM$40,0)))</f>
        <v/>
      </c>
      <c r="MO7">
        <f>IF(COUNTIF('Buyer Groups'!DG60:DO60,0)+COUNTIF('Buyer Groups'!DQ60:EN60,0)&gt;0,0,1)</f>
        <v/>
      </c>
      <c r="MP7">
        <f>IF($BH$7="",FALSE,SUMPRODUCT(('Final Calculation Sheet'!$J$4:$J$40=$BH$7)*($MO$6:$MO$42=1))&gt;0)</f>
        <v/>
      </c>
      <c r="MQ7">
        <f>$MQ$6+--($MP7)</f>
        <v/>
      </c>
      <c r="MR7">
        <f>IF(ROW()-3&gt;MAX($MQ$4:$MQ$40),"",INDEX($BH$4:$BH$40,MATCH(ROW()-3,$MQ$4:$MQ$40,0)))</f>
        <v/>
      </c>
      <c r="MS7">
        <f>IF(COUNTIF('Buyer Groups'!DG60:DP60,0)+COUNTIF('Buyer Groups'!DR60:EN60,0)&gt;0,0,1)</f>
        <v/>
      </c>
      <c r="MT7">
        <f>IF($BM$7="",FALSE,SUMPRODUCT(('Final Calculation Sheet'!$K$4:$K$40=$BM$7)*($MS$6:$MS$42=1))&gt;0)</f>
        <v/>
      </c>
      <c r="MU7">
        <f>$MU$6+--($MT7)</f>
        <v/>
      </c>
      <c r="MV7">
        <f>IF(ROW()-3&gt;MAX($MU$4:$MU$40),"",INDEX($BM$4:$BM$40,MATCH(ROW()-3,$MU$4:$MU$40,0)))</f>
        <v/>
      </c>
      <c r="MW7">
        <f>IF(COUNTIF('Buyer Groups'!DG60:DQ60,0)+COUNTIF('Buyer Groups'!DS60:EN60,0)&gt;0,0,1)</f>
        <v/>
      </c>
      <c r="MX7">
        <f>IF($BR$7="",FALSE,SUMPRODUCT(('Final Calculation Sheet'!$L$4:$L$40=$BR$7)*($MW$6:$MW$42=1))&gt;0)</f>
        <v/>
      </c>
      <c r="MY7">
        <f>$MY$6+--($MX7)</f>
        <v/>
      </c>
      <c r="MZ7">
        <f>IF(ROW()-3&gt;MAX($MY$4:$MY$40),"",INDEX($BR$4:$BR$40,MATCH(ROW()-3,$MY$4:$MY$40,0)))</f>
        <v/>
      </c>
      <c r="NA7">
        <f>IF(COUNTIF('Buyer Groups'!DG60:DR60,0)+COUNTIF('Buyer Groups'!DT60:EN60,0)&gt;0,0,1)</f>
        <v/>
      </c>
      <c r="NB7">
        <f>IF($BW$7="",FALSE,SUMPRODUCT(('Final Calculation Sheet'!$M$4:$M$40=$BW$7)*($NA$6:$NA$42=1))&gt;0)</f>
        <v/>
      </c>
      <c r="NC7">
        <f>$NC$6+--($NB7)</f>
        <v/>
      </c>
      <c r="ND7">
        <f>IF(ROW()-3&gt;MAX($NC$4:$NC$40),"",INDEX($BW$4:$BW$40,MATCH(ROW()-3,$NC$4:$NC$40,0)))</f>
        <v/>
      </c>
      <c r="NE7">
        <f>IF(COUNTIF('Buyer Groups'!DG60:DS60,0)+COUNTIF('Buyer Groups'!DU60:EN60,0)&gt;0,0,1)</f>
        <v/>
      </c>
      <c r="NF7">
        <f>IF($CB$7="",FALSE,SUMPRODUCT(('Final Calculation Sheet'!$N$4:$N$40=$CB$7)*($NE$6:$NE$42=1))&gt;0)</f>
        <v/>
      </c>
      <c r="NG7">
        <f>$NG$6+--($NF7)</f>
        <v/>
      </c>
      <c r="NH7">
        <f>IF(ROW()-3&gt;MAX($NG$4:$NG$40),"",INDEX($CB$4:$CB$40,MATCH(ROW()-3,$NG$4:$NG$40,0)))</f>
        <v/>
      </c>
      <c r="NI7">
        <f>IF(COUNTIF('Buyer Groups'!DG60:DT60,0)+COUNTIF('Buyer Groups'!DV60:EN60,0)&gt;0,0,1)</f>
        <v/>
      </c>
      <c r="NJ7">
        <f>IF($CG$7="",FALSE,SUMPRODUCT(('Final Calculation Sheet'!$O$4:$O$40=$CG$7)*($NI$6:$NI$42=1))&gt;0)</f>
        <v/>
      </c>
      <c r="NK7">
        <f>$NK$6+--($NJ7)</f>
        <v/>
      </c>
      <c r="NL7">
        <f>IF(ROW()-3&gt;MAX($NK$4:$NK$40),"",INDEX($CG$4:$CG$40,MATCH(ROW()-3,$NK$4:$NK$40,0)))</f>
        <v/>
      </c>
      <c r="NM7">
        <f>IF(COUNTIF('Buyer Groups'!DG60:DU60,0)+COUNTIF('Buyer Groups'!DW60:EN60,0)&gt;0,0,1)</f>
        <v/>
      </c>
      <c r="NN7">
        <f>IF($CL$7="",FALSE,SUMPRODUCT(('Final Calculation Sheet'!$P$4:$P$40=$CL$7)*($NM$6:$NM$42=1))&gt;0)</f>
        <v/>
      </c>
      <c r="NO7">
        <f>$NO$6+--($NN7)</f>
        <v/>
      </c>
      <c r="NP7">
        <f>IF(ROW()-3&gt;MAX($NO$4:$NO$40),"",INDEX($CL$4:$CL$40,MATCH(ROW()-3,$NO$4:$NO$40,0)))</f>
        <v/>
      </c>
      <c r="NQ7">
        <f>IF(COUNTIF('Buyer Groups'!DG60:DV60,0)+COUNTIF('Buyer Groups'!DX60:EN60,0)&gt;0,0,1)</f>
        <v/>
      </c>
      <c r="NR7">
        <f>IF($CQ$7="",FALSE,SUMPRODUCT(('Final Calculation Sheet'!$Q$4:$Q$40=$CQ$7)*($NQ$6:$NQ$42=1))&gt;0)</f>
        <v/>
      </c>
      <c r="NS7">
        <f>$NS$6+--($NR7)</f>
        <v/>
      </c>
      <c r="NT7">
        <f>IF(ROW()-3&gt;MAX($NS$4:$NS$40),"",INDEX($CQ$4:$CQ$40,MATCH(ROW()-3,$NS$4:$NS$40,0)))</f>
        <v/>
      </c>
      <c r="NU7">
        <f>IF(COUNTIF('Buyer Groups'!DG60:DW60,0)+COUNTIF('Buyer Groups'!DY60:EN60,0)&gt;0,0,1)</f>
        <v/>
      </c>
      <c r="NV7">
        <f>IF($CV$7="",FALSE,SUMPRODUCT(('Final Calculation Sheet'!$R$4:$R$40=$CV$7)*($NU$6:$NU$42=1))&gt;0)</f>
        <v/>
      </c>
      <c r="NW7">
        <f>$NW$6+--($NV7)</f>
        <v/>
      </c>
      <c r="NX7">
        <f>IF(ROW()-3&gt;MAX($NW$4:$NW$40),"",INDEX($CV$4:$CV$40,MATCH(ROW()-3,$NW$4:$NW$40,0)))</f>
        <v/>
      </c>
      <c r="NY7">
        <f>IF(COUNTIF('Buyer Groups'!DG60:DX60,0)+COUNTIF('Buyer Groups'!DZ60:EN60,0)&gt;0,0,1)</f>
        <v/>
      </c>
      <c r="NZ7">
        <f>IF($DA$7="",FALSE,SUMPRODUCT(('Final Calculation Sheet'!$S$4:$S$40=$DA$7)*($NY$6:$NY$42=1))&gt;0)</f>
        <v/>
      </c>
      <c r="OA7">
        <f>$OA$6+--($NZ7)</f>
        <v/>
      </c>
      <c r="OB7">
        <f>IF(ROW()-3&gt;MAX($OA$4:$OA$40),"",INDEX($DA$4:$DA$40,MATCH(ROW()-3,$OA$4:$OA$40,0)))</f>
        <v/>
      </c>
      <c r="OC7">
        <f>IF(COUNTIF('Buyer Groups'!DG60:DY60,0)+COUNTIF('Buyer Groups'!EA60:EN60,0)&gt;0,0,1)</f>
        <v/>
      </c>
      <c r="OD7">
        <f>IF($DF$7="",FALSE,SUMPRODUCT(('Final Calculation Sheet'!$T$4:$T$40=$DF$7)*($OC$6:$OC$42=1))&gt;0)</f>
        <v/>
      </c>
      <c r="OE7">
        <f>$OE$6+--($OD7)</f>
        <v/>
      </c>
      <c r="OF7">
        <f>IF(ROW()-3&gt;MAX($OE$4:$OE$40),"",INDEX($DF$4:$DF$40,MATCH(ROW()-3,$OE$4:$OE$40,0)))</f>
        <v/>
      </c>
      <c r="OG7">
        <f>IF(COUNTIF('Buyer Groups'!DG60:DZ60,0)+COUNTIF('Buyer Groups'!EB60:EN60,0)&gt;0,0,1)</f>
        <v/>
      </c>
      <c r="OH7">
        <f>IF($DK$7="",FALSE,SUMPRODUCT(('Final Calculation Sheet'!$U$4:$U$40=$DK$7)*($OG$6:$OG$42=1))&gt;0)</f>
        <v/>
      </c>
      <c r="OI7">
        <f>$OI$6+--($OH7)</f>
        <v/>
      </c>
      <c r="OJ7">
        <f>IF(ROW()-3&gt;MAX($OI$4:$OI$40),"",INDEX($DK$4:$DK$40,MATCH(ROW()-3,$OI$4:$OI$40,0)))</f>
        <v/>
      </c>
      <c r="OK7">
        <f>IF(COUNTIF('Buyer Groups'!DG60:EA60,0)+COUNTIF('Buyer Groups'!EC60:EN60,0)&gt;0,0,1)</f>
        <v/>
      </c>
      <c r="OL7">
        <f>IF($DP$7="",FALSE,SUMPRODUCT(('Final Calculation Sheet'!$V$4:$V$40=$DP$7)*($OK$6:$OK$42=1))&gt;0)</f>
        <v/>
      </c>
      <c r="OM7">
        <f>$OM$6+--($OL7)</f>
        <v/>
      </c>
      <c r="ON7">
        <f>IF(ROW()-3&gt;MAX($OM$4:$OM$40),"",INDEX($DP$4:$DP$40,MATCH(ROW()-3,$OM$4:$OM$40,0)))</f>
        <v/>
      </c>
      <c r="OO7">
        <f>IF(COUNTIF('Buyer Groups'!DG60:EB60,0)+COUNTIF('Buyer Groups'!ED60:EN60,0)&gt;0,0,1)</f>
        <v/>
      </c>
      <c r="OP7">
        <f>IF($DU$7="",FALSE,SUMPRODUCT(('Final Calculation Sheet'!$W$4:$W$40=$DU$7)*($OO$6:$OO$42=1))&gt;0)</f>
        <v/>
      </c>
      <c r="OQ7">
        <f>$OQ$6+--($OP7)</f>
        <v/>
      </c>
      <c r="OR7">
        <f>IF(ROW()-3&gt;MAX($OQ$4:$OQ$40),"",INDEX($DU$4:$DU$40,MATCH(ROW()-3,$OQ$4:$OQ$40,0)))</f>
        <v/>
      </c>
      <c r="OS7">
        <f>IF(COUNTIF('Buyer Groups'!DG60:EC60,0)+COUNTIF('Buyer Groups'!EE60:EN60,0)&gt;0,0,1)</f>
        <v/>
      </c>
      <c r="OT7">
        <f>IF($DZ$7="",FALSE,SUMPRODUCT(('Final Calculation Sheet'!$X$4:$X$40=$DZ$7)*($OS$6:$OS$42=1))&gt;0)</f>
        <v/>
      </c>
      <c r="OU7">
        <f>$OU$6+--($OT7)</f>
        <v/>
      </c>
      <c r="OV7">
        <f>IF(ROW()-3&gt;MAX($OU$4:$OU$40),"",INDEX($DZ$4:$DZ$40,MATCH(ROW()-3,$OU$4:$OU$40,0)))</f>
        <v/>
      </c>
      <c r="OW7">
        <f>IF(COUNTIF('Buyer Groups'!DG60:ED60,0)+COUNTIF('Buyer Groups'!EF60:EN60,0)&gt;0,0,1)</f>
        <v/>
      </c>
      <c r="OX7">
        <f>IF($EE$7="",FALSE,SUMPRODUCT(('Final Calculation Sheet'!$Y$4:$Y$40=$EE$7)*($OW$6:$OW$42=1))&gt;0)</f>
        <v/>
      </c>
      <c r="OY7">
        <f>$OY$6+--($OX7)</f>
        <v/>
      </c>
      <c r="OZ7">
        <f>IF(ROW()-3&gt;MAX($OY$4:$OY$40),"",INDEX($EE$4:$EE$40,MATCH(ROW()-3,$OY$4:$OY$40,0)))</f>
        <v/>
      </c>
      <c r="PA7">
        <f>IF(COUNTIF('Buyer Groups'!DG60:EE60,0)+COUNTIF('Buyer Groups'!EG60:EN60,0)&gt;0,0,1)</f>
        <v/>
      </c>
      <c r="PB7">
        <f>IF($EJ$7="",FALSE,SUMPRODUCT(('Final Calculation Sheet'!$Z$4:$Z$40=$EJ$7)*($PA$6:$PA$42=1))&gt;0)</f>
        <v/>
      </c>
      <c r="PC7">
        <f>$PC$6+--($PB7)</f>
        <v/>
      </c>
      <c r="PD7">
        <f>IF(ROW()-3&gt;MAX($PC$4:$PC$40),"",INDEX($EJ$4:$EJ$40,MATCH(ROW()-3,$PC$4:$PC$40,0)))</f>
        <v/>
      </c>
      <c r="PE7">
        <f>IF(COUNTIF('Buyer Groups'!DG60:EF60,0)+COUNTIF('Buyer Groups'!EH60:EN60,0)&gt;0,0,1)</f>
        <v/>
      </c>
      <c r="PF7">
        <f>IF($EO$7="",FALSE,SUMPRODUCT(('Final Calculation Sheet'!$AA$4:$AA$40=$EO$7)*($PE$6:$PE$42=1))&gt;0)</f>
        <v/>
      </c>
      <c r="PG7">
        <f>$PG$6+--($PF7)</f>
        <v/>
      </c>
      <c r="PH7">
        <f>IF(ROW()-3&gt;MAX($PG$4:$PG$40),"",INDEX($EO$4:$EO$40,MATCH(ROW()-3,$PG$4:$PG$40,0)))</f>
        <v/>
      </c>
      <c r="PI7">
        <f>IF(COUNTIF('Buyer Groups'!DG60:EG60,0)+COUNTIF('Buyer Groups'!EI60:EN60,0)&gt;0,0,1)</f>
        <v/>
      </c>
      <c r="PJ7">
        <f>IF($ET$7="",FALSE,SUMPRODUCT(('Final Calculation Sheet'!$AB$4:$AB$40=$ET$7)*($PI$6:$PI$42=1))&gt;0)</f>
        <v/>
      </c>
      <c r="PK7">
        <f>$PK$6+--($PJ7)</f>
        <v/>
      </c>
      <c r="PL7">
        <f>IF(ROW()-3&gt;MAX($PK$4:$PK$40),"",INDEX($ET$4:$ET$40,MATCH(ROW()-3,$PK$4:$PK$40,0)))</f>
        <v/>
      </c>
      <c r="PM7">
        <f>IF(COUNTIF('Buyer Groups'!DG60:EH60,0)+COUNTIF('Buyer Groups'!EJ60:EN60,0)&gt;0,0,1)</f>
        <v/>
      </c>
      <c r="PN7">
        <f>IF($EY$7="",FALSE,SUMPRODUCT(('Final Calculation Sheet'!$AC$4:$AC$40=$EY$7)*($PM$6:$PM$42=1))&gt;0)</f>
        <v/>
      </c>
      <c r="PO7">
        <f>$PO$6+--($PN7)</f>
        <v/>
      </c>
      <c r="PP7">
        <f>IF(ROW()-3&gt;MAX($PO$4:$PO$40),"",INDEX($EY$4:$EY$40,MATCH(ROW()-3,$PO$4:$PO$40,0)))</f>
        <v/>
      </c>
      <c r="PQ7">
        <f>IF(COUNTIF('Buyer Groups'!DG60:EI60,0)+COUNTIF('Buyer Groups'!EK60:EN60,0)&gt;0,0,1)</f>
        <v/>
      </c>
      <c r="PR7">
        <f>IF($FD$7="",FALSE,SUMPRODUCT(('Final Calculation Sheet'!$AD$4:$AD$40=$FD$7)*($PQ$6:$PQ$42=1))&gt;0)</f>
        <v/>
      </c>
      <c r="PS7">
        <f>$PS$6+--($PR7)</f>
        <v/>
      </c>
      <c r="PT7">
        <f>IF(ROW()-3&gt;MAX($PS$4:$PS$40),"",INDEX($FD$4:$FD$40,MATCH(ROW()-3,$PS$4:$PS$40,0)))</f>
        <v/>
      </c>
      <c r="PU7">
        <f>IF(COUNTIF('Buyer Groups'!DG60:EJ60,0)+COUNTIF('Buyer Groups'!EL60:EN60,0)&gt;0,0,1)</f>
        <v/>
      </c>
      <c r="PV7">
        <f>IF($FX$7="",FALSE,SUMPRODUCT((IF('Final Calculation Sheet'!$AD$4:$AD$40&lt;=5,"SETTLED","OUTSTANDING")=$FX$7)*($PU$6:$PU$42=1))&gt;0)</f>
        <v/>
      </c>
      <c r="PW7">
        <f>$PW$6+--($PV7)</f>
        <v/>
      </c>
      <c r="PX7">
        <f>IF(ROW()-3&gt;MAX($PW$4:$PW$40),"",INDEX($FX$4:$FX$40,MATCH(ROW()-3,$PW$4:$PW$40,0)))</f>
        <v/>
      </c>
      <c r="PY7">
        <f>IF(COUNTIF('Buyer Groups'!DG60:EK60,0)+COUNTIF('Buyer Groups'!EM60:EN60,0)&gt;0,0,1)</f>
        <v/>
      </c>
      <c r="PZ7">
        <f>IF($FI$7="",FALSE,SUMPRODUCT(('Final Calculation Sheet'!$AF$4:$AF$40=$FI$7)*($PY$6:$PY$42=1))&gt;0)</f>
        <v/>
      </c>
      <c r="QA7">
        <f>$QA$6+--($PZ7)</f>
        <v/>
      </c>
      <c r="QB7">
        <f>IF(ROW()-3&gt;MAX($QA$4:$QA$40),"",INDEX($FI$4:$FI$40,MATCH(ROW()-3,$QA$4:$QA$40,0)))</f>
        <v/>
      </c>
      <c r="QC7">
        <f>IF(COUNTIF('Buyer Groups'!DG60:EL60,0)+COUNTIF('Buyer Groups'!EN60:EN60,0)&gt;0,0,1)</f>
        <v/>
      </c>
      <c r="QD7">
        <f>IF($FN$7="",FALSE,SUMPRODUCT(('Final Calculation Sheet'!$AG$4:$AG$40=$FN$7)*($QC$6:$QC$42=1))&gt;0)</f>
        <v/>
      </c>
      <c r="QE7">
        <f>$QE$6+--($QD7)</f>
        <v/>
      </c>
      <c r="QF7">
        <f>IF(ROW()-3&gt;MAX($QE$4:$QE$40),"",INDEX($FN$4:$FN$40,MATCH(ROW()-3,$QE$4:$QE$40,0)))</f>
        <v/>
      </c>
      <c r="QG7">
        <f>IF(COUNTIF('Buyer Groups'!DG60:EM60,0)&gt;0,0,1)</f>
        <v/>
      </c>
      <c r="QH7">
        <f>IF($FS$7="",FALSE,SUMPRODUCT(('Final Calculation Sheet'!$AH$4:$AH$40=$FS$7)*($QG$6:$QG$42=1))&gt;0)</f>
        <v/>
      </c>
      <c r="QI7">
        <f>$QI$6+--($QH7)</f>
        <v/>
      </c>
      <c r="QJ7">
        <f>IF(ROW()-3&gt;MAX($QI$4:$QI$40),"",INDEX($FS$4:$FS$40,MATCH(ROW()-3,$QI$4:$QI$40,0)))</f>
        <v/>
      </c>
      <c r="QK7" t="str">
        <f>IF('Final Calculation Sheet'!$AH$7="","",'Final Calculation Sheet'!$AH$7)</f>
      </c>
      <c r="QL7" t="str">
        <f>IF(QK7="","",COUNTIFS(QK$4:QK$40,"&lt;"&amp;QK7,QK$4:QK$40,"&lt;&gt;"&amp;"")+COUNTIF(QK$4:QK7,QK7))</f>
      </c>
      <c r="QM7" t="str">
        <f>IF(ROW()-3&gt;COUNTIF(QK$4:QK$40,"&lt;&gt;"&amp;""),"",INDEX(QK$4:QK$40,MATCH(ROW()-3,QL$4:QL$40,0)))</f>
      </c>
      <c r="QN7" t="str">
        <f>=QN6+F(AND(QM7&lt;&gt;"",COUNTIF(QM$4:QM7,QM7)=1),1,0)</f>
      </c>
      <c r="QO7" t="str">
        <f>IF(ROW()-3&gt;MAX(QN$4:QN$40),"",INDEX(QM$4:QM$40,MATCH(ROW()-3,QN$4:QN$40,0)))</f>
      </c>
      <c r="QP7" t="str">
        <f>IF(COUNTIF('Final Calculation Sheet'!$AM7:$BS7,0)&gt;0,0,1)</f>
      </c>
      <c r="QQ7" t="str">
        <f>IF($AI$7="",FALSE,SUMPRODUCT(('Final Calculation Sheet'!$A$4:$A$40=$AI$7)*($QP$4:$QP$40=1))&gt;0)</f>
      </c>
      <c r="QR7" t="str">
        <f>=$QR6+--($QQ7)</f>
      </c>
      <c r="QS7" t="str">
        <f>IF(ROW()-3&gt;MAX($QR$4:$QR$40),"",INDEX($AI$4:$AI$40,MATCH(ROW()-3,$QR$4:$QR$40,0)))</f>
      </c>
      <c r="QT7" t="str">
        <f>IF(COUNTIF('Final Calculation Sheet'!$AL7:$AL7,0)+COUNTIF('Final Calculation Sheet'!$AN7:$BS7,0)&gt;0,0,1)</f>
      </c>
      <c r="QU7" t="str">
        <f>IF($Y$7="",FALSE,SUMPRODUCT(('Final Calculation Sheet'!$B$4:$B$40=$Y$7)*($QT$4:$QT$40=1))&gt;0)</f>
      </c>
      <c r="QV7" t="str">
        <f>=$QV6+--($QU7)</f>
      </c>
      <c r="QW7" t="str">
        <f>IF(ROW()-3&gt;MAX($QV$4:$QV$40),"",INDEX($Y$4:$Y$40,MATCH(ROW()-3,$QV$4:$QV$40,0)))</f>
      </c>
      <c r="QX7" t="str">
        <f>IF(COUNTIF('Final Calculation Sheet'!$AL7:$AM7,0)+COUNTIF('Final Calculation Sheet'!$AO7:$BS7,0)&gt;0,0,1)</f>
      </c>
      <c r="QY7" t="str">
        <f>IF($AS$7="",FALSE,SUMPRODUCT(('Final Calculation Sheet'!$C$4:$C$40=$AS$7)*($QX$4:$QX$40=1))&gt;0)</f>
      </c>
      <c r="QZ7" t="str">
        <f>=$QZ6+--($QY7)</f>
      </c>
      <c r="RA7" t="str">
        <f>IF(ROW()-3&gt;MAX($QZ$4:$QZ$40),"",INDEX($AS$4:$AS$40,MATCH(ROW()-3,$QZ$4:$QZ$40,0)))</f>
      </c>
      <c r="RB7" t="str">
        <f>IF(COUNTIF('Final Calculation Sheet'!$AL7:$AN7,0)+COUNTIF('Final Calculation Sheet'!$AP7:$BS7,0)&gt;0,0,1)</f>
      </c>
      <c r="RC7" t="str">
        <f>IF($AD$7="",FALSE,SUMPRODUCT(('Final Calculation Sheet'!$D$4:$D$40=$AD$7)*($RB$4:$RB$40=1))&gt;0)</f>
      </c>
      <c r="RD7" t="str">
        <f>=$RD6+--($RC7)</f>
      </c>
      <c r="RE7" t="str">
        <f>IF(ROW()-3&gt;MAX($RD$4:$RD$40),"",INDEX($AD$4:$AD$40,MATCH(ROW()-3,$RD$4:$RD$40,0)))</f>
      </c>
      <c r="RF7" t="str">
        <f>IF(COUNTIF('Final Calculation Sheet'!$AL7:$AO7,0)+COUNTIF('Final Calculation Sheet'!$AQ7:$BS7,0)&gt;0,0,1)</f>
      </c>
      <c r="RG7" t="str">
        <f>IF($AN$7="",FALSE,SUMPRODUCT(('Final Calculation Sheet'!$E$4:$E$40=$AN$7)*($RF$4:$RF$40=1))&gt;0)</f>
      </c>
      <c r="RH7" t="str">
        <f>=$RH6+--($RG7)</f>
      </c>
      <c r="RI7" t="str">
        <f>IF(ROW()-3&gt;MAX($RH$4:$RH$40),"",INDEX($AN$4:$AN$40,MATCH(ROW()-3,$RH$4:$RH$40,0)))</f>
      </c>
      <c r="RJ7" t="str">
        <f>IF(COUNTIF('Final Calculation Sheet'!$AL7:$AP7,0)+COUNTIF('Final Calculation Sheet'!$AR7:$BS7,0)&gt;0,0,1)</f>
      </c>
      <c r="RK7" t="str">
        <f>IF($O$7="",FALSE,SUMPRODUCT(('Final Calculation Sheet'!$F$4:$F$40=$O$7)*($RJ$4:$RJ$40=1))&gt;0)</f>
      </c>
      <c r="RL7" t="str">
        <f>=$RL6+--($RK7)</f>
      </c>
      <c r="RM7" t="str">
        <f>IF(ROW()-3&gt;MAX($RL$4:$RL$40),"",INDEX($O$4:$O$40,MATCH(ROW()-3,$RL$4:$RL$40,0)))</f>
      </c>
      <c r="RN7" t="str">
        <f>IF(COUNTIF('Final Calculation Sheet'!$AL7:$AQ7,0)+COUNTIF('Final Calculation Sheet'!$AS7:$BS7,0)&gt;0,0,1)</f>
      </c>
      <c r="RO7" t="str">
        <f>IF($T$7="",FALSE,SUMPRODUCT(('Final Calculation Sheet'!$G$4:$G$40=$T$7)*($RN$4:$RN$40=1))&gt;0)</f>
      </c>
      <c r="RP7" t="str">
        <f>=$RP6+--($RO7)</f>
      </c>
      <c r="RQ7" t="str">
        <f>IF(ROW()-3&gt;MAX($RP$4:$RP$40),"",INDEX($T$4:$T$40,MATCH(ROW()-3,$RP$4:$RP$40,0)))</f>
      </c>
      <c r="RR7" t="str">
        <f>IF(COUNTIF('Final Calculation Sheet'!$AL7:$AR7,0)+COUNTIF('Final Calculation Sheet'!$AT7:$BS7,0)&gt;0,0,1)</f>
      </c>
      <c r="RS7" t="str">
        <f>IF($AX$7="",FALSE,SUMPRODUCT(('Final Calculation Sheet'!$H$4:$H$40=$AX$7)*($RR$4:$RR$40=1))&gt;0)</f>
      </c>
      <c r="RT7" t="str">
        <f>=$RT6+--($RS7)</f>
      </c>
      <c r="RU7" t="str">
        <f>IF(ROW()-3&gt;MAX($RT$4:$RT$40),"",INDEX($AX$4:$AX$40,MATCH(ROW()-3,$RT$4:$RT$40,0)))</f>
      </c>
      <c r="RV7" t="str">
        <f>IF(COUNTIF('Final Calculation Sheet'!$AL7:$AS7,0)+COUNTIF('Final Calculation Sheet'!$AU7:$BS7,0)&gt;0,0,1)</f>
      </c>
      <c r="RW7" t="str">
        <f>IF($BC$7="",FALSE,SUMPRODUCT(('Final Calculation Sheet'!$I$4:$I$40=$BC$7)*($RV$4:$RV$40=1))&gt;0)</f>
      </c>
      <c r="RX7" t="str">
        <f>=$RX6+--($RW7)</f>
      </c>
      <c r="RY7" t="str">
        <f>IF(ROW()-3&gt;MAX($RX$4:$RX$40),"",INDEX($BC$4:$BC$40,MATCH(ROW()-3,$RX$4:$RX$40,0)))</f>
      </c>
      <c r="RZ7" t="str">
        <f>IF(COUNTIF('Final Calculation Sheet'!$AL7:$AT7,0)+COUNTIF('Final Calculation Sheet'!$AV7:$BS7,0)&gt;0,0,1)</f>
      </c>
      <c r="SA7" t="str">
        <f>IF($BH$7="",FALSE,SUMPRODUCT(('Final Calculation Sheet'!$J$4:$J$40=$BH$7)*($RZ$4:$RZ$40=1))&gt;0)</f>
      </c>
      <c r="SB7" t="str">
        <f>=$SB6+--($SA7)</f>
      </c>
      <c r="SC7" t="str">
        <f>IF(ROW()-3&gt;MAX($SB$4:$SB$40),"",INDEX($BH$4:$BH$40,MATCH(ROW()-3,$SB$4:$SB$40,0)))</f>
      </c>
      <c r="SD7" t="str">
        <f>IF(COUNTIF('Final Calculation Sheet'!$AL7:$AU7,0)+COUNTIF('Final Calculation Sheet'!$AW7:$BS7,0)&gt;0,0,1)</f>
      </c>
      <c r="SE7" t="str">
        <f>IF($BM$7="",FALSE,SUMPRODUCT(('Final Calculation Sheet'!$K$4:$K$40=$BM$7)*($SD$4:$SD$40=1))&gt;0)</f>
      </c>
      <c r="SF7" t="str">
        <f>=$SF6+--($SE7)</f>
      </c>
      <c r="SG7" t="str">
        <f>IF(ROW()-3&gt;MAX($SF$4:$SF$40),"",INDEX($BM$4:$BM$40,MATCH(ROW()-3,$SF$4:$SF$40,0)))</f>
      </c>
      <c r="SH7" t="str">
        <f>IF(COUNTIF('Final Calculation Sheet'!$AL7:$AV7,0)+COUNTIF('Final Calculation Sheet'!$AX7:$BS7,0)&gt;0,0,1)</f>
      </c>
      <c r="SI7" t="str">
        <f>IF($BR$7="",FALSE,SUMPRODUCT(('Final Calculation Sheet'!$L$4:$L$40=$BR$7)*($SH$4:$SH$40=1))&gt;0)</f>
      </c>
      <c r="SJ7" t="str">
        <f>=$SJ6+--($SI7)</f>
      </c>
      <c r="SK7" t="str">
        <f>IF(ROW()-3&gt;MAX($SJ$4:$SJ$40),"",INDEX($BR$4:$BR$40,MATCH(ROW()-3,$SJ$4:$SJ$40,0)))</f>
      </c>
      <c r="SL7" t="str">
        <f>IF(COUNTIF('Final Calculation Sheet'!$AL7:$AW7,0)+COUNTIF('Final Calculation Sheet'!$AY7:$BS7,0)&gt;0,0,1)</f>
      </c>
      <c r="SM7" t="str">
        <f>IF($BW$7="",FALSE,SUMPRODUCT(('Final Calculation Sheet'!$M$4:$M$40=$BW$7)*($SL$4:$SL$40=1))&gt;0)</f>
      </c>
      <c r="SN7" t="str">
        <f>=$SN6+--($SM7)</f>
      </c>
      <c r="SO7" t="str">
        <f>IF(ROW()-3&gt;MAX($SN$4:$SN$40),"",INDEX($BW$4:$BW$40,MATCH(ROW()-3,$SN$4:$SN$40,0)))</f>
      </c>
      <c r="SP7" t="str">
        <f>IF(COUNTIF('Final Calculation Sheet'!$AL7:$AX7,0)+COUNTIF('Final Calculation Sheet'!$AZ7:$BS7,0)&gt;0,0,1)</f>
      </c>
      <c r="SQ7" t="str">
        <f>IF($CB$7="",FALSE,SUMPRODUCT(('Final Calculation Sheet'!$N$4:$N$40=$CB$7)*($SP$4:$SP$40=1))&gt;0)</f>
      </c>
      <c r="SR7" t="str">
        <f>=$SR6+--($SQ7)</f>
      </c>
      <c r="SS7" t="str">
        <f>IF(ROW()-3&gt;MAX($SR$4:$SR$40),"",INDEX($CB$4:$CB$40,MATCH(ROW()-3,$SR$4:$SR$40,0)))</f>
      </c>
      <c r="ST7" t="str">
        <f>IF(COUNTIF('Final Calculation Sheet'!$AL7:$AY7,0)+COUNTIF('Final Calculation Sheet'!$BA7:$BS7,0)&gt;0,0,1)</f>
      </c>
      <c r="SU7" t="str">
        <f>IF($CG$7="",FALSE,SUMPRODUCT(('Final Calculation Sheet'!$O$4:$O$40=$CG$7)*($ST$4:$ST$40=1))&gt;0)</f>
      </c>
      <c r="SV7" t="str">
        <f>=$SV6+--($SU7)</f>
      </c>
      <c r="SW7" t="str">
        <f>IF(ROW()-3&gt;MAX($SV$4:$SV$40),"",INDEX($CG$4:$CG$40,MATCH(ROW()-3,$SV$4:$SV$40,0)))</f>
      </c>
      <c r="SX7" t="str">
        <f>IF(COUNTIF('Final Calculation Sheet'!$AL7:$AZ7,0)+COUNTIF('Final Calculation Sheet'!$BB7:$BS7,0)&gt;0,0,1)</f>
      </c>
      <c r="SY7" t="str">
        <f>IF($CL$7="",FALSE,SUMPRODUCT(('Final Calculation Sheet'!$P$4:$P$40=$CL$7)*($SX$4:$SX$40=1))&gt;0)</f>
      </c>
      <c r="SZ7" t="str">
        <f>=$SZ6+--($SY7)</f>
      </c>
      <c r="TA7" t="str">
        <f>IF(ROW()-3&gt;MAX($SZ$4:$SZ$40),"",INDEX($CL$4:$CL$40,MATCH(ROW()-3,$SZ$4:$SZ$40,0)))</f>
      </c>
      <c r="TB7" t="str">
        <f>IF(COUNTIF('Final Calculation Sheet'!$AL7:$BA7,0)+COUNTIF('Final Calculation Sheet'!$BC7:$BS7,0)&gt;0,0,1)</f>
      </c>
      <c r="TC7" t="str">
        <f>IF($CQ$7="",FALSE,SUMPRODUCT(('Final Calculation Sheet'!$Q$4:$Q$40=$CQ$7)*($TB$4:$TB$40=1))&gt;0)</f>
      </c>
      <c r="TD7" t="str">
        <f>=$TD6+--($TC7)</f>
      </c>
      <c r="TE7" t="str">
        <f>IF(ROW()-3&gt;MAX($TD$4:$TD$40),"",INDEX($CQ$4:$CQ$40,MATCH(ROW()-3,$TD$4:$TD$40,0)))</f>
      </c>
      <c r="TF7" t="str">
        <f>IF(COUNTIF('Final Calculation Sheet'!$AL7:$BB7,0)+COUNTIF('Final Calculation Sheet'!$BD7:$BS7,0)&gt;0,0,1)</f>
      </c>
      <c r="TG7" t="str">
        <f>IF($CV$7="",FALSE,SUMPRODUCT(('Final Calculation Sheet'!$R$4:$R$40=$CV$7)*($TF$4:$TF$40=1))&gt;0)</f>
      </c>
      <c r="TH7" t="str">
        <f>=$TH6+--($TG7)</f>
      </c>
      <c r="TI7" t="str">
        <f>IF(ROW()-3&gt;MAX($TH$4:$TH$40),"",INDEX($CV$4:$CV$40,MATCH(ROW()-3,$TH$4:$TH$40,0)))</f>
      </c>
      <c r="TJ7" t="str">
        <f>IF(COUNTIF('Final Calculation Sheet'!$AL7:$BC7,0)+COUNTIF('Final Calculation Sheet'!$BE7:$BS7,0)&gt;0,0,1)</f>
      </c>
      <c r="TK7" t="str">
        <f>IF($DA$7="",FALSE,SUMPRODUCT(('Final Calculation Sheet'!$S$4:$S$40=$DA$7)*($TJ$4:$TJ$40=1))&gt;0)</f>
      </c>
      <c r="TL7" t="str">
        <f>=$TL6+--($TK7)</f>
      </c>
      <c r="TM7" t="str">
        <f>IF(ROW()-3&gt;MAX($TL$4:$TL$40),"",INDEX($DA$4:$DA$40,MATCH(ROW()-3,$TL$4:$TL$40,0)))</f>
      </c>
      <c r="TN7" t="str">
        <f>IF(COUNTIF('Final Calculation Sheet'!$AL7:$BD7,0)+COUNTIF('Final Calculation Sheet'!$BF7:$BS7,0)&gt;0,0,1)</f>
      </c>
      <c r="TO7" t="str">
        <f>IF($DF$7="",FALSE,SUMPRODUCT(('Final Calculation Sheet'!$T$4:$T$40=$DF$7)*($TN$4:$TN$40=1))&gt;0)</f>
      </c>
      <c r="TP7" t="str">
        <f>=$TP6+--($TO7)</f>
      </c>
      <c r="TQ7" t="str">
        <f>IF(ROW()-3&gt;MAX($TP$4:$TP$40),"",INDEX($DF$4:$DF$40,MATCH(ROW()-3,$TP$4:$TP$40,0)))</f>
      </c>
      <c r="TR7" t="str">
        <f>IF(COUNTIF('Final Calculation Sheet'!$AL7:$BE7,0)+COUNTIF('Final Calculation Sheet'!$BG7:$BS7,0)&gt;0,0,1)</f>
      </c>
      <c r="TS7" t="str">
        <f>IF($DK$7="",FALSE,SUMPRODUCT(('Final Calculation Sheet'!$U$4:$U$40=$DK$7)*($TR$4:$TR$40=1))&gt;0)</f>
      </c>
      <c r="TT7" t="str">
        <f>=$TT6+--($TS7)</f>
      </c>
      <c r="TU7" t="str">
        <f>IF(ROW()-3&gt;MAX($TT$4:$TT$40),"",INDEX($DK$4:$DK$40,MATCH(ROW()-3,$TT$4:$TT$40,0)))</f>
      </c>
      <c r="TV7" t="str">
        <f>IF(COUNTIF('Final Calculation Sheet'!$AL7:$BF7,0)+COUNTIF('Final Calculation Sheet'!$BH7:$BS7,0)&gt;0,0,1)</f>
      </c>
      <c r="TW7" t="str">
        <f>IF($DP$7="",FALSE,SUMPRODUCT(('Final Calculation Sheet'!$V$4:$V$40=$DP$7)*($TV$4:$TV$40=1))&gt;0)</f>
      </c>
      <c r="TX7" t="str">
        <f>=$TX6+--($TW7)</f>
      </c>
      <c r="TY7" t="str">
        <f>IF(ROW()-3&gt;MAX($TX$4:$TX$40),"",INDEX($DP$4:$DP$40,MATCH(ROW()-3,$TX$4:$TX$40,0)))</f>
      </c>
      <c r="TZ7" t="str">
        <f>IF(COUNTIF('Final Calculation Sheet'!$AL7:$BG7,0)+COUNTIF('Final Calculation Sheet'!$BI7:$BS7,0)&gt;0,0,1)</f>
      </c>
      <c r="UA7" t="str">
        <f>IF($DU$7="",FALSE,SUMPRODUCT(('Final Calculation Sheet'!$W$4:$W$40=$DU$7)*($TZ$4:$TZ$40=1))&gt;0)</f>
      </c>
      <c r="UB7" t="str">
        <f>=$UB6+--($UA7)</f>
      </c>
      <c r="UC7" t="str">
        <f>IF(ROW()-3&gt;MAX($UB$4:$UB$40),"",INDEX($DU$4:$DU$40,MATCH(ROW()-3,$UB$4:$UB$40,0)))</f>
      </c>
      <c r="UD7" t="str">
        <f>IF(COUNTIF('Final Calculation Sheet'!$AL7:$BH7,0)+COUNTIF('Final Calculation Sheet'!$BJ7:$BS7,0)&gt;0,0,1)</f>
      </c>
      <c r="UE7" t="str">
        <f>IF($DZ$7="",FALSE,SUMPRODUCT(('Final Calculation Sheet'!$X$4:$X$40=$DZ$7)*($UD$4:$UD$40=1))&gt;0)</f>
      </c>
      <c r="UF7" t="str">
        <f>=$UF6+--($UE7)</f>
      </c>
      <c r="UG7" t="str">
        <f>IF(ROW()-3&gt;MAX($UF$4:$UF$40),"",INDEX($DZ$4:$DZ$40,MATCH(ROW()-3,$UF$4:$UF$40,0)))</f>
      </c>
      <c r="UH7" t="str">
        <f>IF(COUNTIF('Final Calculation Sheet'!$AL7:$BI7,0)+COUNTIF('Final Calculation Sheet'!$BK7:$BS7,0)&gt;0,0,1)</f>
      </c>
      <c r="UI7" t="str">
        <f>IF($EE$7="",FALSE,SUMPRODUCT(('Final Calculation Sheet'!$Y$4:$Y$40=$EE$7)*($UH$4:$UH$40=1))&gt;0)</f>
      </c>
      <c r="UJ7" t="str">
        <f>=$UJ6+--($UI7)</f>
      </c>
      <c r="UK7" t="str">
        <f>IF(ROW()-3&gt;MAX($UJ$4:$UJ$40),"",INDEX($EE$4:$EE$40,MATCH(ROW()-3,$UJ$4:$UJ$40,0)))</f>
      </c>
      <c r="UL7" t="str">
        <f>IF(COUNTIF('Final Calculation Sheet'!$AL7:$BJ7,0)+COUNTIF('Final Calculation Sheet'!$BL7:$BS7,0)&gt;0,0,1)</f>
      </c>
      <c r="UM7" t="str">
        <f>IF($EJ$7="",FALSE,SUMPRODUCT(('Final Calculation Sheet'!$Z$4:$Z$40=$EJ$7)*($UL$4:$UL$40=1))&gt;0)</f>
      </c>
      <c r="UN7" t="str">
        <f>=$UN6+--($UM7)</f>
      </c>
      <c r="UO7" t="str">
        <f>IF(ROW()-3&gt;MAX($UN$4:$UN$40),"",INDEX($EJ$4:$EJ$40,MATCH(ROW()-3,$UN$4:$UN$40,0)))</f>
      </c>
      <c r="UP7" t="str">
        <f>IF(COUNTIF('Final Calculation Sheet'!$AL7:$BK7,0)+COUNTIF('Final Calculation Sheet'!$BM7:$BS7,0)&gt;0,0,1)</f>
      </c>
      <c r="UQ7" t="str">
        <f>IF($EO$7="",FALSE,SUMPRODUCT(('Final Calculation Sheet'!$AA$4:$AA$40=$EO$7)*($UP$4:$UP$40=1))&gt;0)</f>
      </c>
      <c r="UR7" t="str">
        <f>=$UR6+--($UQ7)</f>
      </c>
      <c r="US7" t="str">
        <f>IF(ROW()-3&gt;MAX($UR$4:$UR$40),"",INDEX($EO$4:$EO$40,MATCH(ROW()-3,$UR$4:$UR$40,0)))</f>
      </c>
      <c r="UT7" t="str">
        <f>IF(COUNTIF('Final Calculation Sheet'!$AL7:$BL7,0)+COUNTIF('Final Calculation Sheet'!$BN7:$BS7,0)&gt;0,0,1)</f>
      </c>
      <c r="UU7" t="str">
        <f>IF($ET$7="",FALSE,SUMPRODUCT(('Final Calculation Sheet'!$AB$4:$AB$40=$ET$7)*($UT$4:$UT$40=1))&gt;0)</f>
      </c>
      <c r="UV7" t="str">
        <f>=$UV6+--($UU7)</f>
      </c>
      <c r="UW7" t="str">
        <f>IF(ROW()-3&gt;MAX($UV$4:$UV$40),"",INDEX($ET$4:$ET$40,MATCH(ROW()-3,$UV$4:$UV$40,0)))</f>
      </c>
      <c r="UX7" t="str">
        <f>IF(COUNTIF('Final Calculation Sheet'!$AL7:$BM7,0)+COUNTIF('Final Calculation Sheet'!$BO7:$BS7,0)&gt;0,0,1)</f>
      </c>
      <c r="UY7" t="str">
        <f>IF($EY$7="",FALSE,SUMPRODUCT(('Final Calculation Sheet'!$AC$4:$AC$40=$EY$7)*($UX$4:$UX$40=1))&gt;0)</f>
      </c>
      <c r="UZ7" t="str">
        <f>=$UZ6+--($UY7)</f>
      </c>
      <c r="VA7" t="str">
        <f>IF(ROW()-3&gt;MAX($UZ$4:$UZ$40),"",INDEX($EY$4:$EY$40,MATCH(ROW()-3,$UZ$4:$UZ$40,0)))</f>
      </c>
      <c r="VB7" t="str">
        <f>IF(COUNTIF('Final Calculation Sheet'!$AL7:$BN7,0)+COUNTIF('Final Calculation Sheet'!$BP7:$BS7,0)&gt;0,0,1)</f>
      </c>
      <c r="VC7" t="str">
        <f>IF($FD$7="",FALSE,SUMPRODUCT(('Final Calculation Sheet'!$AD$4:$AD$40=$FD$7)*($VB$4:$VB$40=1))&gt;0)</f>
      </c>
      <c r="VD7" t="str">
        <f>=$VD6+--($VC7)</f>
      </c>
      <c r="VE7" t="str">
        <f>IF(ROW()-3&gt;MAX($VD$4:$VD$40),"",INDEX($FD$4:$FD$40,MATCH(ROW()-3,$VD$4:$VD$40,0)))</f>
      </c>
      <c r="VF7" t="str">
        <f>IF(COUNTIF('Final Calculation Sheet'!$AL7:$BO7,0)+COUNTIF('Final Calculation Sheet'!$BQ7:$BS7,0)&gt;0,0,1)</f>
      </c>
      <c r="VG7" t="str">
        <f>IF($FI$7="",FALSE,SUMPRODUCT(('Final Calculation Sheet'!$AE$4:$AE$40=$FI$7)*($VF$4:$VF$40=1))&gt;0)</f>
      </c>
      <c r="VH7" t="str">
        <f>=$VH6+--($VG7)</f>
      </c>
      <c r="VI7" t="str">
        <f>IF(ROW()-3&gt;MAX($VH$4:$VH$40),"",INDEX($FI$4:$FI$40,MATCH(ROW()-3,$VH$4:$VH$40,0)))</f>
      </c>
      <c r="VJ7" t="str">
        <f>IF(COUNTIF('Final Calculation Sheet'!$AL7:$BP7,0)+COUNTIF('Final Calculation Sheet'!$BR7:$BS7,0)&gt;0,0,1)</f>
      </c>
      <c r="VK7" t="str">
        <f>IF($FN$7="",FALSE,SUMPRODUCT(('Final Calculation Sheet'!$AF$4:$AF$40=$FN$7)*($VJ$4:$VJ$40=1))&gt;0)</f>
      </c>
      <c r="VL7" t="str">
        <f>=$VL6+--($VK7)</f>
      </c>
      <c r="VM7" t="str">
        <f>IF(ROW()-3&gt;MAX($VL$4:$VL$40),"",INDEX($FN$4:$FN$40,MATCH(ROW()-3,$VL$4:$VL$40,0)))</f>
      </c>
      <c r="VN7" t="str">
        <f>IF(COUNTIF('Final Calculation Sheet'!$AL7:$BQ7,0)+COUNTIF('Final Calculation Sheet'!$BS7:$BS7,0)&gt;0,0,1)</f>
      </c>
      <c r="VO7" t="str">
        <f>IF($FS$7="",FALSE,SUMPRODUCT(('Final Calculation Sheet'!$AG$4:$AG$40=$FS$7)*($VN$4:$VN$40=1))&gt;0)</f>
      </c>
      <c r="VP7" t="str">
        <f>=$VP6+--($VO7)</f>
      </c>
      <c r="VQ7" t="str">
        <f>IF(ROW()-3&gt;MAX($VP$4:$VP$40),"",INDEX($FS$4:$FS$40,MATCH(ROW()-3,$VP$4:$VP$40,0)))</f>
      </c>
      <c r="VR7" t="str">
        <f>IF(COUNTIF('Final Calculation Sheet'!$AL7:$BR7,0)&gt;0,0,1)</f>
      </c>
      <c r="VS7" t="str">
        <f>IF($QO$7="",FALSE,SUMPRODUCT(('Final Calculation Sheet'!$AH$4:$AH$40=$QO$7)*($VR$4:$VR$40=1))&gt;0)</f>
      </c>
      <c r="VT7" t="str">
        <f>=$VT6+--($VS7)</f>
      </c>
      <c r="VU7" t="str">
        <f>IF(ROW()-3&gt;MAX($VT$4:$VT$40),"",INDEX($QO$4:$QO$40,MATCH(ROW()-3,$VT$4:$VT$40,0)))</f>
      </c>
    </row>
    <row r="8">
      <c r="A8">
        <f>IF(IFERROR('Final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IF(IFERROR('Final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s="55">
        <f>IF('Final Calculation Sheet'!$C$8="","",'Final Calculation Sheet'!$C$8)</f>
        <v/>
      </c>
      <c r="AP8">
        <f>IF(AO8="","",COUNTIFS(AO$4:AO$40,"&lt;"&amp;AO8,AO$4:AO$40,"&lt;&gt;"&amp;"")+COUNTIF(AO$4:AO8,AO8))</f>
        <v/>
      </c>
      <c r="AQ8" s="55">
        <f>IF(ROW()-3&gt;COUNTIF(AO$4:AO$40,"&lt;&gt;"&amp;""),"",INDEX(AO$4:AO$40,MATCH(ROW()-3,AP$4:AP$40,0)))</f>
        <v/>
      </c>
      <c r="AR8">
        <f>AR7+IF(AND(AQ8&lt;&gt;"",COUNTIF(AQ$4:AQ8,AQ8)=1),1,0)</f>
        <v/>
      </c>
      <c r="AS8" s="55">
        <f>IF(ROW()-3&gt;MAX(AR$4:AR$40),"",INDEX(AQ$4:AQ$40,MATCH(ROW()-3,AR$4:AR$40,0)))</f>
        <v/>
      </c>
      <c r="AT8" s="55">
        <f>IF('Final Calculation Sheet'!$H$8="","",'Final Calculation Sheet'!$H$8)</f>
        <v/>
      </c>
      <c r="AU8">
        <f>IF(AT8="","",COUNTIFS(AT$4:AT$40,"&lt;"&amp;AT8,AT$4:AT$40,"&lt;&gt;"&amp;"")+COUNTIF(AT$4:AT8,AT8))</f>
        <v/>
      </c>
      <c r="AV8" s="55">
        <f>IF(ROW()-3&gt;COUNTIF(AT$4:AT$40,"&lt;&gt;"&amp;""),"",INDEX(AT$4:AT$40,MATCH(ROW()-3,AU$4:AU$40,0)))</f>
        <v/>
      </c>
      <c r="AW8">
        <f>AW7+IF(AND(AV8&lt;&gt;"",COUNTIF(AV$4:AV8,AV8)=1),1,0)</f>
        <v/>
      </c>
      <c r="AX8" s="55">
        <f>IF(ROW()-3&gt;MAX(AW$4:AW$40),"",INDEX(AV$4:AV$40,MATCH(ROW()-3,AW$4:AW$40,0)))</f>
        <v/>
      </c>
      <c r="AY8" s="55">
        <f>IF('Final Calculation Sheet'!$I$8="","",'Final Calculation Sheet'!$I$8)</f>
        <v/>
      </c>
      <c r="AZ8">
        <f>IF(AY8="","",COUNTIFS(AY$4:AY$40,"&lt;"&amp;AY8,AY$4:AY$40,"&lt;&gt;"&amp;"")+COUNTIF(AY$4:AY8,AY8))</f>
        <v/>
      </c>
      <c r="BA8" s="55">
        <f>IF(ROW()-3&gt;COUNTIF(AY$4:AY$40,"&lt;&gt;"&amp;""),"",INDEX(AY$4:AY$40,MATCH(ROW()-3,AZ$4:AZ$40,0)))</f>
        <v/>
      </c>
      <c r="BB8">
        <f>BB7+IF(AND(BA8&lt;&gt;"",COUNTIF(BA$4:BA8,BA8)=1),1,0)</f>
        <v/>
      </c>
      <c r="BC8" s="55">
        <f>IF(ROW()-3&gt;MAX(BB$4:BB$40),"",INDEX(BA$4:BA$40,MATCH(ROW()-3,BB$4:BB$40,0)))</f>
        <v/>
      </c>
      <c r="BD8" s="55">
        <f>IF('Final Calculation Sheet'!$J$8="","",'Final Calculation Sheet'!$J$8)</f>
        <v/>
      </c>
      <c r="BE8">
        <f>IF(BD8="","",COUNTIFS(BD$4:BD$40,"&lt;"&amp;BD8,BD$4:BD$40,"&lt;&gt;"&amp;"")+COUNTIF(BD$4:BD8,BD8))</f>
        <v/>
      </c>
      <c r="BF8" s="55">
        <f>IF(ROW()-3&gt;COUNTIF(BD$4:BD$40,"&lt;&gt;"&amp;""),"",INDEX(BD$4:BD$40,MATCH(ROW()-3,BE$4:BE$40,0)))</f>
        <v/>
      </c>
      <c r="BG8">
        <f>BG7+IF(AND(BF8&lt;&gt;"",COUNTIF(BF$4:BF8,BF8)=1),1,0)</f>
        <v/>
      </c>
      <c r="BH8" s="55">
        <f>IF(ROW()-3&gt;MAX(BG$4:BG$40),"",INDEX(BF$4:BF$40,MATCH(ROW()-3,BG$4:BG$40,0)))</f>
        <v/>
      </c>
      <c r="BI8" s="55">
        <f>IF('Final Calculation Sheet'!$K$8="","",'Final Calculation Sheet'!$K$8)</f>
        <v/>
      </c>
      <c r="BJ8">
        <f>IF(BI8="","",COUNTIFS(BI$4:BI$40,"&lt;"&amp;BI8,BI$4:BI$40,"&lt;&gt;"&amp;"")+COUNTIF(BI$4:BI8,BI8))</f>
        <v/>
      </c>
      <c r="BK8" s="55">
        <f>IF(ROW()-3&gt;COUNTIF(BI$4:BI$40,"&lt;&gt;"&amp;""),"",INDEX(BI$4:BI$40,MATCH(ROW()-3,BJ$4:BJ$40,0)))</f>
        <v/>
      </c>
      <c r="BL8">
        <f>BL7+IF(AND(BK8&lt;&gt;"",COUNTIF(BK$4:BK8,BK8)=1),1,0)</f>
        <v/>
      </c>
      <c r="BM8" s="55">
        <f>IF(ROW()-3&gt;MAX(BL$4:BL$40),"",INDEX(BK$4:BK$40,MATCH(ROW()-3,BL$4:BL$40,0)))</f>
        <v/>
      </c>
      <c r="BN8" s="55">
        <f>IF('Final Calculation Sheet'!$L$8="","",'Final Calculation Sheet'!$L$8)</f>
        <v/>
      </c>
      <c r="BO8">
        <f>IF(BN8="","",COUNTIFS(BN$4:BN$40,"&lt;"&amp;BN8,BN$4:BN$40,"&lt;&gt;"&amp;"")+COUNTIF(BN$4:BN8,BN8))</f>
        <v/>
      </c>
      <c r="BP8" s="55">
        <f>IF(ROW()-3&gt;COUNTIF(BN$4:BN$40,"&lt;&gt;"&amp;""),"",INDEX(BN$4:BN$40,MATCH(ROW()-3,BO$4:BO$40,0)))</f>
        <v/>
      </c>
      <c r="BQ8">
        <f>BQ7+IF(AND(BP8&lt;&gt;"",COUNTIF(BP$4:BP8,BP8)=1),1,0)</f>
        <v/>
      </c>
      <c r="BR8" s="55">
        <f>IF(ROW()-3&gt;MAX(BQ$4:BQ$40),"",INDEX(BP$4:BP$40,MATCH(ROW()-3,BQ$4:BQ$40,0)))</f>
        <v/>
      </c>
      <c r="BS8" s="55">
        <f>IF('Final Calculation Sheet'!$M$8="","",'Final Calculation Sheet'!$M$8)</f>
        <v/>
      </c>
      <c r="BT8">
        <f>IF(BS8="","",COUNTIFS(BS$4:BS$40,"&lt;"&amp;BS8,BS$4:BS$40,"&lt;&gt;"&amp;"")+COUNTIF(BS$4:BS8,BS8))</f>
        <v/>
      </c>
      <c r="BU8" s="55">
        <f>IF(ROW()-3&gt;COUNTIF(BS$4:BS$40,"&lt;&gt;"&amp;""),"",INDEX(BS$4:BS$40,MATCH(ROW()-3,BT$4:BT$40,0)))</f>
        <v/>
      </c>
      <c r="BV8">
        <f>BV7+IF(AND(BU8&lt;&gt;"",COUNTIF(BU$4:BU8,BU8)=1),1,0)</f>
        <v/>
      </c>
      <c r="BW8" s="55">
        <f>IF(ROW()-3&gt;MAX(BV$4:BV$40),"",INDEX(BU$4:BU$40,MATCH(ROW()-3,BV$4:BV$40,0)))</f>
        <v/>
      </c>
      <c r="BX8" s="138">
        <f>IF('Final Calculation Sheet'!$N$8="","",'Final Calculation Sheet'!$N$8)</f>
        <v/>
      </c>
      <c r="BY8">
        <f>IF(BX8="","",COUNTIFS(BX$4:BX$40,"&lt;"&amp;BX8,BX$4:BX$40,"&lt;&gt;"&amp;"")+COUNTIF(BX$4:BX8,BX8))</f>
        <v/>
      </c>
      <c r="BZ8" s="138">
        <f>IF(ROW()-3&gt;COUNTIF(BX$4:BX$40,"&lt;&gt;"&amp;""),"",INDEX(BX$4:BX$40,MATCH(ROW()-3,BY$4:BY$40,0)))</f>
        <v/>
      </c>
      <c r="CA8">
        <f>CA7+IF(AND(BZ8&lt;&gt;"",COUNTIF(BZ$4:BZ8,BZ8)=1),1,0)</f>
        <v/>
      </c>
      <c r="CB8" s="138">
        <f>IF(ROW()-3&gt;MAX(CA$4:CA$40),"",INDEX(BZ$4:BZ$40,MATCH(ROW()-3,CA$4:CA$40,0)))</f>
        <v/>
      </c>
      <c r="CC8" s="55">
        <f>IF('Final Calculation Sheet'!$O$8="","",'Final Calculation Sheet'!$O$8)</f>
        <v/>
      </c>
      <c r="CD8">
        <f>IF(CC8="","",COUNTIFS(CC$4:CC$40,"&lt;"&amp;CC8,CC$4:CC$40,"&lt;&gt;"&amp;"")+COUNTIF(CC$4:CC8,CC8))</f>
        <v/>
      </c>
      <c r="CE8" s="55">
        <f>IF(ROW()-3&gt;COUNTIF(CC$4:CC$40,"&lt;&gt;"&amp;""),"",INDEX(CC$4:CC$40,MATCH(ROW()-3,CD$4:CD$40,0)))</f>
        <v/>
      </c>
      <c r="CF8">
        <f>CF7+IF(AND(CE8&lt;&gt;"",COUNTIF(CE$4:CE8,CE8)=1),1,0)</f>
        <v/>
      </c>
      <c r="CG8" s="55">
        <f>IF(ROW()-3&gt;MAX(CF$4:CF$40),"",INDEX(CE$4:CE$40,MATCH(ROW()-3,CF$4:CF$40,0)))</f>
        <v/>
      </c>
      <c r="CH8" s="55">
        <f>IF('Final Calculation Sheet'!$P$8="","",'Final Calculation Sheet'!$P$8)</f>
        <v/>
      </c>
      <c r="CI8">
        <f>IF(CH8="","",COUNTIFS(CH$4:CH$40,"&lt;"&amp;CH8,CH$4:CH$40,"&lt;&gt;"&amp;"")+COUNTIF(CH$4:CH8,CH8))</f>
        <v/>
      </c>
      <c r="CJ8" s="55">
        <f>IF(ROW()-3&gt;COUNTIF(CH$4:CH$40,"&lt;&gt;"&amp;""),"",INDEX(CH$4:CH$40,MATCH(ROW()-3,CI$4:CI$40,0)))</f>
        <v/>
      </c>
      <c r="CK8">
        <f>CK7+IF(AND(CJ8&lt;&gt;"",COUNTIF(CJ$4:CJ8,CJ8)=1),1,0)</f>
        <v/>
      </c>
      <c r="CL8" s="55">
        <f>IF(ROW()-3&gt;MAX(CK$4:CK$40),"",INDEX(CJ$4:CJ$40,MATCH(ROW()-3,CK$4:CK$40,0)))</f>
        <v/>
      </c>
      <c r="CM8" s="139">
        <f>IF('Final Calculation Sheet'!$Q$8="","",'Final Calculation Sheet'!$Q$8)</f>
        <v/>
      </c>
      <c r="CN8">
        <f>IF(CM8="","",COUNTIFS(CM$4:CM$40,"&lt;"&amp;CM8,CM$4:CM$40,"&lt;&gt;"&amp;"")+COUNTIF(CM$4:CM8,CM8))</f>
        <v/>
      </c>
      <c r="CO8" s="139">
        <f>IF(ROW()-3&gt;COUNTIF(CM$4:CM$40,"&lt;&gt;"&amp;""),"",INDEX(CM$4:CM$40,MATCH(ROW()-3,CN$4:CN$40,0)))</f>
        <v/>
      </c>
      <c r="CP8">
        <f>CP7+IF(AND(CO8&lt;&gt;"",COUNTIF(CO$4:CO8,CO8)=1),1,0)</f>
        <v/>
      </c>
      <c r="CQ8">
        <f>IF(ROW()-3&gt;MAX(CP$4:CP$40),"",INDEX(CO$4:CO$40,MATCH(ROW()-3,CP$4:CP$40,0)))</f>
        <v/>
      </c>
      <c r="CR8" s="55">
        <f>IF('Final Calculation Sheet'!$R$8="","",'Final Calculation Sheet'!$R$8)</f>
        <v/>
      </c>
      <c r="CS8">
        <f>IF(CR8="","",COUNTIFS(CR$4:CR$40,"&lt;"&amp;CR8,CR$4:CR$40,"&lt;&gt;"&amp;"")+COUNTIF(CR$4:CR8,CR8))</f>
        <v/>
      </c>
      <c r="CT8" s="55">
        <f>IF(ROW()-3&gt;COUNTIF(CR$4:CR$40,"&lt;&gt;"&amp;""),"",INDEX(CR$4:CR$40,MATCH(ROW()-3,CS$4:CS$40,0)))</f>
        <v/>
      </c>
      <c r="CU8">
        <f>CU7+IF(AND(CT8&lt;&gt;"",COUNTIF(CT$4:CT8,CT8)=1),1,0)</f>
        <v/>
      </c>
      <c r="CV8" s="55">
        <f>IF(ROW()-3&gt;MAX(CU$4:CU$40),"",INDEX(CT$4:CT$40,MATCH(ROW()-3,CU$4:CU$40,0)))</f>
        <v/>
      </c>
      <c r="CW8" s="55">
        <f>IF('Final Calculation Sheet'!$S$8="","",'Final Calculation Sheet'!$S$8)</f>
        <v/>
      </c>
      <c r="CX8">
        <f>IF(CW8="","",COUNTIFS(CW$4:CW$40,"&lt;"&amp;CW8,CW$4:CW$40,"&lt;&gt;"&amp;"")+COUNTIF(CW$4:CW8,CW8))</f>
        <v/>
      </c>
      <c r="CY8" s="55">
        <f>IF(ROW()-3&gt;COUNTIF(CW$4:CW$40,"&lt;&gt;"&amp;""),"",INDEX(CW$4:CW$40,MATCH(ROW()-3,CX$4:CX$40,0)))</f>
        <v/>
      </c>
      <c r="CZ8">
        <f>CZ7+IF(AND(CY8&lt;&gt;"",COUNTIF(CY$4:CY8,CY8)=1),1,0)</f>
        <v/>
      </c>
      <c r="DA8" s="55">
        <f>IF(ROW()-3&gt;MAX(CZ$4:CZ$40),"",INDEX(CY$4:CY$40,MATCH(ROW()-3,CZ$4:CZ$40,0)))</f>
        <v/>
      </c>
      <c r="DB8" s="55">
        <f>IF('Final Calculation Sheet'!$T$8="","",'Final Calculation Sheet'!$T$8)</f>
        <v/>
      </c>
      <c r="DC8">
        <f>IF(DB8="","",COUNTIFS(DB$4:DB$40,"&lt;"&amp;DB8,DB$4:DB$40,"&lt;&gt;"&amp;"")+COUNTIF(DB$4:DB8,DB8))</f>
        <v/>
      </c>
      <c r="DD8" s="55">
        <f>IF(ROW()-3&gt;COUNTIF(DB$4:DB$40,"&lt;&gt;"&amp;""),"",INDEX(DB$4:DB$40,MATCH(ROW()-3,DC$4:DC$40,0)))</f>
        <v/>
      </c>
      <c r="DE8">
        <f>DE7+IF(AND(DD8&lt;&gt;"",COUNTIF(DD$4:DD8,DD8)=1),1,0)</f>
        <v/>
      </c>
      <c r="DF8" s="55">
        <f>IF(ROW()-3&gt;MAX(DE$4:DE$40),"",INDEX(DD$4:DD$40,MATCH(ROW()-3,DE$4:DE$40,0)))</f>
        <v/>
      </c>
      <c r="DG8" s="140">
        <f>IF('Final Calculation Sheet'!$U$8="","",'Final Calculation Sheet'!$U$8)</f>
        <v/>
      </c>
      <c r="DH8">
        <f>IF(DG8="","",COUNTIFS(DG$4:DG$40,"&lt;"&amp;DG8,DG$4:DG$40,"&lt;&gt;"&amp;"")+COUNTIF(DG$4:DG8,DG8))</f>
        <v/>
      </c>
      <c r="DI8" s="140">
        <f>IF(ROW()-3&gt;COUNTIF(DG$4:DG$40,"&lt;&gt;"&amp;""),"",INDEX(DG$4:DG$40,MATCH(ROW()-3,DH$4:DH$40,0)))</f>
        <v/>
      </c>
      <c r="DJ8">
        <f>DJ7+IF(AND(DI8&lt;&gt;"",COUNTIF(DI$4:DI8,DI8)=1),1,0)</f>
        <v/>
      </c>
      <c r="DK8" s="140">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s="55">
        <f>IF('Final Calculation Sheet'!$W$8="","",'Final Calculation Sheet'!$W$8)</f>
        <v/>
      </c>
      <c r="DR8">
        <f>IF(DQ8="","",COUNTIFS(DQ$4:DQ$40,"&lt;"&amp;DQ8,DQ$4:DQ$40,"&lt;&gt;"&amp;"")+COUNTIF(DQ$4:DQ8,DQ8))</f>
        <v/>
      </c>
      <c r="DS8" s="55">
        <f>IF(ROW()-3&gt;COUNTIF(DQ$4:DQ$40,"&lt;&gt;"&amp;""),"",INDEX(DQ$4:DQ$40,MATCH(ROW()-3,DR$4:DR$40,0)))</f>
        <v/>
      </c>
      <c r="DT8">
        <f>DT7+IF(AND(DS8&lt;&gt;"",COUNTIF(DS$4:DS8,DS8)=1),1,0)</f>
        <v/>
      </c>
      <c r="DU8" s="55">
        <f>IF(ROW()-3&gt;MAX(DT$4:DT$40),"",INDEX(DS$4:DS$40,MATCH(ROW()-3,DT$4:DT$40,0)))</f>
        <v/>
      </c>
      <c r="DV8" s="55">
        <f>IF('Final Calculation Sheet'!$X$8="","",'Final Calculation Sheet'!$X$8)</f>
        <v/>
      </c>
      <c r="DW8">
        <f>IF(DV8="","",COUNTIFS(DV$4:DV$40,"&lt;"&amp;DV8,DV$4:DV$40,"&lt;&gt;"&amp;"")+COUNTIF(DV$4:DV8,DV8))</f>
        <v/>
      </c>
      <c r="DX8" s="55">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s="55">
        <f>IF('Final Calculation Sheet'!$Z$8="","",'Final Calculation Sheet'!$Z$8)</f>
        <v/>
      </c>
      <c r="EG8">
        <f>IF(EF8="","",COUNTIFS(EF$4:EF$40,"&lt;"&amp;EF8,EF$4:EF$40,"&lt;&gt;"&amp;"")+COUNTIF(EF$4:EF8,EF8))</f>
        <v/>
      </c>
      <c r="EH8" s="55">
        <f>IF(ROW()-3&gt;COUNTIF(EF$4:EF$40,"&lt;&gt;"&amp;""),"",INDEX(EF$4:EF$40,MATCH(ROW()-3,EG$4:EG$40,0)))</f>
        <v/>
      </c>
      <c r="EI8">
        <f>EI7+IF(AND(EH8&lt;&gt;"",COUNTIF(EH$4:EH8,EH8)=1),1,0)</f>
        <v/>
      </c>
      <c r="EJ8" s="55">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s="55">
        <f>IF('Final Calculation Sheet'!$AC$8="","",'Final Calculation Sheet'!$AC$8)</f>
        <v/>
      </c>
      <c r="EV8">
        <f>IF(EU8="","",COUNTIFS(EU$4:EU$40,"&lt;"&amp;EU8,EU$4:EU$40,"&lt;&gt;"&amp;"")+COUNTIF(EU$4:EU8,EU8))</f>
        <v/>
      </c>
      <c r="EW8" s="55">
        <f>IF(ROW()-3&gt;COUNTIF(EU$4:EU$40,"&lt;&gt;"&amp;""),"",INDEX(EU$4:EU$40,MATCH(ROW()-3,EV$4:EV$40,0)))</f>
        <v/>
      </c>
      <c r="EX8">
        <f>EX7+IF(AND(EW8&lt;&gt;"",COUNTIF(EW$4:EW8,EW8)=1),1,0)</f>
        <v/>
      </c>
      <c r="EY8" s="55">
        <f>IF(ROW()-3&gt;MAX(EX$4:EX$40),"",INDEX(EW$4:EW$40,MATCH(ROW()-3,EX$4:EX$40,0)))</f>
        <v/>
      </c>
      <c r="EZ8" s="55">
        <f>IF('Final Calculation Sheet'!$AD$8="","",'Final Calculation Sheet'!$AD$8)</f>
        <v/>
      </c>
      <c r="FA8">
        <f>IF(EZ8="","",COUNTIFS(EZ$4:EZ$40,"&lt;"&amp;EZ8,EZ$4:EZ$40,"&lt;&gt;"&amp;"")+COUNTIF(EZ$4:EZ8,EZ8))</f>
        <v/>
      </c>
      <c r="FB8" s="55">
        <f>IF(ROW()-3&gt;COUNTIF(EZ$4:EZ$40,"&lt;&gt;"&amp;""),"",INDEX(EZ$4:EZ$40,MATCH(ROW()-3,FA$4:FA$40,0)))</f>
        <v/>
      </c>
      <c r="FC8">
        <f>FC7+IF(AND(FB8&lt;&gt;"",COUNTIF(FB$4:FB8,FB8)=1),1,0)</f>
        <v/>
      </c>
      <c r="FD8" s="55">
        <f>IF(ROW()-3&gt;MAX(FC$4:FC$40),"",INDEX(FB$4:FB$40,MATCH(ROW()-3,FC$4:FC$40,0)))</f>
        <v/>
      </c>
      <c r="FE8">
        <f>IF('Final Calculation Sheet'!$AF$8="","",'Final Calculation Sheet'!$AF$8)</f>
        <v/>
      </c>
      <c r="FF8">
        <f>IF(FE8="","",COUNTIFS(FE$4:FE$40,"&lt;"&amp;FE8,FE$4:FE$40,"&lt;&gt;"&amp;"")+COUNTIF(FE$4:FE8,FE8))</f>
        <v/>
      </c>
      <c r="FG8">
        <f>IF(ROW()-3&gt;COUNTIF(FE$4:FE$40,"&lt;&gt;"&amp;""),"",INDEX(FE$4:FE$40,MATCH(ROW()-3,FF$4:FF$40,0)))</f>
        <v/>
      </c>
      <c r="FH8">
        <f>FH7+IF(AND(FG8&lt;&gt;"",COUNTIF(FG$4:FG8,FG8)=1),1,0)</f>
        <v/>
      </c>
      <c r="FI8">
        <f>IF(ROW()-3&gt;MAX(FH$4:FH$40),"",INDEX(FG$4:FG$40,MATCH(ROW()-3,FH$4:FH$40,0)))</f>
        <v/>
      </c>
      <c r="FJ8" s="141">
        <f>IF('Final Calculation Sheet'!$AG$8="","",'Final Calculation Sheet'!$AG$8)</f>
        <v/>
      </c>
      <c r="FK8">
        <f>IF(FJ8="","",COUNTIFS(FJ$4:FJ$40,"&lt;"&amp;FJ8,FJ$4:FJ$40,"&lt;&gt;"&amp;"")+COUNTIF(FJ$4:FJ8,FJ8))</f>
        <v/>
      </c>
      <c r="FL8" s="141">
        <f>IF(ROW()-3&gt;COUNTIF(FJ$4:FJ$40,"&lt;&gt;"&amp;""),"",INDEX(FJ$4:FJ$40,MATCH(ROW()-3,FK$4:FK$40,0)))</f>
        <v/>
      </c>
      <c r="FM8">
        <f>FM7+IF(AND(FL8&lt;&gt;"",COUNTIF(FL$4:FL8,FL8)=1),1,0)</f>
        <v/>
      </c>
      <c r="FN8">
        <f>IF(ROW()-3&gt;MAX(FM$4:FM$40),"",INDEX(FL$4:FL$40,MATCH(ROW()-3,FM$4:FM$40,0)))</f>
        <v/>
      </c>
      <c r="FO8">
        <f>IF('Final Calculation Sheet'!$AH$8="","",'Final Calculation Sheet'!$AH$8)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c r="FY8">
        <f>IF(COUNTIF('Live Search'!BM$7:BO$7,0)+COUNTIF('Live Search'!BQ$7:CU$7,0)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8">
        <f>IF($Y$8="",FALSE,SUMPRODUCT(('Final Calculation Sheet'!$B$4:$B$40=$Y$8)*($FY$6:$FY$42=1))&gt;0)</f>
        <v/>
      </c>
      <c r="GA8">
        <f>$GA$7+--($FZ$8)</f>
        <v/>
      </c>
      <c r="GB8">
        <f>IF(ROW()-3&gt;MAX($GA$4:$GA$40),"",INDEX($Y$4:$Y$40,MATCH(ROW()-3,$GA$4:$GA$40,0)))</f>
        <v/>
      </c>
      <c r="GC8">
        <f>IF(COUNTIF('Live Search'!BM$7:BM$7,0)+COUNTIF('Live Search'!BO$7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D8">
        <f>IF($O$8="",FALSE,SUMPRODUCT(('Final Calculation Sheet'!$F$4:$F$40=$O$8)*($GC$6:$GC$42=1))&gt;0)</f>
        <v/>
      </c>
      <c r="GE8">
        <f>$GE$7+--($GD8)</f>
        <v/>
      </c>
      <c r="GF8">
        <f>IF(ROW()-3&gt;MAX($GE$4:$GE$40),"",INDEX($O$4:$O$40,MATCH(ROW()-3,$GE$4:$GE$40,0)))</f>
        <v/>
      </c>
      <c r="GG8">
        <f>IF(COUNTIF('Live Search'!BM$7:BN$7,0)+COUNTIF('Live Search'!BP$7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H8">
        <f>IF($T$8="",FALSE,SUMPRODUCT(('Final Calculation Sheet'!$G$4:$G$40=$T$8)*($GG$6:$GG$42=1))&gt;0)</f>
        <v/>
      </c>
      <c r="GI8">
        <f>$GI$7+--($GH8)</f>
        <v/>
      </c>
      <c r="GJ8">
        <f>IF(ROW()-3&gt;MAX($GI$4:$GI$40),"",INDEX($T$4:$T$40,MATCH(ROW()-3,$GI$4:$GI$40,0)))</f>
        <v/>
      </c>
      <c r="GK8">
        <f>IF(COUNTIF('Live Search'!BM$7:BP$7,0)+COUNTIF('Live Search'!BR$7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L8">
        <f>IF($AD$8="",FALSE,SUMPRODUCT(('Final Calculation Sheet'!$D$4:$D$40=$AD$8)*($GK$6:$GK$42=1))&gt;0)</f>
        <v/>
      </c>
      <c r="GM8">
        <f>$GM$7+--($GL8)</f>
        <v/>
      </c>
      <c r="GN8">
        <f>IF(ROW()-3&gt;MAX($GM$4:$GM$40),"",INDEX($AD$4:$AD$40,MATCH(ROW()-3,$GM$4:$GM$40,0)))</f>
        <v/>
      </c>
      <c r="GO8">
        <f>IF(COUNTIF('Live Search'!BM$7:BQ$7,0)+COUNTIF('Live Search'!BS$7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P8">
        <f>IF($AI$8="",FALSE,SUMPRODUCT(('Final Calculation Sheet'!$A$4:$A$40=$AI$8)*($GO$6:$GO$42=1))&gt;0)</f>
        <v/>
      </c>
      <c r="GQ8">
        <f>$GQ$7+--($GP8)</f>
        <v/>
      </c>
      <c r="GR8">
        <f>IF(ROW()-3&gt;MAX($GQ$4:$GQ$40),"",INDEX($AI$4:$AI$40,MATCH(ROW()-3,$GQ$4:$GQ$40,0)))</f>
        <v/>
      </c>
      <c r="GS8">
        <f>IF(COUNTIF('Live Search'!BM$7:BR$7,0)+COUNTIF('Live Search'!BT$7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T8">
        <f>IF($AN$8="",FALSE,SUMPRODUCT(('Final Calculation Sheet'!$E$4:$E$40=$AN$8)*($GS$6:$GS$42=1))&gt;0)</f>
        <v/>
      </c>
      <c r="GU8">
        <f>$GU$7+--($GT8)</f>
        <v/>
      </c>
      <c r="GV8">
        <f>IF(ROW()-3&gt;MAX($GU$4:$GU$40),"",INDEX($AN$4:$AN$40,MATCH(ROW()-3,$GU$4:$GU$40,0)))</f>
        <v/>
      </c>
      <c r="GW8">
        <f>IF(COUNTIF('Live Search'!BM$7:BS$7,0)+COUNTIF('Live Search'!BU$7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GX8">
        <f>IF($AS$8="",FALSE,SUMPRODUCT(('Final Calculation Sheet'!$C$4:$C$40=$AS$8)*($GW$6:$GW$42=1))&gt;0)</f>
        <v/>
      </c>
      <c r="GY8">
        <f>$GY$7+--($GX8)</f>
        <v/>
      </c>
      <c r="GZ8">
        <f>IF(ROW()-3&gt;MAX($GY$4:$GY$40),"",INDEX($AS$4:$AS$40,MATCH(ROW()-3,$GY$4:$GY$40,0)))</f>
        <v/>
      </c>
      <c r="HA8">
        <f>IF(COUNTIF('Live Search'!BM$7:BT$7,0)+COUNTIF('Live Search'!BV$7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B8">
        <f>IF($AX$8="",FALSE,SUMPRODUCT(('Final Calculation Sheet'!$H$4:$H$40=$AX$8)*($HA$6:$HA$42=1))&gt;0)</f>
        <v/>
      </c>
      <c r="HC8">
        <f>$HC$7+--($HB8)</f>
        <v/>
      </c>
      <c r="HD8">
        <f>IF(ROW()-3&gt;MAX($HC$4:$HC$40),"",INDEX($AX$4:$AX$40,MATCH(ROW()-3,$HC$4:$HC$40,0)))</f>
        <v/>
      </c>
      <c r="HE8">
        <f>IF(COUNTIF('Live Search'!BM$7:BU$7,0)+COUNTIF('Live Search'!BW$7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F8">
        <f>IF($BC$8="",FALSE,SUMPRODUCT(('Final Calculation Sheet'!$I$4:$I$40=$BC$8)*($HE$6:$HE$42=1))&gt;0)</f>
        <v/>
      </c>
      <c r="HG8">
        <f>$HG$7+--($HF8)</f>
        <v/>
      </c>
      <c r="HH8">
        <f>IF(ROW()-3&gt;MAX($HG$4:$HG$40),"",INDEX($BC$4:$BC$40,MATCH(ROW()-3,$HG$4:$HG$40,0)))</f>
        <v/>
      </c>
      <c r="HI8">
        <f>IF(COUNTIF('Live Search'!BM$7:BV$7,0)+COUNTIF('Live Search'!BX$7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J8">
        <f>IF($BH$8="",FALSE,SUMPRODUCT(('Final Calculation Sheet'!$J$4:$J$40=$BH$8)*($HI$6:$HI$42=1))&gt;0)</f>
        <v/>
      </c>
      <c r="HK8">
        <f>$HK$7+--($HJ8)</f>
        <v/>
      </c>
      <c r="HL8">
        <f>IF(ROW()-3&gt;MAX($HK$4:$HK$40),"",INDEX($BH$4:$BH$40,MATCH(ROW()-3,$HK$4:$HK$40,0)))</f>
        <v/>
      </c>
      <c r="HM8">
        <f>IF(COUNTIF('Live Search'!BM$7:BW$7,0)+COUNTIF('Live Search'!BY$7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N8">
        <f>IF($BM$8="",FALSE,SUMPRODUCT(('Final Calculation Sheet'!$K$4:$K$40=$BM$8)*($HM$6:$HM$42=1))&gt;0)</f>
        <v/>
      </c>
      <c r="HO8">
        <f>$HO$7+--($HN8)</f>
        <v/>
      </c>
      <c r="HP8">
        <f>IF(ROW()-3&gt;MAX($HO$4:$HO$40),"",INDEX($BM$4:$BM$40,MATCH(ROW()-3,$HO$4:$HO$40,0)))</f>
        <v/>
      </c>
      <c r="HQ8">
        <f>IF(COUNTIF('Live Search'!BM$7:BX$7,0)+COUNTIF('Live Search'!BZ$7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R8">
        <f>IF($BR$8="",FALSE,SUMPRODUCT(('Final Calculation Sheet'!$L$4:$L$40=$BR$8)*($HQ$6:$HQ$42=1))&gt;0)</f>
        <v/>
      </c>
      <c r="HS8">
        <f>$HS$7+--($HR8)</f>
        <v/>
      </c>
      <c r="HT8">
        <f>IF(ROW()-3&gt;MAX($HS$4:$HS$40),"",INDEX($BR$4:$BR$40,MATCH(ROW()-3,$HS$4:$HS$40,0)))</f>
        <v/>
      </c>
      <c r="HU8">
        <f>IF(COUNTIF('Live Search'!BM$7:BY$7,0)+COUNTIF('Live Search'!CA$7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V8">
        <f>IF($BW$8="",FALSE,SUMPRODUCT(('Final Calculation Sheet'!$M$4:$M$40=$BW$8)*($HU$6:$HU$42=1))&gt;0)</f>
        <v/>
      </c>
      <c r="HW8">
        <f>$HW$7+--($HV8)</f>
        <v/>
      </c>
      <c r="HX8">
        <f>IF(ROW()-3&gt;MAX($HW$4:$HW$40),"",INDEX($BW$4:$BW$40,MATCH(ROW()-3,$HW$4:$HW$40,0)))</f>
        <v/>
      </c>
      <c r="HY8">
        <f>IF(COUNTIF('Live Search'!BM$7:BZ$7,0)+COUNTIF('Live Search'!CB$7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HZ8">
        <f>IF($CB$8="",FALSE,SUMPRODUCT(('Final Calculation Sheet'!$N$4:$N$40=$CB$8)*($HY$6:$HY$42=1))&gt;0)</f>
        <v/>
      </c>
      <c r="IA8">
        <f>$IA$7+--($HZ8)</f>
        <v/>
      </c>
      <c r="IB8">
        <f>IF(ROW()-3&gt;MAX($IA$4:$IA$40),"",INDEX($CB$4:$CB$40,MATCH(ROW()-3,$IA$4:$IA$40,0)))</f>
        <v/>
      </c>
      <c r="IC8">
        <f>IF(COUNTIF('Live Search'!BM$7:CA$7,0)+COUNTIF('Live Search'!CC$7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D8">
        <f>IF($CG$8="",FALSE,SUMPRODUCT(('Final Calculation Sheet'!$O$4:$O$40=$CG$8)*($IC$6:$IC$42=1))&gt;0)</f>
        <v/>
      </c>
      <c r="IE8">
        <f>$IE$7+--($ID8)</f>
        <v/>
      </c>
      <c r="IF8">
        <f>IF(ROW()-3&gt;MAX($IE$4:$IE$40),"",INDEX($CG$4:$CG$40,MATCH(ROW()-3,$IE$4:$IE$40,0)))</f>
        <v/>
      </c>
      <c r="IG8">
        <f>IF(COUNTIF('Live Search'!BM$7:CB$7,0)+COUNTIF('Live Search'!CD$7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H8">
        <f>IF($CL$8="",FALSE,SUMPRODUCT(('Final Calculation Sheet'!$P$4:$P$40=$CL$8)*($IG$6:$IG$42=1))&gt;0)</f>
        <v/>
      </c>
      <c r="II8">
        <f>$II$7+--($IH8)</f>
        <v/>
      </c>
      <c r="IJ8">
        <f>IF(ROW()-3&gt;MAX($II$4:$II$40),"",INDEX($CL$4:$CL$40,MATCH(ROW()-3,$II$4:$II$40,0)))</f>
        <v/>
      </c>
      <c r="IK8">
        <f>IF(COUNTIF('Live Search'!BM$7:CC$7,0)+COUNTIF('Live Search'!CE$7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L8">
        <f>IF($CQ$8="",FALSE,SUMPRODUCT(('Final Calculation Sheet'!$Q$4:$Q$40=$CQ$8)*($IK$6:$IK$42=1))&gt;0)</f>
        <v/>
      </c>
      <c r="IM8">
        <f>$IM$7+--($IL8)</f>
        <v/>
      </c>
      <c r="IN8">
        <f>IF(ROW()-3&gt;MAX($IM$4:$IM$40),"",INDEX($CQ$4:$CQ$40,MATCH(ROW()-3,$IM$4:$IM$40,0)))</f>
        <v/>
      </c>
      <c r="IO8">
        <f>IF(COUNTIF('Live Search'!BM$7:CD$7,0)+COUNTIF('Live Search'!CF$7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P8">
        <f>IF($CV$8="",FALSE,SUMPRODUCT(('Final Calculation Sheet'!$R$4:$R$40=$CV$8)*($IO$6:$IO$42=1))&gt;0)</f>
        <v/>
      </c>
      <c r="IQ8">
        <f>$IQ$7+--($IP8)</f>
        <v/>
      </c>
      <c r="IR8">
        <f>IF(ROW()-3&gt;MAX($IQ$4:$IQ$40),"",INDEX($CV$4:$CV$40,MATCH(ROW()-3,$IQ$4:$IQ$40,0)))</f>
        <v/>
      </c>
      <c r="IS8">
        <f>IF(COUNTIF('Live Search'!BM$7:CE$7,0)+COUNTIF('Live Search'!CG$7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T8">
        <f>IF($DA$8="",FALSE,SUMPRODUCT(('Final Calculation Sheet'!$S$4:$S$40=$DA$8)*($IS$6:$IS$42=1))&gt;0)</f>
        <v/>
      </c>
      <c r="IU8">
        <f>$IU$7+--($IT8)</f>
        <v/>
      </c>
      <c r="IV8">
        <f>IF(ROW()-3&gt;MAX($IU$4:$IU$40),"",INDEX($DA$4:$DA$40,MATCH(ROW()-3,$IU$4:$IU$40,0)))</f>
        <v/>
      </c>
      <c r="IW8">
        <f>IF(COUNTIF('Live Search'!BM$7:CF$7,0)+COUNTIF('Live Search'!CH$7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IX8">
        <f>IF($DF$8="",FALSE,SUMPRODUCT(('Final Calculation Sheet'!$T$4:$T$40=$DF$8)*($IW$6:$IW$42=1))&gt;0)</f>
        <v/>
      </c>
      <c r="IY8">
        <f>$IY$7+--($IX8)</f>
        <v/>
      </c>
      <c r="IZ8">
        <f>IF(ROW()-3&gt;MAX($IY$4:$IY$40),"",INDEX($DF$4:$DF$40,MATCH(ROW()-3,$IY$4:$IY$40,0)))</f>
        <v/>
      </c>
      <c r="JA8">
        <f>IF(COUNTIF('Live Search'!BM$7:CG$7,0)+COUNTIF('Live Search'!CI$7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B8">
        <f>IF($DK$8="",FALSE,SUMPRODUCT(('Final Calculation Sheet'!$U$4:$U$40=$DK$8)*($JA$6:$JA$42=1))&gt;0)</f>
        <v/>
      </c>
      <c r="JC8">
        <f>$JC$7+--($JB8)</f>
        <v/>
      </c>
      <c r="JD8">
        <f>IF(ROW()-3&gt;MAX($JC$4:$JC$40),"",INDEX($DK$4:$DK$40,MATCH(ROW()-3,$JC$4:$JC$40,0)))</f>
        <v/>
      </c>
      <c r="JE8">
        <f>IF(COUNTIF('Live Search'!BM$7:CH$7,0)+COUNTIF('Live Search'!CJ$7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F8">
        <f>IF($DP$8="",FALSE,SUMPRODUCT(('Final Calculation Sheet'!$V$4:$V$40=$DP$8)*($JE$6:$JE$42=1))&gt;0)</f>
        <v/>
      </c>
      <c r="JG8">
        <f>$JG$7+--($JF8)</f>
        <v/>
      </c>
      <c r="JH8">
        <f>IF(ROW()-3&gt;MAX($JG$4:$JG$40),"",INDEX($DP$4:$DP$40,MATCH(ROW()-3,$JG$4:$JG$40,0)))</f>
        <v/>
      </c>
      <c r="JI8">
        <f>IF(COUNTIF('Live Search'!BM$7:CI$7,0)+COUNTIF('Live Search'!CK$7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J8">
        <f>IF($DU$8="",FALSE,SUMPRODUCT(('Final Calculation Sheet'!$W$4:$W$40=$DU$8)*($JI$6:$JI$42=1))&gt;0)</f>
        <v/>
      </c>
      <c r="JK8">
        <f>$JK$7+--($JJ8)</f>
        <v/>
      </c>
      <c r="JL8">
        <f>IF(ROW()-3&gt;MAX($JK$4:$JK$40),"",INDEX($DU$4:$DU$40,MATCH(ROW()-3,$JK$4:$JK$40,0)))</f>
        <v/>
      </c>
      <c r="JM8">
        <f>IF(COUNTIF('Live Search'!BM$7:CJ$7,0)+COUNTIF('Live Search'!CL$7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N8">
        <f>IF($DZ$8="",FALSE,SUMPRODUCT(('Final Calculation Sheet'!$X$4:$X$40=$DZ$8)*($JM$6:$JM$42=1))&gt;0)</f>
        <v/>
      </c>
      <c r="JO8">
        <f>$JO$7+--($JN8)</f>
        <v/>
      </c>
      <c r="JP8">
        <f>IF(ROW()-3&gt;MAX($JO$4:$JO$40),"",INDEX($DZ$4:$DZ$40,MATCH(ROW()-3,$JO$4:$JO$40,0)))</f>
        <v/>
      </c>
      <c r="JQ8">
        <f>IF(COUNTIF('Live Search'!BM$7:CK$7,0)+COUNTIF('Live Search'!C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R8">
        <f>IF($EE$8="",FALSE,SUMPRODUCT(('Final Calculation Sheet'!$Y$4:$Y$40=$EE$8)*($JQ$6:$JQ$42=1))&gt;0)</f>
        <v/>
      </c>
      <c r="JS8">
        <f>$JS$7+--($JR8)</f>
        <v/>
      </c>
      <c r="JT8">
        <f>IF(ROW()-3&gt;MAX($JS$4:$JS$40),"",INDEX($EE$4:$EE$40,MATCH(ROW()-3,$JS$4:$JS$40,0)))</f>
        <v/>
      </c>
      <c r="JU8">
        <f>IF(COUNTIF('Live Search'!BM$7:CL$7,0)+COUNTIF('Live Search'!CN$7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V8">
        <f>IF($EJ$8="",FALSE,SUMPRODUCT(('Final Calculation Sheet'!$Z$4:$Z$40=$EJ$8)*($JU$6:$JU$42=1))&gt;0)</f>
        <v/>
      </c>
      <c r="JW8">
        <f>$JW$7+--($JV8)</f>
        <v/>
      </c>
      <c r="JX8">
        <f>IF(ROW()-3&gt;MAX($JW$4:$JW$40),"",INDEX($EJ$4:$EJ$40,MATCH(ROW()-3,$JW$4:$JW$40,0)))</f>
        <v/>
      </c>
      <c r="JY8">
        <f>IF(COUNTIF('Live Search'!BM$7:CM$7,0)+COUNTIF('Live Search'!CO$7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JZ8">
        <f>IF($EO$8="",FALSE,SUMPRODUCT(('Final Calculation Sheet'!$AA$4:$AA$40=$EO$8)*($JY$6:$JY$42=1))&gt;0)</f>
        <v/>
      </c>
      <c r="KA8">
        <f>$KA$7+--($JZ8)</f>
        <v/>
      </c>
      <c r="KB8">
        <f>IF(ROW()-3&gt;MAX($KA$4:$KA$40),"",INDEX($EO$4:$EO$40,MATCH(ROW()-3,$KA$4:$KA$40,0)))</f>
        <v/>
      </c>
      <c r="KC8">
        <f>IF(COUNTIF('Live Search'!BM$7:CN$7,0)+COUNTIF('Live Search'!CP$7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D8">
        <f>IF($ET$8="",FALSE,SUMPRODUCT(('Final Calculation Sheet'!$AB$4:$AB$40=$ET$8)*($KC$6:$KC$42=1))&gt;0)</f>
        <v/>
      </c>
      <c r="KE8">
        <f>$KE$7+--($KD8)</f>
        <v/>
      </c>
      <c r="KF8">
        <f>IF(ROW()-3&gt;MAX($KE$4:$KE$40),"",INDEX($ET$4:$ET$40,MATCH(ROW()-3,$KE$4:$KE$40,0)))</f>
        <v/>
      </c>
      <c r="KG8">
        <f>IF(COUNTIF('Live Search'!BM$7:CO$7,0)+COUNTIF('Live Search'!CQ$7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H8">
        <f>IF($EY$8="",FALSE,SUMPRODUCT(('Final Calculation Sheet'!$AC$4:$AC$40=$EY$8)*($KG$6:$KG$42=1))&gt;0)</f>
        <v/>
      </c>
      <c r="KI8">
        <f>$KI$7+--($KH8)</f>
        <v/>
      </c>
      <c r="KJ8">
        <f>IF(ROW()-3&gt;MAX($KI$4:$KI$40),"",INDEX($EY$4:$EY$40,MATCH(ROW()-3,$KI$4:$KI$40,0)))</f>
        <v/>
      </c>
      <c r="KK8">
        <f>IF(COUNTIF('Live Search'!BM$7:CP$7,0)+COUNTIF('Live Search'!CR$7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L8">
        <f>IF($FD$8="",FALSE,SUMPRODUCT(('Final Calculation Sheet'!$AD$4:$AD$40=$FD$8)*($KK$6:$KK$42=1))&gt;0)</f>
        <v/>
      </c>
      <c r="KM8">
        <f>$KM$7+--($KL8)</f>
        <v/>
      </c>
      <c r="KN8">
        <f>IF(ROW()-3&gt;MAX($KM$4:$KM$40),"",INDEX($FD$4:$FD$40,MATCH(ROW()-3,$KM$4:$KM$40,0)))</f>
        <v/>
      </c>
      <c r="KO8">
        <f>IF(COUNTIF('Live Search'!BM$7:CT$7,0)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P8">
        <f>IF($FX$8="",FALSE,SUMPRODUCT((IF('Final Calculation Sheet'!$AD$4:$AD$40&lt;=5,"SETTLED","OUTSTANDING")=$FX$8)*($KO$6:$KO$42=1))&gt;0)</f>
        <v/>
      </c>
      <c r="KQ8">
        <f>$KQ$7+--($KP8)</f>
        <v/>
      </c>
      <c r="KR8">
        <f>IF(ROW()-3&gt;MAX($KQ$4:$KQ$40),"",INDEX($FX$4:$FX$40,MATCH(ROW()-3,$KQ$4:$KQ$40,0)))</f>
        <v/>
      </c>
      <c r="KS8">
        <f>IF(COUNTIF('Live Search'!BM$7:CQ$7,0)+COUNTIF('Live Search'!CS$7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T8">
        <f>IF($FI$8="",FALSE,SUMPRODUCT(('Final Calculation Sheet'!$AF$4:$AF$40=$FI$8)*($KS$6:$KS$42=1))&gt;0)</f>
        <v/>
      </c>
      <c r="KU8">
        <f>$KU$7+--($KT8)</f>
        <v/>
      </c>
      <c r="KV8">
        <f>IF(ROW()-3&gt;MAX($KU$4:$KU$40),"",INDEX($FI$4:$FI$40,MATCH(ROW()-3,$KU$4:$KU$40,0)))</f>
        <v/>
      </c>
      <c r="KW8">
        <f>IF(COUNTIF('Live Search'!BM$7:CR$7,0)+COUNTIF('Live Search'!CT$7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KX8">
        <f>IF($FN$8="",FALSE,SUMPRODUCT(('Final Calculation Sheet'!$AG$4:$AG$40=$FN$8)*($KW$6:$KW$42=1))&gt;0)</f>
        <v/>
      </c>
      <c r="KY8">
        <f>$KY$7+--($KX8)</f>
        <v/>
      </c>
      <c r="KZ8">
        <f>IF(ROW()-3&gt;MAX($KY$4:$KY$40),"",INDEX($FN$4:$FN$40,MATCH(ROW()-3,$KY$4:$KY$40,0)))</f>
        <v/>
      </c>
      <c r="LA8">
        <f>IF(COUNTIF('Live Search'!BM$7:CS$7,0)+COUNTIF('Live Search'!CU$7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LB8">
        <f>IF($FS$8="",FALSE,SUMPRODUCT(('Final Calculation Sheet'!$AH$4:$AH$40=$FS$8)*($LA$6:$LA$42=1))&gt;0)</f>
        <v/>
      </c>
      <c r="LC8">
        <f>$LC$7+--($LB8)</f>
        <v/>
      </c>
      <c r="LD8">
        <f>IF(ROW()-3&gt;MAX($LC$4:$LC$40),"",INDEX($FS$4:$FS$40,MATCH(ROW()-3,$LC$4:$LC$40,0)))</f>
        <v/>
      </c>
      <c r="LE8">
        <f>IF(COUNTIF('Buyer Groups'!DH61:EN61,0)&gt;0,0,1)</f>
        <v/>
      </c>
      <c r="LF8">
        <f>IF($O$8="",FALSE,SUMPRODUCT(('Final Calculation Sheet'!$F$4:$F$40=$O$8)*($LE$6:$LE$42=1))&gt;0)</f>
        <v/>
      </c>
      <c r="LG8">
        <f>$LG$7+--($LF8)</f>
        <v/>
      </c>
      <c r="LH8">
        <f>IF(ROW()-3&gt;MAX($LG$4:$LG$40),"",INDEX($O$4:$O$40,MATCH(ROW()-3,$LG$4:$LG$40,0)))</f>
        <v/>
      </c>
      <c r="LI8">
        <f>IF(COUNTIF('Buyer Groups'!DG61:DG61,0)+COUNTIF('Buyer Groups'!DI61:EN61,0)&gt;0,0,1)</f>
        <v/>
      </c>
      <c r="LJ8">
        <f>IF($T$8="",FALSE,SUMPRODUCT(('Final Calculation Sheet'!$G$4:$G$40=$T$8)*($LI$6:$LI$42=1))&gt;0)</f>
        <v/>
      </c>
      <c r="LK8">
        <f>$LK$7+--($LJ8)</f>
        <v/>
      </c>
      <c r="LL8">
        <f>IF(ROW()-3&gt;MAX($LK$4:$LK$40),"",INDEX($T$4:$T$40,MATCH(ROW()-3,$LK$4:$LK$40,0)))</f>
        <v/>
      </c>
      <c r="LM8">
        <f>IF(COUNTIF('Buyer Groups'!DG61:DH61,0)+COUNTIF('Buyer Groups'!DJ61:EN61,0)&gt;0,0,1)</f>
        <v/>
      </c>
      <c r="LN8">
        <f>IF($Y$8="",FALSE,SUMPRODUCT(('Final Calculation Sheet'!$B$4:$B$40=$Y$8)*($LM$6:$LM$42=1))&gt;0)</f>
        <v/>
      </c>
      <c r="LO8">
        <f>$LO$7+--($LN8)</f>
        <v/>
      </c>
      <c r="LP8">
        <f>IF(ROW()-3&gt;MAX($LO$4:$LO$40),"",INDEX($Y$4:$Y$40,MATCH(ROW()-3,$LO$4:$LO$40,0)))</f>
        <v/>
      </c>
      <c r="LQ8">
        <f>IF(COUNTIF('Buyer Groups'!DG61:DI61,0)+COUNTIF('Buyer Groups'!DK61:EN61,0)&gt;0,0,1)</f>
        <v/>
      </c>
      <c r="LR8">
        <f>IF($AD$8="",FALSE,SUMPRODUCT(('Final Calculation Sheet'!$D$4:$D$40=$AD$8)*($LQ$6:$LQ$42=1))&gt;0)</f>
        <v/>
      </c>
      <c r="LS8">
        <f>$LS$7+--($LR8)</f>
        <v/>
      </c>
      <c r="LT8">
        <f>IF(ROW()-3&gt;MAX($LS$4:$LS$40),"",INDEX($AD$4:$AD$40,MATCH(ROW()-3,$LS$4:$LS$40,0)))</f>
        <v/>
      </c>
      <c r="LU8">
        <f>IF(COUNTIF('Buyer Groups'!DG61:DJ61,0)+COUNTIF('Buyer Groups'!DL61:EN61,0)&gt;0,0,1)</f>
        <v/>
      </c>
      <c r="LV8">
        <f>IF($AI$8="",FALSE,SUMPRODUCT(('Final Calculation Sheet'!$A$4:$A$40=$AI$8)*($LU$6:$LU$42=1))&gt;0)</f>
        <v/>
      </c>
      <c r="LW8">
        <f>$LW$7+--($LV8)</f>
        <v/>
      </c>
      <c r="LX8">
        <f>IF(ROW()-3&gt;MAX($LW$4:$LW$40),"",INDEX($AI$4:$AI$40,MATCH(ROW()-3,$LW$4:$LW$40,0)))</f>
        <v/>
      </c>
      <c r="LY8">
        <f>IF(COUNTIF('Buyer Groups'!DG61:DK61,0)+COUNTIF('Buyer Groups'!DM61:EN61,0)&gt;0,0,1)</f>
        <v/>
      </c>
      <c r="LZ8">
        <f>IF($AN$8="",FALSE,SUMPRODUCT(('Final Calculation Sheet'!$E$4:$E$40=$AN$8)*($LY$6:$LY$42=1))&gt;0)</f>
        <v/>
      </c>
      <c r="MA8">
        <f>$MA$7+--($LZ8)</f>
        <v/>
      </c>
      <c r="MB8">
        <f>IF(ROW()-3&gt;MAX($MA$4:$MA$40),"",INDEX($AN$4:$AN$40,MATCH(ROW()-3,$MA$4:$MA$40,0)))</f>
        <v/>
      </c>
      <c r="MC8">
        <f>IF(COUNTIF('Buyer Groups'!DG61:DL61,0)+COUNTIF('Buyer Groups'!DN61:EN61,0)&gt;0,0,1)</f>
        <v/>
      </c>
      <c r="MD8">
        <f>IF($AS$8="",FALSE,SUMPRODUCT(('Final Calculation Sheet'!$C$4:$C$40=$AS$8)*($MC$6:$MC$42=1))&gt;0)</f>
        <v/>
      </c>
      <c r="ME8">
        <f>$ME$7+--($MD8)</f>
        <v/>
      </c>
      <c r="MF8">
        <f>IF(ROW()-3&gt;MAX($ME$4:$ME$40),"",INDEX($AS$4:$AS$40,MATCH(ROW()-3,$ME$4:$ME$40,0)))</f>
        <v/>
      </c>
      <c r="MG8">
        <f>IF(COUNTIF('Buyer Groups'!DG61:DM61,0)+COUNTIF('Buyer Groups'!DO61:EN61,0)&gt;0,0,1)</f>
        <v/>
      </c>
      <c r="MH8">
        <f>IF($AX$8="",FALSE,SUMPRODUCT(('Final Calculation Sheet'!$H$4:$H$40=$AX$8)*($MG$6:$MG$42=1))&gt;0)</f>
        <v/>
      </c>
      <c r="MI8">
        <f>$MI$7+--($MH8)</f>
        <v/>
      </c>
      <c r="MJ8">
        <f>IF(ROW()-3&gt;MAX($MI$4:$MI$40),"",INDEX($AX$4:$AX$40,MATCH(ROW()-3,$MI$4:$MI$40,0)))</f>
        <v/>
      </c>
      <c r="MK8">
        <f>IF(COUNTIF('Buyer Groups'!DG61:DN61,0)+COUNTIF('Buyer Groups'!DP61:EN61,0)&gt;0,0,1)</f>
        <v/>
      </c>
      <c r="ML8">
        <f>IF($BC$8="",FALSE,SUMPRODUCT(('Final Calculation Sheet'!$I$4:$I$40=$BC$8)*($MK$6:$MK$42=1))&gt;0)</f>
        <v/>
      </c>
      <c r="MM8">
        <f>$MM$7+--($ML8)</f>
        <v/>
      </c>
      <c r="MN8">
        <f>IF(ROW()-3&gt;MAX($MM$4:$MM$40),"",INDEX($BC$4:$BC$40,MATCH(ROW()-3,$MM$4:$MM$40,0)))</f>
        <v/>
      </c>
      <c r="MO8">
        <f>IF(COUNTIF('Buyer Groups'!DG61:DO61,0)+COUNTIF('Buyer Groups'!DQ61:EN61,0)&gt;0,0,1)</f>
        <v/>
      </c>
      <c r="MP8">
        <f>IF($BH$8="",FALSE,SUMPRODUCT(('Final Calculation Sheet'!$J$4:$J$40=$BH$8)*($MO$6:$MO$42=1))&gt;0)</f>
        <v/>
      </c>
      <c r="MQ8">
        <f>$MQ$7+--($MP8)</f>
        <v/>
      </c>
      <c r="MR8">
        <f>IF(ROW()-3&gt;MAX($MQ$4:$MQ$40),"",INDEX($BH$4:$BH$40,MATCH(ROW()-3,$MQ$4:$MQ$40,0)))</f>
        <v/>
      </c>
      <c r="MS8">
        <f>IF(COUNTIF('Buyer Groups'!DG61:DP61,0)+COUNTIF('Buyer Groups'!DR61:EN61,0)&gt;0,0,1)</f>
        <v/>
      </c>
      <c r="MT8">
        <f>IF($BM$8="",FALSE,SUMPRODUCT(('Final Calculation Sheet'!$K$4:$K$40=$BM$8)*($MS$6:$MS$42=1))&gt;0)</f>
        <v/>
      </c>
      <c r="MU8">
        <f>$MU$7+--($MT8)</f>
        <v/>
      </c>
      <c r="MV8">
        <f>IF(ROW()-3&gt;MAX($MU$4:$MU$40),"",INDEX($BM$4:$BM$40,MATCH(ROW()-3,$MU$4:$MU$40,0)))</f>
        <v/>
      </c>
      <c r="MW8">
        <f>IF(COUNTIF('Buyer Groups'!DG61:DQ61,0)+COUNTIF('Buyer Groups'!DS61:EN61,0)&gt;0,0,1)</f>
        <v/>
      </c>
      <c r="MX8">
        <f>IF($BR$8="",FALSE,SUMPRODUCT(('Final Calculation Sheet'!$L$4:$L$40=$BR$8)*($MW$6:$MW$42=1))&gt;0)</f>
        <v/>
      </c>
      <c r="MY8">
        <f>$MY$7+--($MX8)</f>
        <v/>
      </c>
      <c r="MZ8">
        <f>IF(ROW()-3&gt;MAX($MY$4:$MY$40),"",INDEX($BR$4:$BR$40,MATCH(ROW()-3,$MY$4:$MY$40,0)))</f>
        <v/>
      </c>
      <c r="NA8">
        <f>IF(COUNTIF('Buyer Groups'!DG61:DR61,0)+COUNTIF('Buyer Groups'!DT61:EN61,0)&gt;0,0,1)</f>
        <v/>
      </c>
      <c r="NB8">
        <f>IF($BW$8="",FALSE,SUMPRODUCT(('Final Calculation Sheet'!$M$4:$M$40=$BW$8)*($NA$6:$NA$42=1))&gt;0)</f>
        <v/>
      </c>
      <c r="NC8">
        <f>$NC$7+--($NB8)</f>
        <v/>
      </c>
      <c r="ND8">
        <f>IF(ROW()-3&gt;MAX($NC$4:$NC$40),"",INDEX($BW$4:$BW$40,MATCH(ROW()-3,$NC$4:$NC$40,0)))</f>
        <v/>
      </c>
      <c r="NE8">
        <f>IF(COUNTIF('Buyer Groups'!DG61:DS61,0)+COUNTIF('Buyer Groups'!DU61:EN61,0)&gt;0,0,1)</f>
        <v/>
      </c>
      <c r="NF8">
        <f>IF($CB$8="",FALSE,SUMPRODUCT(('Final Calculation Sheet'!$N$4:$N$40=$CB$8)*($NE$6:$NE$42=1))&gt;0)</f>
        <v/>
      </c>
      <c r="NG8">
        <f>$NG$7+--($NF8)</f>
        <v/>
      </c>
      <c r="NH8">
        <f>IF(ROW()-3&gt;MAX($NG$4:$NG$40),"",INDEX($CB$4:$CB$40,MATCH(ROW()-3,$NG$4:$NG$40,0)))</f>
        <v/>
      </c>
      <c r="NI8">
        <f>IF(COUNTIF('Buyer Groups'!DG61:DT61,0)+COUNTIF('Buyer Groups'!DV61:EN61,0)&gt;0,0,1)</f>
        <v/>
      </c>
      <c r="NJ8">
        <f>IF($CG$8="",FALSE,SUMPRODUCT(('Final Calculation Sheet'!$O$4:$O$40=$CG$8)*($NI$6:$NI$42=1))&gt;0)</f>
        <v/>
      </c>
      <c r="NK8">
        <f>$NK$7+--($NJ8)</f>
        <v/>
      </c>
      <c r="NL8">
        <f>IF(ROW()-3&gt;MAX($NK$4:$NK$40),"",INDEX($CG$4:$CG$40,MATCH(ROW()-3,$NK$4:$NK$40,0)))</f>
        <v/>
      </c>
      <c r="NM8">
        <f>IF(COUNTIF('Buyer Groups'!DG61:DU61,0)+COUNTIF('Buyer Groups'!DW61:EN61,0)&gt;0,0,1)</f>
        <v/>
      </c>
      <c r="NN8">
        <f>IF($CL$8="",FALSE,SUMPRODUCT(('Final Calculation Sheet'!$P$4:$P$40=$CL$8)*($NM$6:$NM$42=1))&gt;0)</f>
        <v/>
      </c>
      <c r="NO8">
        <f>$NO$7+--($NN8)</f>
        <v/>
      </c>
      <c r="NP8">
        <f>IF(ROW()-3&gt;MAX($NO$4:$NO$40),"",INDEX($CL$4:$CL$40,MATCH(ROW()-3,$NO$4:$NO$40,0)))</f>
        <v/>
      </c>
      <c r="NQ8">
        <f>IF(COUNTIF('Buyer Groups'!DG61:DV61,0)+COUNTIF('Buyer Groups'!DX61:EN61,0)&gt;0,0,1)</f>
        <v/>
      </c>
      <c r="NR8">
        <f>IF($CQ$8="",FALSE,SUMPRODUCT(('Final Calculation Sheet'!$Q$4:$Q$40=$CQ$8)*($NQ$6:$NQ$42=1))&gt;0)</f>
        <v/>
      </c>
      <c r="NS8">
        <f>$NS$7+--($NR8)</f>
        <v/>
      </c>
      <c r="NT8">
        <f>IF(ROW()-3&gt;MAX($NS$4:$NS$40),"",INDEX($CQ$4:$CQ$40,MATCH(ROW()-3,$NS$4:$NS$40,0)))</f>
        <v/>
      </c>
      <c r="NU8">
        <f>IF(COUNTIF('Buyer Groups'!DG61:DW61,0)+COUNTIF('Buyer Groups'!DY61:EN61,0)&gt;0,0,1)</f>
        <v/>
      </c>
      <c r="NV8">
        <f>IF($CV$8="",FALSE,SUMPRODUCT(('Final Calculation Sheet'!$R$4:$R$40=$CV$8)*($NU$6:$NU$42=1))&gt;0)</f>
        <v/>
      </c>
      <c r="NW8">
        <f>$NW$7+--($NV8)</f>
        <v/>
      </c>
      <c r="NX8">
        <f>IF(ROW()-3&gt;MAX($NW$4:$NW$40),"",INDEX($CV$4:$CV$40,MATCH(ROW()-3,$NW$4:$NW$40,0)))</f>
        <v/>
      </c>
      <c r="NY8">
        <f>IF(COUNTIF('Buyer Groups'!DG61:DX61,0)+COUNTIF('Buyer Groups'!DZ61:EN61,0)&gt;0,0,1)</f>
        <v/>
      </c>
      <c r="NZ8">
        <f>IF($DA$8="",FALSE,SUMPRODUCT(('Final Calculation Sheet'!$S$4:$S$40=$DA$8)*($NY$6:$NY$42=1))&gt;0)</f>
        <v/>
      </c>
      <c r="OA8">
        <f>$OA$7+--($NZ8)</f>
        <v/>
      </c>
      <c r="OB8">
        <f>IF(ROW()-3&gt;MAX($OA$4:$OA$40),"",INDEX($DA$4:$DA$40,MATCH(ROW()-3,$OA$4:$OA$40,0)))</f>
        <v/>
      </c>
      <c r="OC8">
        <f>IF(COUNTIF('Buyer Groups'!DG61:DY61,0)+COUNTIF('Buyer Groups'!EA61:EN61,0)&gt;0,0,1)</f>
        <v/>
      </c>
      <c r="OD8">
        <f>IF($DF$8="",FALSE,SUMPRODUCT(('Final Calculation Sheet'!$T$4:$T$40=$DF$8)*($OC$6:$OC$42=1))&gt;0)</f>
        <v/>
      </c>
      <c r="OE8">
        <f>$OE$7+--($OD8)</f>
        <v/>
      </c>
      <c r="OF8">
        <f>IF(ROW()-3&gt;MAX($OE$4:$OE$40),"",INDEX($DF$4:$DF$40,MATCH(ROW()-3,$OE$4:$OE$40,0)))</f>
        <v/>
      </c>
      <c r="OG8">
        <f>IF(COUNTIF('Buyer Groups'!DG61:DZ61,0)+COUNTIF('Buyer Groups'!EB61:EN61,0)&gt;0,0,1)</f>
        <v/>
      </c>
      <c r="OH8">
        <f>IF($DK$8="",FALSE,SUMPRODUCT(('Final Calculation Sheet'!$U$4:$U$40=$DK$8)*($OG$6:$OG$42=1))&gt;0)</f>
        <v/>
      </c>
      <c r="OI8">
        <f>$OI$7+--($OH8)</f>
        <v/>
      </c>
      <c r="OJ8">
        <f>IF(ROW()-3&gt;MAX($OI$4:$OI$40),"",INDEX($DK$4:$DK$40,MATCH(ROW()-3,$OI$4:$OI$40,0)))</f>
        <v/>
      </c>
      <c r="OK8">
        <f>IF(COUNTIF('Buyer Groups'!DG61:EA61,0)+COUNTIF('Buyer Groups'!EC61:EN61,0)&gt;0,0,1)</f>
        <v/>
      </c>
      <c r="OL8">
        <f>IF($DP$8="",FALSE,SUMPRODUCT(('Final Calculation Sheet'!$V$4:$V$40=$DP$8)*($OK$6:$OK$42=1))&gt;0)</f>
        <v/>
      </c>
      <c r="OM8">
        <f>$OM$7+--($OL8)</f>
        <v/>
      </c>
      <c r="ON8">
        <f>IF(ROW()-3&gt;MAX($OM$4:$OM$40),"",INDEX($DP$4:$DP$40,MATCH(ROW()-3,$OM$4:$OM$40,0)))</f>
        <v/>
      </c>
      <c r="OO8">
        <f>IF(COUNTIF('Buyer Groups'!DG61:EB61,0)+COUNTIF('Buyer Groups'!ED61:EN61,0)&gt;0,0,1)</f>
        <v/>
      </c>
      <c r="OP8">
        <f>IF($DU$8="",FALSE,SUMPRODUCT(('Final Calculation Sheet'!$W$4:$W$40=$DU$8)*($OO$6:$OO$42=1))&gt;0)</f>
        <v/>
      </c>
      <c r="OQ8">
        <f>$OQ$7+--($OP8)</f>
        <v/>
      </c>
      <c r="OR8">
        <f>IF(ROW()-3&gt;MAX($OQ$4:$OQ$40),"",INDEX($DU$4:$DU$40,MATCH(ROW()-3,$OQ$4:$OQ$40,0)))</f>
        <v/>
      </c>
      <c r="OS8">
        <f>IF(COUNTIF('Buyer Groups'!DG61:EC61,0)+COUNTIF('Buyer Groups'!EE61:EN61,0)&gt;0,0,1)</f>
        <v/>
      </c>
      <c r="OT8">
        <f>IF($DZ$8="",FALSE,SUMPRODUCT(('Final Calculation Sheet'!$X$4:$X$40=$DZ$8)*($OS$6:$OS$42=1))&gt;0)</f>
        <v/>
      </c>
      <c r="OU8">
        <f>$OU$7+--($OT8)</f>
        <v/>
      </c>
      <c r="OV8">
        <f>IF(ROW()-3&gt;MAX($OU$4:$OU$40),"",INDEX($DZ$4:$DZ$40,MATCH(ROW()-3,$OU$4:$OU$40,0)))</f>
        <v/>
      </c>
      <c r="OW8">
        <f>IF(COUNTIF('Buyer Groups'!DG61:ED61,0)+COUNTIF('Buyer Groups'!EF61:EN61,0)&gt;0,0,1)</f>
        <v/>
      </c>
      <c r="OX8">
        <f>IF($EE$8="",FALSE,SUMPRODUCT(('Final Calculation Sheet'!$Y$4:$Y$40=$EE$8)*($OW$6:$OW$42=1))&gt;0)</f>
        <v/>
      </c>
      <c r="OY8">
        <f>$OY$7+--($OX8)</f>
        <v/>
      </c>
      <c r="OZ8">
        <f>IF(ROW()-3&gt;MAX($OY$4:$OY$40),"",INDEX($EE$4:$EE$40,MATCH(ROW()-3,$OY$4:$OY$40,0)))</f>
        <v/>
      </c>
      <c r="PA8">
        <f>IF(COUNTIF('Buyer Groups'!DG61:EE61,0)+COUNTIF('Buyer Groups'!EG61:EN61,0)&gt;0,0,1)</f>
        <v/>
      </c>
      <c r="PB8">
        <f>IF($EJ$8="",FALSE,SUMPRODUCT(('Final Calculation Sheet'!$Z$4:$Z$40=$EJ$8)*($PA$6:$PA$42=1))&gt;0)</f>
        <v/>
      </c>
      <c r="PC8">
        <f>$PC$7+--($PB8)</f>
        <v/>
      </c>
      <c r="PD8">
        <f>IF(ROW()-3&gt;MAX($PC$4:$PC$40),"",INDEX($EJ$4:$EJ$40,MATCH(ROW()-3,$PC$4:$PC$40,0)))</f>
        <v/>
      </c>
      <c r="PE8">
        <f>IF(COUNTIF('Buyer Groups'!DG61:EF61,0)+COUNTIF('Buyer Groups'!EH61:EN61,0)&gt;0,0,1)</f>
        <v/>
      </c>
      <c r="PF8">
        <f>IF($EO$8="",FALSE,SUMPRODUCT(('Final Calculation Sheet'!$AA$4:$AA$40=$EO$8)*($PE$6:$PE$42=1))&gt;0)</f>
        <v/>
      </c>
      <c r="PG8">
        <f>$PG$7+--($PF8)</f>
        <v/>
      </c>
      <c r="PH8">
        <f>IF(ROW()-3&gt;MAX($PG$4:$PG$40),"",INDEX($EO$4:$EO$40,MATCH(ROW()-3,$PG$4:$PG$40,0)))</f>
        <v/>
      </c>
      <c r="PI8">
        <f>IF(COUNTIF('Buyer Groups'!DG61:EG61,0)+COUNTIF('Buyer Groups'!EI61:EN61,0)&gt;0,0,1)</f>
        <v/>
      </c>
      <c r="PJ8">
        <f>IF($ET$8="",FALSE,SUMPRODUCT(('Final Calculation Sheet'!$AB$4:$AB$40=$ET$8)*($PI$6:$PI$42=1))&gt;0)</f>
        <v/>
      </c>
      <c r="PK8">
        <f>$PK$7+--($PJ8)</f>
        <v/>
      </c>
      <c r="PL8">
        <f>IF(ROW()-3&gt;MAX($PK$4:$PK$40),"",INDEX($ET$4:$ET$40,MATCH(ROW()-3,$PK$4:$PK$40,0)))</f>
        <v/>
      </c>
      <c r="PM8">
        <f>IF(COUNTIF('Buyer Groups'!DG61:EH61,0)+COUNTIF('Buyer Groups'!EJ61:EN61,0)&gt;0,0,1)</f>
        <v/>
      </c>
      <c r="PN8">
        <f>IF($EY$8="",FALSE,SUMPRODUCT(('Final Calculation Sheet'!$AC$4:$AC$40=$EY$8)*($PM$6:$PM$42=1))&gt;0)</f>
        <v/>
      </c>
      <c r="PO8">
        <f>$PO$7+--($PN8)</f>
        <v/>
      </c>
      <c r="PP8">
        <f>IF(ROW()-3&gt;MAX($PO$4:$PO$40),"",INDEX($EY$4:$EY$40,MATCH(ROW()-3,$PO$4:$PO$40,0)))</f>
        <v/>
      </c>
      <c r="PQ8">
        <f>IF(COUNTIF('Buyer Groups'!DG61:EI61,0)+COUNTIF('Buyer Groups'!EK61:EN61,0)&gt;0,0,1)</f>
        <v/>
      </c>
      <c r="PR8">
        <f>IF($FD$8="",FALSE,SUMPRODUCT(('Final Calculation Sheet'!$AD$4:$AD$40=$FD$8)*($PQ$6:$PQ$42=1))&gt;0)</f>
        <v/>
      </c>
      <c r="PS8">
        <f>$PS$7+--($PR8)</f>
        <v/>
      </c>
      <c r="PT8">
        <f>IF(ROW()-3&gt;MAX($PS$4:$PS$40),"",INDEX($FD$4:$FD$40,MATCH(ROW()-3,$PS$4:$PS$40,0)))</f>
        <v/>
      </c>
      <c r="PU8">
        <f>IF(COUNTIF('Buyer Groups'!DG61:EJ61,0)+COUNTIF('Buyer Groups'!EL61:EN61,0)&gt;0,0,1)</f>
        <v/>
      </c>
      <c r="PV8">
        <f>IF($FX$8="",FALSE,SUMPRODUCT((IF('Final Calculation Sheet'!$AD$4:$AD$40&lt;=5,"SETTLED","OUTSTANDING")=$FX$8)*($PU$6:$PU$42=1))&gt;0)</f>
        <v/>
      </c>
      <c r="PW8">
        <f>$PW$7+--($PV8)</f>
        <v/>
      </c>
      <c r="PX8">
        <f>IF(ROW()-3&gt;MAX($PW$4:$PW$40),"",INDEX($FX$4:$FX$40,MATCH(ROW()-3,$PW$4:$PW$40,0)))</f>
        <v/>
      </c>
      <c r="PY8">
        <f>IF(COUNTIF('Buyer Groups'!DG61:EK61,0)+COUNTIF('Buyer Groups'!EM61:EN61,0)&gt;0,0,1)</f>
        <v/>
      </c>
      <c r="PZ8">
        <f>IF($FI$8="",FALSE,SUMPRODUCT(('Final Calculation Sheet'!$AF$4:$AF$40=$FI$8)*($PY$6:$PY$42=1))&gt;0)</f>
        <v/>
      </c>
      <c r="QA8">
        <f>$QA$7+--($PZ8)</f>
        <v/>
      </c>
      <c r="QB8">
        <f>IF(ROW()-3&gt;MAX($QA$4:$QA$40),"",INDEX($FI$4:$FI$40,MATCH(ROW()-3,$QA$4:$QA$40,0)))</f>
        <v/>
      </c>
      <c r="QC8">
        <f>IF(COUNTIF('Buyer Groups'!DG61:EL61,0)+COUNTIF('Buyer Groups'!EN61:EN61,0)&gt;0,0,1)</f>
        <v/>
      </c>
      <c r="QD8">
        <f>IF($FN$8="",FALSE,SUMPRODUCT(('Final Calculation Sheet'!$AG$4:$AG$40=$FN$8)*($QC$6:$QC$42=1))&gt;0)</f>
        <v/>
      </c>
      <c r="QE8">
        <f>$QE$7+--($QD8)</f>
        <v/>
      </c>
      <c r="QF8">
        <f>IF(ROW()-3&gt;MAX($QE$4:$QE$40),"",INDEX($FN$4:$FN$40,MATCH(ROW()-3,$QE$4:$QE$40,0)))</f>
        <v/>
      </c>
      <c r="QG8">
        <f>IF(COUNTIF('Buyer Groups'!DG61:EM61,0)&gt;0,0,1)</f>
        <v/>
      </c>
      <c r="QH8">
        <f>IF($FS$8="",FALSE,SUMPRODUCT(('Final Calculation Sheet'!$AH$4:$AH$40=$FS$8)*($QG$6:$QG$42=1))&gt;0)</f>
        <v/>
      </c>
      <c r="QI8">
        <f>$QI$7+--($QH8)</f>
        <v/>
      </c>
      <c r="QJ8">
        <f>IF(ROW()-3&gt;MAX($QI$4:$QI$40),"",INDEX($FS$4:$FS$40,MATCH(ROW()-3,$QI$4:$QI$40,0)))</f>
        <v/>
      </c>
      <c r="QK8" t="str">
        <f>IF('Final Calculation Sheet'!$AH$8="","",'Final Calculation Sheet'!$AH$8)</f>
      </c>
      <c r="QL8" t="str">
        <f>IF(QK8="","",COUNTIFS(QK$4:QK$40,"&lt;"&amp;QK8,QK$4:QK$40,"&lt;&gt;"&amp;"")+COUNTIF(QK$4:QK8,QK8))</f>
      </c>
      <c r="QM8" t="str">
        <f>IF(ROW()-3&gt;COUNTIF(QK$4:QK$40,"&lt;&gt;"&amp;""),"",INDEX(QK$4:QK$40,MATCH(ROW()-3,QL$4:QL$40,0)))</f>
      </c>
      <c r="QN8" t="str">
        <f>=QN7+F(AND(QM8&lt;&gt;"",COUNTIF(QM$4:QM8,QM8)=1),1,0)</f>
      </c>
      <c r="QO8" t="str">
        <f>IF(ROW()-3&gt;MAX(QN$4:QN$40),"",INDEX(QM$4:QM$40,MATCH(ROW()-3,QN$4:QN$40,0)))</f>
      </c>
      <c r="QP8" t="str">
        <f>IF(COUNTIF('Final Calculation Sheet'!$AM8:$BS8,0)&gt;0,0,1)</f>
      </c>
      <c r="QQ8" t="str">
        <f>IF($AI$8="",FALSE,SUMPRODUCT(('Final Calculation Sheet'!$A$4:$A$40=$AI$8)*($QP$4:$QP$40=1))&gt;0)</f>
      </c>
      <c r="QR8" t="str">
        <f>=$QR7+--($QQ8)</f>
      </c>
      <c r="QS8" t="str">
        <f>IF(ROW()-3&gt;MAX($QR$4:$QR$40),"",INDEX($AI$4:$AI$40,MATCH(ROW()-3,$QR$4:$QR$40,0)))</f>
      </c>
      <c r="QT8" t="str">
        <f>IF(COUNTIF('Final Calculation Sheet'!$AL8:$AL8,0)+COUNTIF('Final Calculation Sheet'!$AN8:$BS8,0)&gt;0,0,1)</f>
      </c>
      <c r="QU8" t="str">
        <f>IF($Y$8="",FALSE,SUMPRODUCT(('Final Calculation Sheet'!$B$4:$B$40=$Y$8)*($QT$4:$QT$40=1))&gt;0)</f>
      </c>
      <c r="QV8" t="str">
        <f>=$QV7+--($QU8)</f>
      </c>
      <c r="QW8" t="str">
        <f>IF(ROW()-3&gt;MAX($QV$4:$QV$40),"",INDEX($Y$4:$Y$40,MATCH(ROW()-3,$QV$4:$QV$40,0)))</f>
      </c>
      <c r="QX8" t="str">
        <f>IF(COUNTIF('Final Calculation Sheet'!$AL8:$AM8,0)+COUNTIF('Final Calculation Sheet'!$AO8:$BS8,0)&gt;0,0,1)</f>
      </c>
      <c r="QY8" t="str">
        <f>IF($AS$8="",FALSE,SUMPRODUCT(('Final Calculation Sheet'!$C$4:$C$40=$AS$8)*($QX$4:$QX$40=1))&gt;0)</f>
      </c>
      <c r="QZ8" t="str">
        <f>=$QZ7+--($QY8)</f>
      </c>
      <c r="RA8" t="str">
        <f>IF(ROW()-3&gt;MAX($QZ$4:$QZ$40),"",INDEX($AS$4:$AS$40,MATCH(ROW()-3,$QZ$4:$QZ$40,0)))</f>
      </c>
      <c r="RB8" t="str">
        <f>IF(COUNTIF('Final Calculation Sheet'!$AL8:$AN8,0)+COUNTIF('Final Calculation Sheet'!$AP8:$BS8,0)&gt;0,0,1)</f>
      </c>
      <c r="RC8" t="str">
        <f>IF($AD$8="",FALSE,SUMPRODUCT(('Final Calculation Sheet'!$D$4:$D$40=$AD$8)*($RB$4:$RB$40=1))&gt;0)</f>
      </c>
      <c r="RD8" t="str">
        <f>=$RD7+--($RC8)</f>
      </c>
      <c r="RE8" t="str">
        <f>IF(ROW()-3&gt;MAX($RD$4:$RD$40),"",INDEX($AD$4:$AD$40,MATCH(ROW()-3,$RD$4:$RD$40,0)))</f>
      </c>
      <c r="RF8" t="str">
        <f>IF(COUNTIF('Final Calculation Sheet'!$AL8:$AO8,0)+COUNTIF('Final Calculation Sheet'!$AQ8:$BS8,0)&gt;0,0,1)</f>
      </c>
      <c r="RG8" t="str">
        <f>IF($AN$8="",FALSE,SUMPRODUCT(('Final Calculation Sheet'!$E$4:$E$40=$AN$8)*($RF$4:$RF$40=1))&gt;0)</f>
      </c>
      <c r="RH8" t="str">
        <f>=$RH7+--($RG8)</f>
      </c>
      <c r="RI8" t="str">
        <f>IF(ROW()-3&gt;MAX($RH$4:$RH$40),"",INDEX($AN$4:$AN$40,MATCH(ROW()-3,$RH$4:$RH$40,0)))</f>
      </c>
      <c r="RJ8" t="str">
        <f>IF(COUNTIF('Final Calculation Sheet'!$AL8:$AP8,0)+COUNTIF('Final Calculation Sheet'!$AR8:$BS8,0)&gt;0,0,1)</f>
      </c>
      <c r="RK8" t="str">
        <f>IF($O$8="",FALSE,SUMPRODUCT(('Final Calculation Sheet'!$F$4:$F$40=$O$8)*($RJ$4:$RJ$40=1))&gt;0)</f>
      </c>
      <c r="RL8" t="str">
        <f>=$RL7+--($RK8)</f>
      </c>
      <c r="RM8" t="str">
        <f>IF(ROW()-3&gt;MAX($RL$4:$RL$40),"",INDEX($O$4:$O$40,MATCH(ROW()-3,$RL$4:$RL$40,0)))</f>
      </c>
      <c r="RN8" t="str">
        <f>IF(COUNTIF('Final Calculation Sheet'!$AL8:$AQ8,0)+COUNTIF('Final Calculation Sheet'!$AS8:$BS8,0)&gt;0,0,1)</f>
      </c>
      <c r="RO8" t="str">
        <f>IF($T$8="",FALSE,SUMPRODUCT(('Final Calculation Sheet'!$G$4:$G$40=$T$8)*($RN$4:$RN$40=1))&gt;0)</f>
      </c>
      <c r="RP8" t="str">
        <f>=$RP7+--($RO8)</f>
      </c>
      <c r="RQ8" t="str">
        <f>IF(ROW()-3&gt;MAX($RP$4:$RP$40),"",INDEX($T$4:$T$40,MATCH(ROW()-3,$RP$4:$RP$40,0)))</f>
      </c>
      <c r="RR8" t="str">
        <f>IF(COUNTIF('Final Calculation Sheet'!$AL8:$AR8,0)+COUNTIF('Final Calculation Sheet'!$AT8:$BS8,0)&gt;0,0,1)</f>
      </c>
      <c r="RS8" t="str">
        <f>IF($AX$8="",FALSE,SUMPRODUCT(('Final Calculation Sheet'!$H$4:$H$40=$AX$8)*($RR$4:$RR$40=1))&gt;0)</f>
      </c>
      <c r="RT8" t="str">
        <f>=$RT7+--($RS8)</f>
      </c>
      <c r="RU8" t="str">
        <f>IF(ROW()-3&gt;MAX($RT$4:$RT$40),"",INDEX($AX$4:$AX$40,MATCH(ROW()-3,$RT$4:$RT$40,0)))</f>
      </c>
      <c r="RV8" t="str">
        <f>IF(COUNTIF('Final Calculation Sheet'!$AL8:$AS8,0)+COUNTIF('Final Calculation Sheet'!$AU8:$BS8,0)&gt;0,0,1)</f>
      </c>
      <c r="RW8" t="str">
        <f>IF($BC$8="",FALSE,SUMPRODUCT(('Final Calculation Sheet'!$I$4:$I$40=$BC$8)*($RV$4:$RV$40=1))&gt;0)</f>
      </c>
      <c r="RX8" t="str">
        <f>=$RX7+--($RW8)</f>
      </c>
      <c r="RY8" t="str">
        <f>IF(ROW()-3&gt;MAX($RX$4:$RX$40),"",INDEX($BC$4:$BC$40,MATCH(ROW()-3,$RX$4:$RX$40,0)))</f>
      </c>
      <c r="RZ8" t="str">
        <f>IF(COUNTIF('Final Calculation Sheet'!$AL8:$AT8,0)+COUNTIF('Final Calculation Sheet'!$AV8:$BS8,0)&gt;0,0,1)</f>
      </c>
      <c r="SA8" t="str">
        <f>IF($BH$8="",FALSE,SUMPRODUCT(('Final Calculation Sheet'!$J$4:$J$40=$BH$8)*($RZ$4:$RZ$40=1))&gt;0)</f>
      </c>
      <c r="SB8" t="str">
        <f>=$SB7+--($SA8)</f>
      </c>
      <c r="SC8" t="str">
        <f>IF(ROW()-3&gt;MAX($SB$4:$SB$40),"",INDEX($BH$4:$BH$40,MATCH(ROW()-3,$SB$4:$SB$40,0)))</f>
      </c>
      <c r="SD8" t="str">
        <f>IF(COUNTIF('Final Calculation Sheet'!$AL8:$AU8,0)+COUNTIF('Final Calculation Sheet'!$AW8:$BS8,0)&gt;0,0,1)</f>
      </c>
      <c r="SE8" t="str">
        <f>IF($BM$8="",FALSE,SUMPRODUCT(('Final Calculation Sheet'!$K$4:$K$40=$BM$8)*($SD$4:$SD$40=1))&gt;0)</f>
      </c>
      <c r="SF8" t="str">
        <f>=$SF7+--($SE8)</f>
      </c>
      <c r="SG8" t="str">
        <f>IF(ROW()-3&gt;MAX($SF$4:$SF$40),"",INDEX($BM$4:$BM$40,MATCH(ROW()-3,$SF$4:$SF$40,0)))</f>
      </c>
      <c r="SH8" t="str">
        <f>IF(COUNTIF('Final Calculation Sheet'!$AL8:$AV8,0)+COUNTIF('Final Calculation Sheet'!$AX8:$BS8,0)&gt;0,0,1)</f>
      </c>
      <c r="SI8" t="str">
        <f>IF($BR$8="",FALSE,SUMPRODUCT(('Final Calculation Sheet'!$L$4:$L$40=$BR$8)*($SH$4:$SH$40=1))&gt;0)</f>
      </c>
      <c r="SJ8" t="str">
        <f>=$SJ7+--($SI8)</f>
      </c>
      <c r="SK8" t="str">
        <f>IF(ROW()-3&gt;MAX($SJ$4:$SJ$40),"",INDEX($BR$4:$BR$40,MATCH(ROW()-3,$SJ$4:$SJ$40,0)))</f>
      </c>
      <c r="SL8" t="str">
        <f>IF(COUNTIF('Final Calculation Sheet'!$AL8:$AW8,0)+COUNTIF('Final Calculation Sheet'!$AY8:$BS8,0)&gt;0,0,1)</f>
      </c>
      <c r="SM8" t="str">
        <f>IF($BW$8="",FALSE,SUMPRODUCT(('Final Calculation Sheet'!$M$4:$M$40=$BW$8)*($SL$4:$SL$40=1))&gt;0)</f>
      </c>
      <c r="SN8" t="str">
        <f>=$SN7+--($SM8)</f>
      </c>
      <c r="SO8" t="str">
        <f>IF(ROW()-3&gt;MAX($SN$4:$SN$40),"",INDEX($BW$4:$BW$40,MATCH(ROW()-3,$SN$4:$SN$40,0)))</f>
      </c>
      <c r="SP8" t="str">
        <f>IF(COUNTIF('Final Calculation Sheet'!$AL8:$AX8,0)+COUNTIF('Final Calculation Sheet'!$AZ8:$BS8,0)&gt;0,0,1)</f>
      </c>
      <c r="SQ8" t="str">
        <f>IF($CB$8="",FALSE,SUMPRODUCT(('Final Calculation Sheet'!$N$4:$N$40=$CB$8)*($SP$4:$SP$40=1))&gt;0)</f>
      </c>
      <c r="SR8" t="str">
        <f>=$SR7+--($SQ8)</f>
      </c>
      <c r="SS8" t="str">
        <f>IF(ROW()-3&gt;MAX($SR$4:$SR$40),"",INDEX($CB$4:$CB$40,MATCH(ROW()-3,$SR$4:$SR$40,0)))</f>
      </c>
      <c r="ST8" t="str">
        <f>IF(COUNTIF('Final Calculation Sheet'!$AL8:$AY8,0)+COUNTIF('Final Calculation Sheet'!$BA8:$BS8,0)&gt;0,0,1)</f>
      </c>
      <c r="SU8" t="str">
        <f>IF($CG$8="",FALSE,SUMPRODUCT(('Final Calculation Sheet'!$O$4:$O$40=$CG$8)*($ST$4:$ST$40=1))&gt;0)</f>
      </c>
      <c r="SV8" t="str">
        <f>=$SV7+--($SU8)</f>
      </c>
      <c r="SW8" t="str">
        <f>IF(ROW()-3&gt;MAX($SV$4:$SV$40),"",INDEX($CG$4:$CG$40,MATCH(ROW()-3,$SV$4:$SV$40,0)))</f>
      </c>
      <c r="SX8" t="str">
        <f>IF(COUNTIF('Final Calculation Sheet'!$AL8:$AZ8,0)+COUNTIF('Final Calculation Sheet'!$BB8:$BS8,0)&gt;0,0,1)</f>
      </c>
      <c r="SY8" t="str">
        <f>IF($CL$8="",FALSE,SUMPRODUCT(('Final Calculation Sheet'!$P$4:$P$40=$CL$8)*($SX$4:$SX$40=1))&gt;0)</f>
      </c>
      <c r="SZ8" t="str">
        <f>=$SZ7+--($SY8)</f>
      </c>
      <c r="TA8" t="str">
        <f>IF(ROW()-3&gt;MAX($SZ$4:$SZ$40),"",INDEX($CL$4:$CL$40,MATCH(ROW()-3,$SZ$4:$SZ$40,0)))</f>
      </c>
      <c r="TB8" t="str">
        <f>IF(COUNTIF('Final Calculation Sheet'!$AL8:$BA8,0)+COUNTIF('Final Calculation Sheet'!$BC8:$BS8,0)&gt;0,0,1)</f>
      </c>
      <c r="TC8" t="str">
        <f>IF($CQ$8="",FALSE,SUMPRODUCT(('Final Calculation Sheet'!$Q$4:$Q$40=$CQ$8)*($TB$4:$TB$40=1))&gt;0)</f>
      </c>
      <c r="TD8" t="str">
        <f>=$TD7+--($TC8)</f>
      </c>
      <c r="TE8" t="str">
        <f>IF(ROW()-3&gt;MAX($TD$4:$TD$40),"",INDEX($CQ$4:$CQ$40,MATCH(ROW()-3,$TD$4:$TD$40,0)))</f>
      </c>
      <c r="TF8" t="str">
        <f>IF(COUNTIF('Final Calculation Sheet'!$AL8:$BB8,0)+COUNTIF('Final Calculation Sheet'!$BD8:$BS8,0)&gt;0,0,1)</f>
      </c>
      <c r="TG8" t="str">
        <f>IF($CV$8="",FALSE,SUMPRODUCT(('Final Calculation Sheet'!$R$4:$R$40=$CV$8)*($TF$4:$TF$40=1))&gt;0)</f>
      </c>
      <c r="TH8" t="str">
        <f>=$TH7+--($TG8)</f>
      </c>
      <c r="TI8" t="str">
        <f>IF(ROW()-3&gt;MAX($TH$4:$TH$40),"",INDEX($CV$4:$CV$40,MATCH(ROW()-3,$TH$4:$TH$40,0)))</f>
      </c>
      <c r="TJ8" t="str">
        <f>IF(COUNTIF('Final Calculation Sheet'!$AL8:$BC8,0)+COUNTIF('Final Calculation Sheet'!$BE8:$BS8,0)&gt;0,0,1)</f>
      </c>
      <c r="TK8" t="str">
        <f>IF($DA$8="",FALSE,SUMPRODUCT(('Final Calculation Sheet'!$S$4:$S$40=$DA$8)*($TJ$4:$TJ$40=1))&gt;0)</f>
      </c>
      <c r="TL8" t="str">
        <f>=$TL7+--($TK8)</f>
      </c>
      <c r="TM8" t="str">
        <f>IF(ROW()-3&gt;MAX($TL$4:$TL$40),"",INDEX($DA$4:$DA$40,MATCH(ROW()-3,$TL$4:$TL$40,0)))</f>
      </c>
      <c r="TN8" t="str">
        <f>IF(COUNTIF('Final Calculation Sheet'!$AL8:$BD8,0)+COUNTIF('Final Calculation Sheet'!$BF8:$BS8,0)&gt;0,0,1)</f>
      </c>
      <c r="TO8" t="str">
        <f>IF($DF$8="",FALSE,SUMPRODUCT(('Final Calculation Sheet'!$T$4:$T$40=$DF$8)*($TN$4:$TN$40=1))&gt;0)</f>
      </c>
      <c r="TP8" t="str">
        <f>=$TP7+--($TO8)</f>
      </c>
      <c r="TQ8" t="str">
        <f>IF(ROW()-3&gt;MAX($TP$4:$TP$40),"",INDEX($DF$4:$DF$40,MATCH(ROW()-3,$TP$4:$TP$40,0)))</f>
      </c>
      <c r="TR8" t="str">
        <f>IF(COUNTIF('Final Calculation Sheet'!$AL8:$BE8,0)+COUNTIF('Final Calculation Sheet'!$BG8:$BS8,0)&gt;0,0,1)</f>
      </c>
      <c r="TS8" t="str">
        <f>IF($DK$8="",FALSE,SUMPRODUCT(('Final Calculation Sheet'!$U$4:$U$40=$DK$8)*($TR$4:$TR$40=1))&gt;0)</f>
      </c>
      <c r="TT8" t="str">
        <f>=$TT7+--($TS8)</f>
      </c>
      <c r="TU8" t="str">
        <f>IF(ROW()-3&gt;MAX($TT$4:$TT$40),"",INDEX($DK$4:$DK$40,MATCH(ROW()-3,$TT$4:$TT$40,0)))</f>
      </c>
      <c r="TV8" t="str">
        <f>IF(COUNTIF('Final Calculation Sheet'!$AL8:$BF8,0)+COUNTIF('Final Calculation Sheet'!$BH8:$BS8,0)&gt;0,0,1)</f>
      </c>
      <c r="TW8" t="str">
        <f>IF($DP$8="",FALSE,SUMPRODUCT(('Final Calculation Sheet'!$V$4:$V$40=$DP$8)*($TV$4:$TV$40=1))&gt;0)</f>
      </c>
      <c r="TX8" t="str">
        <f>=$TX7+--($TW8)</f>
      </c>
      <c r="TY8" t="str">
        <f>IF(ROW()-3&gt;MAX($TX$4:$TX$40),"",INDEX($DP$4:$DP$40,MATCH(ROW()-3,$TX$4:$TX$40,0)))</f>
      </c>
      <c r="TZ8" t="str">
        <f>IF(COUNTIF('Final Calculation Sheet'!$AL8:$BG8,0)+COUNTIF('Final Calculation Sheet'!$BI8:$BS8,0)&gt;0,0,1)</f>
      </c>
      <c r="UA8" t="str">
        <f>IF($DU$8="",FALSE,SUMPRODUCT(('Final Calculation Sheet'!$W$4:$W$40=$DU$8)*($TZ$4:$TZ$40=1))&gt;0)</f>
      </c>
      <c r="UB8" t="str">
        <f>=$UB7+--($UA8)</f>
      </c>
      <c r="UC8" t="str">
        <f>IF(ROW()-3&gt;MAX($UB$4:$UB$40),"",INDEX($DU$4:$DU$40,MATCH(ROW()-3,$UB$4:$UB$40,0)))</f>
      </c>
      <c r="UD8" t="str">
        <f>IF(COUNTIF('Final Calculation Sheet'!$AL8:$BH8,0)+COUNTIF('Final Calculation Sheet'!$BJ8:$BS8,0)&gt;0,0,1)</f>
      </c>
      <c r="UE8" t="str">
        <f>IF($DZ$8="",FALSE,SUMPRODUCT(('Final Calculation Sheet'!$X$4:$X$40=$DZ$8)*($UD$4:$UD$40=1))&gt;0)</f>
      </c>
      <c r="UF8" t="str">
        <f>=$UF7+--($UE8)</f>
      </c>
      <c r="UG8" t="str">
        <f>IF(ROW()-3&gt;MAX($UF$4:$UF$40),"",INDEX($DZ$4:$DZ$40,MATCH(ROW()-3,$UF$4:$UF$40,0)))</f>
      </c>
      <c r="UH8" t="str">
        <f>IF(COUNTIF('Final Calculation Sheet'!$AL8:$BI8,0)+COUNTIF('Final Calculation Sheet'!$BK8:$BS8,0)&gt;0,0,1)</f>
      </c>
      <c r="UI8" t="str">
        <f>IF($EE$8="",FALSE,SUMPRODUCT(('Final Calculation Sheet'!$Y$4:$Y$40=$EE$8)*($UH$4:$UH$40=1))&gt;0)</f>
      </c>
      <c r="UJ8" t="str">
        <f>=$UJ7+--($UI8)</f>
      </c>
      <c r="UK8" t="str">
        <f>IF(ROW()-3&gt;MAX($UJ$4:$UJ$40),"",INDEX($EE$4:$EE$40,MATCH(ROW()-3,$UJ$4:$UJ$40,0)))</f>
      </c>
      <c r="UL8" t="str">
        <f>IF(COUNTIF('Final Calculation Sheet'!$AL8:$BJ8,0)+COUNTIF('Final Calculation Sheet'!$BL8:$BS8,0)&gt;0,0,1)</f>
      </c>
      <c r="UM8" t="str">
        <f>IF($EJ$8="",FALSE,SUMPRODUCT(('Final Calculation Sheet'!$Z$4:$Z$40=$EJ$8)*($UL$4:$UL$40=1))&gt;0)</f>
      </c>
      <c r="UN8" t="str">
        <f>=$UN7+--($UM8)</f>
      </c>
      <c r="UO8" t="str">
        <f>IF(ROW()-3&gt;MAX($UN$4:$UN$40),"",INDEX($EJ$4:$EJ$40,MATCH(ROW()-3,$UN$4:$UN$40,0)))</f>
      </c>
      <c r="UP8" t="str">
        <f>IF(COUNTIF('Final Calculation Sheet'!$AL8:$BK8,0)+COUNTIF('Final Calculation Sheet'!$BM8:$BS8,0)&gt;0,0,1)</f>
      </c>
      <c r="UQ8" t="str">
        <f>IF($EO$8="",FALSE,SUMPRODUCT(('Final Calculation Sheet'!$AA$4:$AA$40=$EO$8)*($UP$4:$UP$40=1))&gt;0)</f>
      </c>
      <c r="UR8" t="str">
        <f>=$UR7+--($UQ8)</f>
      </c>
      <c r="US8" t="str">
        <f>IF(ROW()-3&gt;MAX($UR$4:$UR$40),"",INDEX($EO$4:$EO$40,MATCH(ROW()-3,$UR$4:$UR$40,0)))</f>
      </c>
      <c r="UT8" t="str">
        <f>IF(COUNTIF('Final Calculation Sheet'!$AL8:$BL8,0)+COUNTIF('Final Calculation Sheet'!$BN8:$BS8,0)&gt;0,0,1)</f>
      </c>
      <c r="UU8" t="str">
        <f>IF($ET$8="",FALSE,SUMPRODUCT(('Final Calculation Sheet'!$AB$4:$AB$40=$ET$8)*($UT$4:$UT$40=1))&gt;0)</f>
      </c>
      <c r="UV8" t="str">
        <f>=$UV7+--($UU8)</f>
      </c>
      <c r="UW8" t="str">
        <f>IF(ROW()-3&gt;MAX($UV$4:$UV$40),"",INDEX($ET$4:$ET$40,MATCH(ROW()-3,$UV$4:$UV$40,0)))</f>
      </c>
      <c r="UX8" t="str">
        <f>IF(COUNTIF('Final Calculation Sheet'!$AL8:$BM8,0)+COUNTIF('Final Calculation Sheet'!$BO8:$BS8,0)&gt;0,0,1)</f>
      </c>
      <c r="UY8" t="str">
        <f>IF($EY$8="",FALSE,SUMPRODUCT(('Final Calculation Sheet'!$AC$4:$AC$40=$EY$8)*($UX$4:$UX$40=1))&gt;0)</f>
      </c>
      <c r="UZ8" t="str">
        <f>=$UZ7+--($UY8)</f>
      </c>
      <c r="VA8" t="str">
        <f>IF(ROW()-3&gt;MAX($UZ$4:$UZ$40),"",INDEX($EY$4:$EY$40,MATCH(ROW()-3,$UZ$4:$UZ$40,0)))</f>
      </c>
      <c r="VB8" t="str">
        <f>IF(COUNTIF('Final Calculation Sheet'!$AL8:$BN8,0)+COUNTIF('Final Calculation Sheet'!$BP8:$BS8,0)&gt;0,0,1)</f>
      </c>
      <c r="VC8" t="str">
        <f>IF($FD$8="",FALSE,SUMPRODUCT(('Final Calculation Sheet'!$AD$4:$AD$40=$FD$8)*($VB$4:$VB$40=1))&gt;0)</f>
      </c>
      <c r="VD8" t="str">
        <f>=$VD7+--($VC8)</f>
      </c>
      <c r="VE8" t="str">
        <f>IF(ROW()-3&gt;MAX($VD$4:$VD$40),"",INDEX($FD$4:$FD$40,MATCH(ROW()-3,$VD$4:$VD$40,0)))</f>
      </c>
      <c r="VF8" t="str">
        <f>IF(COUNTIF('Final Calculation Sheet'!$AL8:$BO8,0)+COUNTIF('Final Calculation Sheet'!$BQ8:$BS8,0)&gt;0,0,1)</f>
      </c>
      <c r="VG8" t="str">
        <f>IF($FI$8="",FALSE,SUMPRODUCT(('Final Calculation Sheet'!$AE$4:$AE$40=$FI$8)*($VF$4:$VF$40=1))&gt;0)</f>
      </c>
      <c r="VH8" t="str">
        <f>=$VH7+--($VG8)</f>
      </c>
      <c r="VI8" t="str">
        <f>IF(ROW()-3&gt;MAX($VH$4:$VH$40),"",INDEX($FI$4:$FI$40,MATCH(ROW()-3,$VH$4:$VH$40,0)))</f>
      </c>
      <c r="VJ8" t="str">
        <f>IF(COUNTIF('Final Calculation Sheet'!$AL8:$BP8,0)+COUNTIF('Final Calculation Sheet'!$BR8:$BS8,0)&gt;0,0,1)</f>
      </c>
      <c r="VK8" t="str">
        <f>IF($FN$8="",FALSE,SUMPRODUCT(('Final Calculation Sheet'!$AF$4:$AF$40=$FN$8)*($VJ$4:$VJ$40=1))&gt;0)</f>
      </c>
      <c r="VL8" t="str">
        <f>=$VL7+--($VK8)</f>
      </c>
      <c r="VM8" t="str">
        <f>IF(ROW()-3&gt;MAX($VL$4:$VL$40),"",INDEX($FN$4:$FN$40,MATCH(ROW()-3,$VL$4:$VL$40,0)))</f>
      </c>
      <c r="VN8" t="str">
        <f>IF(COUNTIF('Final Calculation Sheet'!$AL8:$BQ8,0)+COUNTIF('Final Calculation Sheet'!$BS8:$BS8,0)&gt;0,0,1)</f>
      </c>
      <c r="VO8" t="str">
        <f>IF($FS$8="",FALSE,SUMPRODUCT(('Final Calculation Sheet'!$AG$4:$AG$40=$FS$8)*($VN$4:$VN$40=1))&gt;0)</f>
      </c>
      <c r="VP8" t="str">
        <f>=$VP7+--($VO8)</f>
      </c>
      <c r="VQ8" t="str">
        <f>IF(ROW()-3&gt;MAX($VP$4:$VP$40),"",INDEX($FS$4:$FS$40,MATCH(ROW()-3,$VP$4:$VP$40,0)))</f>
      </c>
      <c r="VR8" t="str">
        <f>IF(COUNTIF('Final Calculation Sheet'!$AL8:$BR8,0)&gt;0,0,1)</f>
      </c>
      <c r="VS8" t="str">
        <f>IF($QO$8="",FALSE,SUMPRODUCT(('Final Calculation Sheet'!$AH$4:$AH$40=$QO$8)*($VR$4:$VR$40=1))&gt;0)</f>
      </c>
      <c r="VT8" t="str">
        <f>=$VT7+--($VS8)</f>
      </c>
      <c r="VU8" t="str">
        <f>IF(ROW()-3&gt;MAX($VT$4:$VT$40),"",INDEX($QO$4:$QO$40,MATCH(ROW()-3,$VT$4:$VT$40,0)))</f>
      </c>
    </row>
    <row r="9">
      <c r="A9">
        <f>IF(IFERROR('Final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IF(IFERROR('Final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s="55">
        <f>IF('Final Calculation Sheet'!$C$9="","",'Final Calculation Sheet'!$C$9)</f>
        <v/>
      </c>
      <c r="AP9">
        <f>IF(AO9="","",COUNTIFS(AO$4:AO$40,"&lt;"&amp;AO9,AO$4:AO$40,"&lt;&gt;"&amp;"")+COUNTIF(AO$4:AO9,AO9))</f>
        <v/>
      </c>
      <c r="AQ9" s="55">
        <f>IF(ROW()-3&gt;COUNTIF(AO$4:AO$40,"&lt;&gt;"&amp;""),"",INDEX(AO$4:AO$40,MATCH(ROW()-3,AP$4:AP$40,0)))</f>
        <v/>
      </c>
      <c r="AR9">
        <f>AR8+IF(AND(AQ9&lt;&gt;"",COUNTIF(AQ$4:AQ9,AQ9)=1),1,0)</f>
        <v/>
      </c>
      <c r="AS9" s="55">
        <f>IF(ROW()-3&gt;MAX(AR$4:AR$40),"",INDEX(AQ$4:AQ$40,MATCH(ROW()-3,AR$4:AR$40,0)))</f>
        <v/>
      </c>
      <c r="AT9" s="55">
        <f>IF('Final Calculation Sheet'!$H$9="","",'Final Calculation Sheet'!$H$9)</f>
        <v/>
      </c>
      <c r="AU9">
        <f>IF(AT9="","",COUNTIFS(AT$4:AT$40,"&lt;"&amp;AT9,AT$4:AT$40,"&lt;&gt;"&amp;"")+COUNTIF(AT$4:AT9,AT9))</f>
        <v/>
      </c>
      <c r="AV9" s="55">
        <f>IF(ROW()-3&gt;COUNTIF(AT$4:AT$40,"&lt;&gt;"&amp;""),"",INDEX(AT$4:AT$40,MATCH(ROW()-3,AU$4:AU$40,0)))</f>
        <v/>
      </c>
      <c r="AW9">
        <f>AW8+IF(AND(AV9&lt;&gt;"",COUNTIF(AV$4:AV9,AV9)=1),1,0)</f>
        <v/>
      </c>
      <c r="AX9" s="55">
        <f>IF(ROW()-3&gt;MAX(AW$4:AW$40),"",INDEX(AV$4:AV$40,MATCH(ROW()-3,AW$4:AW$40,0)))</f>
        <v/>
      </c>
      <c r="AY9" s="55">
        <f>IF('Final Calculation Sheet'!$I$9="","",'Final Calculation Sheet'!$I$9)</f>
        <v/>
      </c>
      <c r="AZ9">
        <f>IF(AY9="","",COUNTIFS(AY$4:AY$40,"&lt;"&amp;AY9,AY$4:AY$40,"&lt;&gt;"&amp;"")+COUNTIF(AY$4:AY9,AY9))</f>
        <v/>
      </c>
      <c r="BA9" s="55">
        <f>IF(ROW()-3&gt;COUNTIF(AY$4:AY$40,"&lt;&gt;"&amp;""),"",INDEX(AY$4:AY$40,MATCH(ROW()-3,AZ$4:AZ$40,0)))</f>
        <v/>
      </c>
      <c r="BB9">
        <f>BB8+IF(AND(BA9&lt;&gt;"",COUNTIF(BA$4:BA9,BA9)=1),1,0)</f>
        <v/>
      </c>
      <c r="BC9" s="55">
        <f>IF(ROW()-3&gt;MAX(BB$4:BB$40),"",INDEX(BA$4:BA$40,MATCH(ROW()-3,BB$4:BB$40,0)))</f>
        <v/>
      </c>
      <c r="BD9" s="55">
        <f>IF('Final Calculation Sheet'!$J$9="","",'Final Calculation Sheet'!$J$9)</f>
        <v/>
      </c>
      <c r="BE9">
        <f>IF(BD9="","",COUNTIFS(BD$4:BD$40,"&lt;"&amp;BD9,BD$4:BD$40,"&lt;&gt;"&amp;"")+COUNTIF(BD$4:BD9,BD9))</f>
        <v/>
      </c>
      <c r="BF9" s="55">
        <f>IF(ROW()-3&gt;COUNTIF(BD$4:BD$40,"&lt;&gt;"&amp;""),"",INDEX(BD$4:BD$40,MATCH(ROW()-3,BE$4:BE$40,0)))</f>
        <v/>
      </c>
      <c r="BG9">
        <f>BG8+IF(AND(BF9&lt;&gt;"",COUNTIF(BF$4:BF9,BF9)=1),1,0)</f>
        <v/>
      </c>
      <c r="BH9" s="55">
        <f>IF(ROW()-3&gt;MAX(BG$4:BG$40),"",INDEX(BF$4:BF$40,MATCH(ROW()-3,BG$4:BG$40,0)))</f>
        <v/>
      </c>
      <c r="BI9" s="55">
        <f>IF('Final Calculation Sheet'!$K$9="","",'Final Calculation Sheet'!$K$9)</f>
        <v/>
      </c>
      <c r="BJ9">
        <f>IF(BI9="","",COUNTIFS(BI$4:BI$40,"&lt;"&amp;BI9,BI$4:BI$40,"&lt;&gt;"&amp;"")+COUNTIF(BI$4:BI9,BI9))</f>
        <v/>
      </c>
      <c r="BK9" s="55">
        <f>IF(ROW()-3&gt;COUNTIF(BI$4:BI$40,"&lt;&gt;"&amp;""),"",INDEX(BI$4:BI$40,MATCH(ROW()-3,BJ$4:BJ$40,0)))</f>
        <v/>
      </c>
      <c r="BL9">
        <f>BL8+IF(AND(BK9&lt;&gt;"",COUNTIF(BK$4:BK9,BK9)=1),1,0)</f>
        <v/>
      </c>
      <c r="BM9" s="55">
        <f>IF(ROW()-3&gt;MAX(BL$4:BL$40),"",INDEX(BK$4:BK$40,MATCH(ROW()-3,BL$4:BL$40,0)))</f>
        <v/>
      </c>
      <c r="BN9" s="55">
        <f>IF('Final Calculation Sheet'!$L$9="","",'Final Calculation Sheet'!$L$9)</f>
        <v/>
      </c>
      <c r="BO9">
        <f>IF(BN9="","",COUNTIFS(BN$4:BN$40,"&lt;"&amp;BN9,BN$4:BN$40,"&lt;&gt;"&amp;"")+COUNTIF(BN$4:BN9,BN9))</f>
        <v/>
      </c>
      <c r="BP9" s="55">
        <f>IF(ROW()-3&gt;COUNTIF(BN$4:BN$40,"&lt;&gt;"&amp;""),"",INDEX(BN$4:BN$40,MATCH(ROW()-3,BO$4:BO$40,0)))</f>
        <v/>
      </c>
      <c r="BQ9">
        <f>BQ8+IF(AND(BP9&lt;&gt;"",COUNTIF(BP$4:BP9,BP9)=1),1,0)</f>
        <v/>
      </c>
      <c r="BR9" s="55">
        <f>IF(ROW()-3&gt;MAX(BQ$4:BQ$40),"",INDEX(BP$4:BP$40,MATCH(ROW()-3,BQ$4:BQ$40,0)))</f>
        <v/>
      </c>
      <c r="BS9" s="55">
        <f>IF('Final Calculation Sheet'!$M$9="","",'Final Calculation Sheet'!$M$9)</f>
        <v/>
      </c>
      <c r="BT9">
        <f>IF(BS9="","",COUNTIFS(BS$4:BS$40,"&lt;"&amp;BS9,BS$4:BS$40,"&lt;&gt;"&amp;"")+COUNTIF(BS$4:BS9,BS9))</f>
        <v/>
      </c>
      <c r="BU9" s="55">
        <f>IF(ROW()-3&gt;COUNTIF(BS$4:BS$40,"&lt;&gt;"&amp;""),"",INDEX(BS$4:BS$40,MATCH(ROW()-3,BT$4:BT$40,0)))</f>
        <v/>
      </c>
      <c r="BV9">
        <f>BV8+IF(AND(BU9&lt;&gt;"",COUNTIF(BU$4:BU9,BU9)=1),1,0)</f>
        <v/>
      </c>
      <c r="BW9" s="55">
        <f>IF(ROW()-3&gt;MAX(BV$4:BV$40),"",INDEX(BU$4:BU$40,MATCH(ROW()-3,BV$4:BV$40,0)))</f>
        <v/>
      </c>
      <c r="BX9" s="138">
        <f>IF('Final Calculation Sheet'!$N$9="","",'Final Calculation Sheet'!$N$9)</f>
        <v/>
      </c>
      <c r="BY9">
        <f>IF(BX9="","",COUNTIFS(BX$4:BX$40,"&lt;"&amp;BX9,BX$4:BX$40,"&lt;&gt;"&amp;"")+COUNTIF(BX$4:BX9,BX9))</f>
        <v/>
      </c>
      <c r="BZ9" s="138">
        <f>IF(ROW()-3&gt;COUNTIF(BX$4:BX$40,"&lt;&gt;"&amp;""),"",INDEX(BX$4:BX$40,MATCH(ROW()-3,BY$4:BY$40,0)))</f>
        <v/>
      </c>
      <c r="CA9">
        <f>CA8+IF(AND(BZ9&lt;&gt;"",COUNTIF(BZ$4:BZ9,BZ9)=1),1,0)</f>
        <v/>
      </c>
      <c r="CB9" s="138">
        <f>IF(ROW()-3&gt;MAX(CA$4:CA$40),"",INDEX(BZ$4:BZ$40,MATCH(ROW()-3,CA$4:CA$40,0)))</f>
        <v/>
      </c>
      <c r="CC9" s="55">
        <f>IF('Final Calculation Sheet'!$O$9="","",'Final Calculation Sheet'!$O$9)</f>
        <v/>
      </c>
      <c r="CD9">
        <f>IF(CC9="","",COUNTIFS(CC$4:CC$40,"&lt;"&amp;CC9,CC$4:CC$40,"&lt;&gt;"&amp;"")+COUNTIF(CC$4:CC9,CC9))</f>
        <v/>
      </c>
      <c r="CE9" s="55">
        <f>IF(ROW()-3&gt;COUNTIF(CC$4:CC$40,"&lt;&gt;"&amp;""),"",INDEX(CC$4:CC$40,MATCH(ROW()-3,CD$4:CD$40,0)))</f>
        <v/>
      </c>
      <c r="CF9">
        <f>CF8+IF(AND(CE9&lt;&gt;"",COUNTIF(CE$4:CE9,CE9)=1),1,0)</f>
        <v/>
      </c>
      <c r="CG9" s="55">
        <f>IF(ROW()-3&gt;MAX(CF$4:CF$40),"",INDEX(CE$4:CE$40,MATCH(ROW()-3,CF$4:CF$40,0)))</f>
        <v/>
      </c>
      <c r="CH9" s="55">
        <f>IF('Final Calculation Sheet'!$P$9="","",'Final Calculation Sheet'!$P$9)</f>
        <v/>
      </c>
      <c r="CI9">
        <f>IF(CH9="","",COUNTIFS(CH$4:CH$40,"&lt;"&amp;CH9,CH$4:CH$40,"&lt;&gt;"&amp;"")+COUNTIF(CH$4:CH9,CH9))</f>
        <v/>
      </c>
      <c r="CJ9" s="55">
        <f>IF(ROW()-3&gt;COUNTIF(CH$4:CH$40,"&lt;&gt;"&amp;""),"",INDEX(CH$4:CH$40,MATCH(ROW()-3,CI$4:CI$40,0)))</f>
        <v/>
      </c>
      <c r="CK9">
        <f>CK8+IF(AND(CJ9&lt;&gt;"",COUNTIF(CJ$4:CJ9,CJ9)=1),1,0)</f>
        <v/>
      </c>
      <c r="CL9" s="55">
        <f>IF(ROW()-3&gt;MAX(CK$4:CK$40),"",INDEX(CJ$4:CJ$40,MATCH(ROW()-3,CK$4:CK$40,0)))</f>
        <v/>
      </c>
      <c r="CM9" s="139">
        <f>IF('Final Calculation Sheet'!$Q$9="","",'Final Calculation Sheet'!$Q$9)</f>
        <v/>
      </c>
      <c r="CN9">
        <f>IF(CM9="","",COUNTIFS(CM$4:CM$40,"&lt;"&amp;CM9,CM$4:CM$40,"&lt;&gt;"&amp;"")+COUNTIF(CM$4:CM9,CM9))</f>
        <v/>
      </c>
      <c r="CO9" s="139">
        <f>IF(ROW()-3&gt;COUNTIF(CM$4:CM$40,"&lt;&gt;"&amp;""),"",INDEX(CM$4:CM$40,MATCH(ROW()-3,CN$4:CN$40,0)))</f>
        <v/>
      </c>
      <c r="CP9">
        <f>CP8+IF(AND(CO9&lt;&gt;"",COUNTIF(CO$4:CO9,CO9)=1),1,0)</f>
        <v/>
      </c>
      <c r="CQ9">
        <f>IF(ROW()-3&gt;MAX(CP$4:CP$40),"",INDEX(CO$4:CO$40,MATCH(ROW()-3,CP$4:CP$40,0)))</f>
        <v/>
      </c>
      <c r="CR9" s="55">
        <f>IF('Final Calculation Sheet'!$R$9="","",'Final Calculation Sheet'!$R$9)</f>
        <v/>
      </c>
      <c r="CS9">
        <f>IF(CR9="","",COUNTIFS(CR$4:CR$40,"&lt;"&amp;CR9,CR$4:CR$40,"&lt;&gt;"&amp;"")+COUNTIF(CR$4:CR9,CR9))</f>
        <v/>
      </c>
      <c r="CT9" s="55">
        <f>IF(ROW()-3&gt;COUNTIF(CR$4:CR$40,"&lt;&gt;"&amp;""),"",INDEX(CR$4:CR$40,MATCH(ROW()-3,CS$4:CS$40,0)))</f>
        <v/>
      </c>
      <c r="CU9">
        <f>CU8+IF(AND(CT9&lt;&gt;"",COUNTIF(CT$4:CT9,CT9)=1),1,0)</f>
        <v/>
      </c>
      <c r="CV9">
        <f>IF(ROW()-3&gt;MAX(CU$4:CU$40),"",INDEX(CT$4:CT$40,MATCH(ROW()-3,CU$4:CU$40,0)))</f>
        <v/>
      </c>
      <c r="CW9" s="55">
        <f>IF('Final Calculation Sheet'!$S$9="","",'Final Calculation Sheet'!$S$9)</f>
        <v/>
      </c>
      <c r="CX9">
        <f>IF(CW9="","",COUNTIFS(CW$4:CW$40,"&lt;"&amp;CW9,CW$4:CW$40,"&lt;&gt;"&amp;"")+COUNTIF(CW$4:CW9,CW9))</f>
        <v/>
      </c>
      <c r="CY9" s="55">
        <f>IF(ROW()-3&gt;COUNTIF(CW$4:CW$40,"&lt;&gt;"&amp;""),"",INDEX(CW$4:CW$40,MATCH(ROW()-3,CX$4:CX$40,0)))</f>
        <v/>
      </c>
      <c r="CZ9">
        <f>CZ8+IF(AND(CY9&lt;&gt;"",COUNTIF(CY$4:CY9,CY9)=1),1,0)</f>
        <v/>
      </c>
      <c r="DA9" s="55">
        <f>IF(ROW()-3&gt;MAX(CZ$4:CZ$40),"",INDEX(CY$4:CY$40,MATCH(ROW()-3,CZ$4:CZ$40,0)))</f>
        <v/>
      </c>
      <c r="DB9" s="55">
        <f>IF('Final Calculation Sheet'!$T$9="","",'Final Calculation Sheet'!$T$9)</f>
        <v/>
      </c>
      <c r="DC9">
        <f>IF(DB9="","",COUNTIFS(DB$4:DB$40,"&lt;"&amp;DB9,DB$4:DB$40,"&lt;&gt;"&amp;"")+COUNTIF(DB$4:DB9,DB9))</f>
        <v/>
      </c>
      <c r="DD9" s="55">
        <f>IF(ROW()-3&gt;COUNTIF(DB$4:DB$40,"&lt;&gt;"&amp;""),"",INDEX(DB$4:DB$40,MATCH(ROW()-3,DC$4:DC$40,0)))</f>
        <v/>
      </c>
      <c r="DE9">
        <f>DE8+IF(AND(DD9&lt;&gt;"",COUNTIF(DD$4:DD9,DD9)=1),1,0)</f>
        <v/>
      </c>
      <c r="DF9" s="55">
        <f>IF(ROW()-3&gt;MAX(DE$4:DE$40),"",INDEX(DD$4:DD$40,MATCH(ROW()-3,DE$4:DE$40,0)))</f>
        <v/>
      </c>
      <c r="DG9" s="140">
        <f>IF('Final Calculation Sheet'!$U$9="","",'Final Calculation Sheet'!$U$9)</f>
        <v/>
      </c>
      <c r="DH9">
        <f>IF(DG9="","",COUNTIFS(DG$4:DG$40,"&lt;"&amp;DG9,DG$4:DG$40,"&lt;&gt;"&amp;"")+COUNTIF(DG$4:DG9,DG9))</f>
        <v/>
      </c>
      <c r="DI9" s="140">
        <f>IF(ROW()-3&gt;COUNTIF(DG$4:DG$40,"&lt;&gt;"&amp;""),"",INDEX(DG$4:DG$40,MATCH(ROW()-3,DH$4:DH$40,0)))</f>
        <v/>
      </c>
      <c r="DJ9">
        <f>DJ8+IF(AND(DI9&lt;&gt;"",COUNTIF(DI$4:DI9,DI9)=1),1,0)</f>
        <v/>
      </c>
      <c r="DK9" s="140">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s="55">
        <f>IF('Final Calculation Sheet'!$W$9="","",'Final Calculation Sheet'!$W$9)</f>
        <v/>
      </c>
      <c r="DR9">
        <f>IF(DQ9="","",COUNTIFS(DQ$4:DQ$40,"&lt;"&amp;DQ9,DQ$4:DQ$40,"&lt;&gt;"&amp;"")+COUNTIF(DQ$4:DQ9,DQ9))</f>
        <v/>
      </c>
      <c r="DS9" s="55">
        <f>IF(ROW()-3&gt;COUNTIF(DQ$4:DQ$40,"&lt;&gt;"&amp;""),"",INDEX(DQ$4:DQ$40,MATCH(ROW()-3,DR$4:DR$40,0)))</f>
        <v/>
      </c>
      <c r="DT9">
        <f>DT8+IF(AND(DS9&lt;&gt;"",COUNTIF(DS$4:DS9,DS9)=1),1,0)</f>
        <v/>
      </c>
      <c r="DU9" s="55">
        <f>IF(ROW()-3&gt;MAX(DT$4:DT$40),"",INDEX(DS$4:DS$40,MATCH(ROW()-3,DT$4:DT$40,0)))</f>
        <v/>
      </c>
      <c r="DV9" s="55">
        <f>IF('Final Calculation Sheet'!$X$9="","",'Final Calculation Sheet'!$X$9)</f>
        <v/>
      </c>
      <c r="DW9">
        <f>IF(DV9="","",COUNTIFS(DV$4:DV$40,"&lt;"&amp;DV9,DV$4:DV$40,"&lt;&gt;"&amp;"")+COUNTIF(DV$4:DV9,DV9))</f>
        <v/>
      </c>
      <c r="DX9" s="55">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s="55">
        <f>IF('Final Calculation Sheet'!$Z$9="","",'Final Calculation Sheet'!$Z$9)</f>
        <v/>
      </c>
      <c r="EG9">
        <f>IF(EF9="","",COUNTIFS(EF$4:EF$40,"&lt;"&amp;EF9,EF$4:EF$40,"&lt;&gt;"&amp;"")+COUNTIF(EF$4:EF9,EF9))</f>
        <v/>
      </c>
      <c r="EH9" s="55">
        <f>IF(ROW()-3&gt;COUNTIF(EF$4:EF$40,"&lt;&gt;"&amp;""),"",INDEX(EF$4:EF$40,MATCH(ROW()-3,EG$4:EG$40,0)))</f>
        <v/>
      </c>
      <c r="EI9">
        <f>EI8+IF(AND(EH9&lt;&gt;"",COUNTIF(EH$4:EH9,EH9)=1),1,0)</f>
        <v/>
      </c>
      <c r="EJ9" s="55">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s="55">
        <f>IF('Final Calculation Sheet'!$AC$9="","",'Final Calculation Sheet'!$AC$9)</f>
        <v/>
      </c>
      <c r="EV9">
        <f>IF(EU9="","",COUNTIFS(EU$4:EU$40,"&lt;"&amp;EU9,EU$4:EU$40,"&lt;&gt;"&amp;"")+COUNTIF(EU$4:EU9,EU9))</f>
        <v/>
      </c>
      <c r="EW9" s="55">
        <f>IF(ROW()-3&gt;COUNTIF(EU$4:EU$40,"&lt;&gt;"&amp;""),"",INDEX(EU$4:EU$40,MATCH(ROW()-3,EV$4:EV$40,0)))</f>
        <v/>
      </c>
      <c r="EX9">
        <f>EX8+IF(AND(EW9&lt;&gt;"",COUNTIF(EW$4:EW9,EW9)=1),1,0)</f>
        <v/>
      </c>
      <c r="EY9" s="55">
        <f>IF(ROW()-3&gt;MAX(EX$4:EX$40),"",INDEX(EW$4:EW$40,MATCH(ROW()-3,EX$4:EX$40,0)))</f>
        <v/>
      </c>
      <c r="EZ9" s="55">
        <f>IF('Final Calculation Sheet'!$AD$9="","",'Final Calculation Sheet'!$AD$9)</f>
        <v/>
      </c>
      <c r="FA9">
        <f>IF(EZ9="","",COUNTIFS(EZ$4:EZ$40,"&lt;"&amp;EZ9,EZ$4:EZ$40,"&lt;&gt;"&amp;"")+COUNTIF(EZ$4:EZ9,EZ9))</f>
        <v/>
      </c>
      <c r="FB9" s="55">
        <f>IF(ROW()-3&gt;COUNTIF(EZ$4:EZ$40,"&lt;&gt;"&amp;""),"",INDEX(EZ$4:EZ$40,MATCH(ROW()-3,FA$4:FA$40,0)))</f>
        <v/>
      </c>
      <c r="FC9">
        <f>FC8+IF(AND(FB9&lt;&gt;"",COUNTIF(FB$4:FB9,FB9)=1),1,0)</f>
        <v/>
      </c>
      <c r="FD9" s="55">
        <f>IF(ROW()-3&gt;MAX(FC$4:FC$40),"",INDEX(FB$4:FB$40,MATCH(ROW()-3,FC$4:FC$40,0)))</f>
        <v/>
      </c>
      <c r="FE9">
        <f>IF('Final Calculation Sheet'!$AF$9="","",'Final Calculation Sheet'!$AF$9)</f>
        <v/>
      </c>
      <c r="FF9">
        <f>IF(FE9="","",COUNTIFS(FE$4:FE$40,"&lt;"&amp;FE9,FE$4:FE$40,"&lt;&gt;"&amp;"")+COUNTIF(FE$4:FE9,FE9))</f>
        <v/>
      </c>
      <c r="FG9">
        <f>IF(ROW()-3&gt;COUNTIF(FE$4:FE$40,"&lt;&gt;"&amp;""),"",INDEX(FE$4:FE$40,MATCH(ROW()-3,FF$4:FF$40,0)))</f>
        <v/>
      </c>
      <c r="FH9">
        <f>FH8+IF(AND(FG9&lt;&gt;"",COUNTIF(FG$4:FG9,FG9)=1),1,0)</f>
        <v/>
      </c>
      <c r="FI9">
        <f>IF(ROW()-3&gt;MAX(FH$4:FH$40),"",INDEX(FG$4:FG$40,MATCH(ROW()-3,FH$4:FH$40,0)))</f>
        <v/>
      </c>
      <c r="FJ9" s="141">
        <f>IF('Final Calculation Sheet'!$AG$9="","",'Final Calculation Sheet'!$AG$9)</f>
        <v/>
      </c>
      <c r="FK9">
        <f>IF(FJ9="","",COUNTIFS(FJ$4:FJ$40,"&lt;"&amp;FJ9,FJ$4:FJ$40,"&lt;&gt;"&amp;"")+COUNTIF(FJ$4:FJ9,FJ9))</f>
        <v/>
      </c>
      <c r="FL9" s="141">
        <f>IF(ROW()-3&gt;COUNTIF(FJ$4:FJ$40,"&lt;&gt;"&amp;""),"",INDEX(FJ$4:FJ$40,MATCH(ROW()-3,FK$4:FK$40,0)))</f>
        <v/>
      </c>
      <c r="FM9">
        <f>FM8+IF(AND(FL9&lt;&gt;"",COUNTIF(FL$4:FL9,FL9)=1),1,0)</f>
        <v/>
      </c>
      <c r="FN9">
        <f>IF(ROW()-3&gt;MAX(FM$4:FM$40),"",INDEX(FL$4:FL$40,MATCH(ROW()-3,FM$4:FM$40,0)))</f>
        <v/>
      </c>
      <c r="FO9">
        <f>IF('Final Calculation Sheet'!$AH$9="","",'Final Calculation Sheet'!$AH$9)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c r="FY9">
        <f>IF(COUNTIF('Live Search'!BM$8:BO$8,0)+COUNTIF('Live Search'!BQ$8:CU$8,0)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9">
        <f>IF($Y$9="",FALSE,SUMPRODUCT(('Final Calculation Sheet'!$B$4:$B$40=$Y$9)*($FY$6:$FY$42=1))&gt;0)</f>
        <v/>
      </c>
      <c r="GA9">
        <f>$GA$8+--($FZ$9)</f>
        <v/>
      </c>
      <c r="GB9">
        <f>IF(ROW()-3&gt;MAX($GA$4:$GA$40),"",INDEX($Y$4:$Y$40,MATCH(ROW()-3,$GA$4:$GA$40,0)))</f>
        <v/>
      </c>
      <c r="GC9">
        <f>IF(COUNTIF('Live Search'!BM$8:BM$8,0)+COUNTIF('Live Search'!BO$8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D9">
        <f>IF($O$9="",FALSE,SUMPRODUCT(('Final Calculation Sheet'!$F$4:$F$40=$O$9)*($GC$6:$GC$42=1))&gt;0)</f>
        <v/>
      </c>
      <c r="GE9">
        <f>$GE$8+--($GD9)</f>
        <v/>
      </c>
      <c r="GF9">
        <f>IF(ROW()-3&gt;MAX($GE$4:$GE$40),"",INDEX($O$4:$O$40,MATCH(ROW()-3,$GE$4:$GE$40,0)))</f>
        <v/>
      </c>
      <c r="GG9">
        <f>IF(COUNTIF('Live Search'!BM$8:BN$8,0)+COUNTIF('Live Search'!BP$8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H9">
        <f>IF($T$9="",FALSE,SUMPRODUCT(('Final Calculation Sheet'!$G$4:$G$40=$T$9)*($GG$6:$GG$42=1))&gt;0)</f>
        <v/>
      </c>
      <c r="GI9">
        <f>$GI$8+--($GH9)</f>
        <v/>
      </c>
      <c r="GJ9">
        <f>IF(ROW()-3&gt;MAX($GI$4:$GI$40),"",INDEX($T$4:$T$40,MATCH(ROW()-3,$GI$4:$GI$40,0)))</f>
        <v/>
      </c>
      <c r="GK9">
        <f>IF(COUNTIF('Live Search'!BM$8:BP$8,0)+COUNTIF('Live Search'!BR$8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L9">
        <f>IF($AD$9="",FALSE,SUMPRODUCT(('Final Calculation Sheet'!$D$4:$D$40=$AD$9)*($GK$6:$GK$42=1))&gt;0)</f>
        <v/>
      </c>
      <c r="GM9">
        <f>$GM$8+--($GL9)</f>
        <v/>
      </c>
      <c r="GN9">
        <f>IF(ROW()-3&gt;MAX($GM$4:$GM$40),"",INDEX($AD$4:$AD$40,MATCH(ROW()-3,$GM$4:$GM$40,0)))</f>
        <v/>
      </c>
      <c r="GO9">
        <f>IF(COUNTIF('Live Search'!BM$8:BQ$8,0)+COUNTIF('Live Search'!BS$8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P9">
        <f>IF($AI$9="",FALSE,SUMPRODUCT(('Final Calculation Sheet'!$A$4:$A$40=$AI$9)*($GO$6:$GO$42=1))&gt;0)</f>
        <v/>
      </c>
      <c r="GQ9">
        <f>$GQ$8+--($GP9)</f>
        <v/>
      </c>
      <c r="GR9">
        <f>IF(ROW()-3&gt;MAX($GQ$4:$GQ$40),"",INDEX($AI$4:$AI$40,MATCH(ROW()-3,$GQ$4:$GQ$40,0)))</f>
        <v/>
      </c>
      <c r="GS9">
        <f>IF(COUNTIF('Live Search'!BM$8:BR$8,0)+COUNTIF('Live Search'!BT$8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T9">
        <f>IF($AN$9="",FALSE,SUMPRODUCT(('Final Calculation Sheet'!$E$4:$E$40=$AN$9)*($GS$6:$GS$42=1))&gt;0)</f>
        <v/>
      </c>
      <c r="GU9">
        <f>$GU$8+--($GT9)</f>
        <v/>
      </c>
      <c r="GV9">
        <f>IF(ROW()-3&gt;MAX($GU$4:$GU$40),"",INDEX($AN$4:$AN$40,MATCH(ROW()-3,$GU$4:$GU$40,0)))</f>
        <v/>
      </c>
      <c r="GW9">
        <f>IF(COUNTIF('Live Search'!BM$8:BS$8,0)+COUNTIF('Live Search'!BU$8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GX9">
        <f>IF($AS$9="",FALSE,SUMPRODUCT(('Final Calculation Sheet'!$C$4:$C$40=$AS$9)*($GW$6:$GW$42=1))&gt;0)</f>
        <v/>
      </c>
      <c r="GY9">
        <f>$GY$8+--($GX9)</f>
        <v/>
      </c>
      <c r="GZ9">
        <f>IF(ROW()-3&gt;MAX($GY$4:$GY$40),"",INDEX($AS$4:$AS$40,MATCH(ROW()-3,$GY$4:$GY$40,0)))</f>
        <v/>
      </c>
      <c r="HA9">
        <f>IF(COUNTIF('Live Search'!BM$8:BT$8,0)+COUNTIF('Live Search'!BV$8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B9">
        <f>IF($AX$9="",FALSE,SUMPRODUCT(('Final Calculation Sheet'!$H$4:$H$40=$AX$9)*($HA$6:$HA$42=1))&gt;0)</f>
        <v/>
      </c>
      <c r="HC9">
        <f>$HC$8+--($HB9)</f>
        <v/>
      </c>
      <c r="HD9">
        <f>IF(ROW()-3&gt;MAX($HC$4:$HC$40),"",INDEX($AX$4:$AX$40,MATCH(ROW()-3,$HC$4:$HC$40,0)))</f>
        <v/>
      </c>
      <c r="HE9">
        <f>IF(COUNTIF('Live Search'!BM$8:BU$8,0)+COUNTIF('Live Search'!BW$8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F9">
        <f>IF($BC$9="",FALSE,SUMPRODUCT(('Final Calculation Sheet'!$I$4:$I$40=$BC$9)*($HE$6:$HE$42=1))&gt;0)</f>
        <v/>
      </c>
      <c r="HG9">
        <f>$HG$8+--($HF9)</f>
        <v/>
      </c>
      <c r="HH9">
        <f>IF(ROW()-3&gt;MAX($HG$4:$HG$40),"",INDEX($BC$4:$BC$40,MATCH(ROW()-3,$HG$4:$HG$40,0)))</f>
        <v/>
      </c>
      <c r="HI9">
        <f>IF(COUNTIF('Live Search'!BM$8:BV$8,0)+COUNTIF('Live Search'!BX$8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J9">
        <f>IF($BH$9="",FALSE,SUMPRODUCT(('Final Calculation Sheet'!$J$4:$J$40=$BH$9)*($HI$6:$HI$42=1))&gt;0)</f>
        <v/>
      </c>
      <c r="HK9">
        <f>$HK$8+--($HJ9)</f>
        <v/>
      </c>
      <c r="HL9">
        <f>IF(ROW()-3&gt;MAX($HK$4:$HK$40),"",INDEX($BH$4:$BH$40,MATCH(ROW()-3,$HK$4:$HK$40,0)))</f>
        <v/>
      </c>
      <c r="HM9">
        <f>IF(COUNTIF('Live Search'!BM$8:BW$8,0)+COUNTIF('Live Search'!BY$8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N9">
        <f>IF($BM$9="",FALSE,SUMPRODUCT(('Final Calculation Sheet'!$K$4:$K$40=$BM$9)*($HM$6:$HM$42=1))&gt;0)</f>
        <v/>
      </c>
      <c r="HO9">
        <f>$HO$8+--($HN9)</f>
        <v/>
      </c>
      <c r="HP9">
        <f>IF(ROW()-3&gt;MAX($HO$4:$HO$40),"",INDEX($BM$4:$BM$40,MATCH(ROW()-3,$HO$4:$HO$40,0)))</f>
        <v/>
      </c>
      <c r="HQ9">
        <f>IF(COUNTIF('Live Search'!BM$8:BX$8,0)+COUNTIF('Live Search'!BZ$8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R9">
        <f>IF($BR$9="",FALSE,SUMPRODUCT(('Final Calculation Sheet'!$L$4:$L$40=$BR$9)*($HQ$6:$HQ$42=1))&gt;0)</f>
        <v/>
      </c>
      <c r="HS9">
        <f>$HS$8+--($HR9)</f>
        <v/>
      </c>
      <c r="HT9">
        <f>IF(ROW()-3&gt;MAX($HS$4:$HS$40),"",INDEX($BR$4:$BR$40,MATCH(ROW()-3,$HS$4:$HS$40,0)))</f>
        <v/>
      </c>
      <c r="HU9">
        <f>IF(COUNTIF('Live Search'!BM$8:BY$8,0)+COUNTIF('Live Search'!CA$8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V9">
        <f>IF($BW$9="",FALSE,SUMPRODUCT(('Final Calculation Sheet'!$M$4:$M$40=$BW$9)*($HU$6:$HU$42=1))&gt;0)</f>
        <v/>
      </c>
      <c r="HW9">
        <f>$HW$8+--($HV9)</f>
        <v/>
      </c>
      <c r="HX9">
        <f>IF(ROW()-3&gt;MAX($HW$4:$HW$40),"",INDEX($BW$4:$BW$40,MATCH(ROW()-3,$HW$4:$HW$40,0)))</f>
        <v/>
      </c>
      <c r="HY9">
        <f>IF(COUNTIF('Live Search'!BM$8:BZ$8,0)+COUNTIF('Live Search'!CB$8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HZ9">
        <f>IF($CB$9="",FALSE,SUMPRODUCT(('Final Calculation Sheet'!$N$4:$N$40=$CB$9)*($HY$6:$HY$42=1))&gt;0)</f>
        <v/>
      </c>
      <c r="IA9">
        <f>$IA$8+--($HZ9)</f>
        <v/>
      </c>
      <c r="IB9">
        <f>IF(ROW()-3&gt;MAX($IA$4:$IA$40),"",INDEX($CB$4:$CB$40,MATCH(ROW()-3,$IA$4:$IA$40,0)))</f>
        <v/>
      </c>
      <c r="IC9">
        <f>IF(COUNTIF('Live Search'!BM$8:CA$8,0)+COUNTIF('Live Search'!CC$8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D9">
        <f>IF($CG$9="",FALSE,SUMPRODUCT(('Final Calculation Sheet'!$O$4:$O$40=$CG$9)*($IC$6:$IC$42=1))&gt;0)</f>
        <v/>
      </c>
      <c r="IE9">
        <f>$IE$8+--($ID9)</f>
        <v/>
      </c>
      <c r="IF9">
        <f>IF(ROW()-3&gt;MAX($IE$4:$IE$40),"",INDEX($CG$4:$CG$40,MATCH(ROW()-3,$IE$4:$IE$40,0)))</f>
        <v/>
      </c>
      <c r="IG9">
        <f>IF(COUNTIF('Live Search'!BM$8:CB$8,0)+COUNTIF('Live Search'!CD$8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H9">
        <f>IF($CL$9="",FALSE,SUMPRODUCT(('Final Calculation Sheet'!$P$4:$P$40=$CL$9)*($IG$6:$IG$42=1))&gt;0)</f>
        <v/>
      </c>
      <c r="II9">
        <f>$II$8+--($IH9)</f>
        <v/>
      </c>
      <c r="IJ9">
        <f>IF(ROW()-3&gt;MAX($II$4:$II$40),"",INDEX($CL$4:$CL$40,MATCH(ROW()-3,$II$4:$II$40,0)))</f>
        <v/>
      </c>
      <c r="IK9">
        <f>IF(COUNTIF('Live Search'!BM$8:CC$8,0)+COUNTIF('Live Search'!CE$8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L9">
        <f>IF($CQ$9="",FALSE,SUMPRODUCT(('Final Calculation Sheet'!$Q$4:$Q$40=$CQ$9)*($IK$6:$IK$42=1))&gt;0)</f>
        <v/>
      </c>
      <c r="IM9">
        <f>$IM$8+--($IL9)</f>
        <v/>
      </c>
      <c r="IN9">
        <f>IF(ROW()-3&gt;MAX($IM$4:$IM$40),"",INDEX($CQ$4:$CQ$40,MATCH(ROW()-3,$IM$4:$IM$40,0)))</f>
        <v/>
      </c>
      <c r="IO9">
        <f>IF(COUNTIF('Live Search'!BM$8:CD$8,0)+COUNTIF('Live Search'!CF$8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P9">
        <f>IF($CV$9="",FALSE,SUMPRODUCT(('Final Calculation Sheet'!$R$4:$R$40=$CV$9)*($IO$6:$IO$42=1))&gt;0)</f>
        <v/>
      </c>
      <c r="IQ9">
        <f>$IQ$8+--($IP9)</f>
        <v/>
      </c>
      <c r="IR9">
        <f>IF(ROW()-3&gt;MAX($IQ$4:$IQ$40),"",INDEX($CV$4:$CV$40,MATCH(ROW()-3,$IQ$4:$IQ$40,0)))</f>
        <v/>
      </c>
      <c r="IS9">
        <f>IF(COUNTIF('Live Search'!BM$8:CE$8,0)+COUNTIF('Live Search'!CG$8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T9">
        <f>IF($DA$9="",FALSE,SUMPRODUCT(('Final Calculation Sheet'!$S$4:$S$40=$DA$9)*($IS$6:$IS$42=1))&gt;0)</f>
        <v/>
      </c>
      <c r="IU9">
        <f>$IU$8+--($IT9)</f>
        <v/>
      </c>
      <c r="IV9">
        <f>IF(ROW()-3&gt;MAX($IU$4:$IU$40),"",INDEX($DA$4:$DA$40,MATCH(ROW()-3,$IU$4:$IU$40,0)))</f>
        <v/>
      </c>
      <c r="IW9">
        <f>IF(COUNTIF('Live Search'!BM$8:CF$8,0)+COUNTIF('Live Search'!CH$8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IX9">
        <f>IF($DF$9="",FALSE,SUMPRODUCT(('Final Calculation Sheet'!$T$4:$T$40=$DF$9)*($IW$6:$IW$42=1))&gt;0)</f>
        <v/>
      </c>
      <c r="IY9">
        <f>$IY$8+--($IX9)</f>
        <v/>
      </c>
      <c r="IZ9">
        <f>IF(ROW()-3&gt;MAX($IY$4:$IY$40),"",INDEX($DF$4:$DF$40,MATCH(ROW()-3,$IY$4:$IY$40,0)))</f>
        <v/>
      </c>
      <c r="JA9">
        <f>IF(COUNTIF('Live Search'!BM$8:CG$8,0)+COUNTIF('Live Search'!CI$8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B9">
        <f>IF($DK$9="",FALSE,SUMPRODUCT(('Final Calculation Sheet'!$U$4:$U$40=$DK$9)*($JA$6:$JA$42=1))&gt;0)</f>
        <v/>
      </c>
      <c r="JC9">
        <f>$JC$8+--($JB9)</f>
        <v/>
      </c>
      <c r="JD9">
        <f>IF(ROW()-3&gt;MAX($JC$4:$JC$40),"",INDEX($DK$4:$DK$40,MATCH(ROW()-3,$JC$4:$JC$40,0)))</f>
        <v/>
      </c>
      <c r="JE9">
        <f>IF(COUNTIF('Live Search'!BM$8:CH$8,0)+COUNTIF('Live Search'!CJ$8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F9">
        <f>IF($DP$9="",FALSE,SUMPRODUCT(('Final Calculation Sheet'!$V$4:$V$40=$DP$9)*($JE$6:$JE$42=1))&gt;0)</f>
        <v/>
      </c>
      <c r="JG9">
        <f>$JG$8+--($JF9)</f>
        <v/>
      </c>
      <c r="JH9">
        <f>IF(ROW()-3&gt;MAX($JG$4:$JG$40),"",INDEX($DP$4:$DP$40,MATCH(ROW()-3,$JG$4:$JG$40,0)))</f>
        <v/>
      </c>
      <c r="JI9">
        <f>IF(COUNTIF('Live Search'!BM$8:CI$8,0)+COUNTIF('Live Search'!CK$8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J9">
        <f>IF($DU$9="",FALSE,SUMPRODUCT(('Final Calculation Sheet'!$W$4:$W$40=$DU$9)*($JI$6:$JI$42=1))&gt;0)</f>
        <v/>
      </c>
      <c r="JK9">
        <f>$JK$8+--($JJ9)</f>
        <v/>
      </c>
      <c r="JL9">
        <f>IF(ROW()-3&gt;MAX($JK$4:$JK$40),"",INDEX($DU$4:$DU$40,MATCH(ROW()-3,$JK$4:$JK$40,0)))</f>
        <v/>
      </c>
      <c r="JM9">
        <f>IF(COUNTIF('Live Search'!BM$8:CJ$8,0)+COUNTIF('Live Search'!CL$8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N9">
        <f>IF($DZ$9="",FALSE,SUMPRODUCT(('Final Calculation Sheet'!$X$4:$X$40=$DZ$9)*($JM$6:$JM$42=1))&gt;0)</f>
        <v/>
      </c>
      <c r="JO9">
        <f>$JO$8+--($JN9)</f>
        <v/>
      </c>
      <c r="JP9">
        <f>IF(ROW()-3&gt;MAX($JO$4:$JO$40),"",INDEX($DZ$4:$DZ$40,MATCH(ROW()-3,$JO$4:$JO$40,0)))</f>
        <v/>
      </c>
      <c r="JQ9">
        <f>IF(COUNTIF('Live Search'!BM$8:CK$8,0)+COUNTIF('Live Search'!C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R9">
        <f>IF($EE$9="",FALSE,SUMPRODUCT(('Final Calculation Sheet'!$Y$4:$Y$40=$EE$9)*($JQ$6:$JQ$42=1))&gt;0)</f>
        <v/>
      </c>
      <c r="JS9">
        <f>$JS$8+--($JR9)</f>
        <v/>
      </c>
      <c r="JT9">
        <f>IF(ROW()-3&gt;MAX($JS$4:$JS$40),"",INDEX($EE$4:$EE$40,MATCH(ROW()-3,$JS$4:$JS$40,0)))</f>
        <v/>
      </c>
      <c r="JU9">
        <f>IF(COUNTIF('Live Search'!BM$8:CL$8,0)+COUNTIF('Live Search'!CN$8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V9">
        <f>IF($EJ$9="",FALSE,SUMPRODUCT(('Final Calculation Sheet'!$Z$4:$Z$40=$EJ$9)*($JU$6:$JU$42=1))&gt;0)</f>
        <v/>
      </c>
      <c r="JW9">
        <f>$JW$8+--($JV9)</f>
        <v/>
      </c>
      <c r="JX9">
        <f>IF(ROW()-3&gt;MAX($JW$4:$JW$40),"",INDEX($EJ$4:$EJ$40,MATCH(ROW()-3,$JW$4:$JW$40,0)))</f>
        <v/>
      </c>
      <c r="JY9">
        <f>IF(COUNTIF('Live Search'!BM$8:CM$8,0)+COUNTIF('Live Search'!CO$8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JZ9">
        <f>IF($EO$9="",FALSE,SUMPRODUCT(('Final Calculation Sheet'!$AA$4:$AA$40=$EO$9)*($JY$6:$JY$42=1))&gt;0)</f>
        <v/>
      </c>
      <c r="KA9">
        <f>$KA$8+--($JZ9)</f>
        <v/>
      </c>
      <c r="KB9">
        <f>IF(ROW()-3&gt;MAX($KA$4:$KA$40),"",INDEX($EO$4:$EO$40,MATCH(ROW()-3,$KA$4:$KA$40,0)))</f>
        <v/>
      </c>
      <c r="KC9">
        <f>IF(COUNTIF('Live Search'!BM$8:CN$8,0)+COUNTIF('Live Search'!CP$8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D9">
        <f>IF($ET$9="",FALSE,SUMPRODUCT(('Final Calculation Sheet'!$AB$4:$AB$40=$ET$9)*($KC$6:$KC$42=1))&gt;0)</f>
        <v/>
      </c>
      <c r="KE9">
        <f>$KE$8+--($KD9)</f>
        <v/>
      </c>
      <c r="KF9">
        <f>IF(ROW()-3&gt;MAX($KE$4:$KE$40),"",INDEX($ET$4:$ET$40,MATCH(ROW()-3,$KE$4:$KE$40,0)))</f>
        <v/>
      </c>
      <c r="KG9">
        <f>IF(COUNTIF('Live Search'!BM$8:CO$8,0)+COUNTIF('Live Search'!CQ$8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H9">
        <f>IF($EY$9="",FALSE,SUMPRODUCT(('Final Calculation Sheet'!$AC$4:$AC$40=$EY$9)*($KG$6:$KG$42=1))&gt;0)</f>
        <v/>
      </c>
      <c r="KI9">
        <f>$KI$8+--($KH9)</f>
        <v/>
      </c>
      <c r="KJ9">
        <f>IF(ROW()-3&gt;MAX($KI$4:$KI$40),"",INDEX($EY$4:$EY$40,MATCH(ROW()-3,$KI$4:$KI$40,0)))</f>
        <v/>
      </c>
      <c r="KK9">
        <f>IF(COUNTIF('Live Search'!BM$8:CP$8,0)+COUNTIF('Live Search'!CR$8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L9">
        <f>IF($FD$9="",FALSE,SUMPRODUCT(('Final Calculation Sheet'!$AD$4:$AD$40=$FD$9)*($KK$6:$KK$42=1))&gt;0)</f>
        <v/>
      </c>
      <c r="KM9">
        <f>$KM$8+--($KL9)</f>
        <v/>
      </c>
      <c r="KN9">
        <f>IF(ROW()-3&gt;MAX($KM$4:$KM$40),"",INDEX($FD$4:$FD$40,MATCH(ROW()-3,$KM$4:$KM$40,0)))</f>
        <v/>
      </c>
      <c r="KO9">
        <f>IF(COUNTIF('Live Search'!BM$8:CT$8,0)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P9">
        <f>IF($FX$9="",FALSE,SUMPRODUCT((IF('Final Calculation Sheet'!$AD$4:$AD$40&lt;=5,"SETTLED","OUTSTANDING")=$FX$9)*($KO$6:$KO$42=1))&gt;0)</f>
        <v/>
      </c>
      <c r="KQ9">
        <f>$KQ$8+--($KP9)</f>
        <v/>
      </c>
      <c r="KR9">
        <f>IF(ROW()-3&gt;MAX($KQ$4:$KQ$40),"",INDEX($FX$4:$FX$40,MATCH(ROW()-3,$KQ$4:$KQ$40,0)))</f>
        <v/>
      </c>
      <c r="KS9">
        <f>IF(COUNTIF('Live Search'!BM$8:CQ$8,0)+COUNTIF('Live Search'!CS$8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T9">
        <f>IF($FI$9="",FALSE,SUMPRODUCT(('Final Calculation Sheet'!$AF$4:$AF$40=$FI$9)*($KS$6:$KS$42=1))&gt;0)</f>
        <v/>
      </c>
      <c r="KU9">
        <f>$KU$8+--($KT9)</f>
        <v/>
      </c>
      <c r="KV9">
        <f>IF(ROW()-3&gt;MAX($KU$4:$KU$40),"",INDEX($FI$4:$FI$40,MATCH(ROW()-3,$KU$4:$KU$40,0)))</f>
        <v/>
      </c>
      <c r="KW9">
        <f>IF(COUNTIF('Live Search'!BM$8:CR$8,0)+COUNTIF('Live Search'!CT$8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KX9">
        <f>IF($FN$9="",FALSE,SUMPRODUCT(('Final Calculation Sheet'!$AG$4:$AG$40=$FN$9)*($KW$6:$KW$42=1))&gt;0)</f>
        <v/>
      </c>
      <c r="KY9">
        <f>$KY$8+--($KX9)</f>
        <v/>
      </c>
      <c r="KZ9">
        <f>IF(ROW()-3&gt;MAX($KY$4:$KY$40),"",INDEX($FN$4:$FN$40,MATCH(ROW()-3,$KY$4:$KY$40,0)))</f>
        <v/>
      </c>
      <c r="LA9">
        <f>IF(COUNTIF('Live Search'!BM$8:CS$8,0)+COUNTIF('Live Search'!CU$8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LB9">
        <f>IF($FS$9="",FALSE,SUMPRODUCT(('Final Calculation Sheet'!$AH$4:$AH$40=$FS$9)*($LA$6:$LA$42=1))&gt;0)</f>
        <v/>
      </c>
      <c r="LC9">
        <f>$LC$8+--($LB9)</f>
        <v/>
      </c>
      <c r="LD9">
        <f>IF(ROW()-3&gt;MAX($LC$4:$LC$40),"",INDEX($FS$4:$FS$40,MATCH(ROW()-3,$LC$4:$LC$40,0)))</f>
        <v/>
      </c>
      <c r="LE9">
        <f>IF(COUNTIF('Buyer Groups'!DH62:EN62,0)&gt;0,0,1)</f>
        <v/>
      </c>
      <c r="LF9">
        <f>IF($O$9="",FALSE,SUMPRODUCT(('Final Calculation Sheet'!$F$4:$F$40=$O$9)*($LE$6:$LE$42=1))&gt;0)</f>
        <v/>
      </c>
      <c r="LG9">
        <f>$LG$8+--($LF9)</f>
        <v/>
      </c>
      <c r="LH9">
        <f>IF(ROW()-3&gt;MAX($LG$4:$LG$40),"",INDEX($O$4:$O$40,MATCH(ROW()-3,$LG$4:$LG$40,0)))</f>
        <v/>
      </c>
      <c r="LI9">
        <f>IF(COUNTIF('Buyer Groups'!DG62:DG62,0)+COUNTIF('Buyer Groups'!DI62:EN62,0)&gt;0,0,1)</f>
        <v/>
      </c>
      <c r="LJ9">
        <f>IF($T$9="",FALSE,SUMPRODUCT(('Final Calculation Sheet'!$G$4:$G$40=$T$9)*($LI$6:$LI$42=1))&gt;0)</f>
        <v/>
      </c>
      <c r="LK9">
        <f>$LK$8+--($LJ9)</f>
        <v/>
      </c>
      <c r="LL9">
        <f>IF(ROW()-3&gt;MAX($LK$4:$LK$40),"",INDEX($T$4:$T$40,MATCH(ROW()-3,$LK$4:$LK$40,0)))</f>
        <v/>
      </c>
      <c r="LM9">
        <f>IF(COUNTIF('Buyer Groups'!DG62:DH62,0)+COUNTIF('Buyer Groups'!DJ62:EN62,0)&gt;0,0,1)</f>
        <v/>
      </c>
      <c r="LN9">
        <f>IF($Y$9="",FALSE,SUMPRODUCT(('Final Calculation Sheet'!$B$4:$B$40=$Y$9)*($LM$6:$LM$42=1))&gt;0)</f>
        <v/>
      </c>
      <c r="LO9">
        <f>$LO$8+--($LN9)</f>
        <v/>
      </c>
      <c r="LP9">
        <f>IF(ROW()-3&gt;MAX($LO$4:$LO$40),"",INDEX($Y$4:$Y$40,MATCH(ROW()-3,$LO$4:$LO$40,0)))</f>
        <v/>
      </c>
      <c r="LQ9">
        <f>IF(COUNTIF('Buyer Groups'!DG62:DI62,0)+COUNTIF('Buyer Groups'!DK62:EN62,0)&gt;0,0,1)</f>
        <v/>
      </c>
      <c r="LR9">
        <f>IF($AD$9="",FALSE,SUMPRODUCT(('Final Calculation Sheet'!$D$4:$D$40=$AD$9)*($LQ$6:$LQ$42=1))&gt;0)</f>
        <v/>
      </c>
      <c r="LS9">
        <f>$LS$8+--($LR9)</f>
        <v/>
      </c>
      <c r="LT9">
        <f>IF(ROW()-3&gt;MAX($LS$4:$LS$40),"",INDEX($AD$4:$AD$40,MATCH(ROW()-3,$LS$4:$LS$40,0)))</f>
        <v/>
      </c>
      <c r="LU9">
        <f>IF(COUNTIF('Buyer Groups'!DG62:DJ62,0)+COUNTIF('Buyer Groups'!DL62:EN62,0)&gt;0,0,1)</f>
        <v/>
      </c>
      <c r="LV9">
        <f>IF($AI$9="",FALSE,SUMPRODUCT(('Final Calculation Sheet'!$A$4:$A$40=$AI$9)*($LU$6:$LU$42=1))&gt;0)</f>
        <v/>
      </c>
      <c r="LW9">
        <f>$LW$8+--($LV9)</f>
        <v/>
      </c>
      <c r="LX9">
        <f>IF(ROW()-3&gt;MAX($LW$4:$LW$40),"",INDEX($AI$4:$AI$40,MATCH(ROW()-3,$LW$4:$LW$40,0)))</f>
        <v/>
      </c>
      <c r="LY9">
        <f>IF(COUNTIF('Buyer Groups'!DG62:DK62,0)+COUNTIF('Buyer Groups'!DM62:EN62,0)&gt;0,0,1)</f>
        <v/>
      </c>
      <c r="LZ9">
        <f>IF($AN$9="",FALSE,SUMPRODUCT(('Final Calculation Sheet'!$E$4:$E$40=$AN$9)*($LY$6:$LY$42=1))&gt;0)</f>
        <v/>
      </c>
      <c r="MA9">
        <f>$MA$8+--($LZ9)</f>
        <v/>
      </c>
      <c r="MB9">
        <f>IF(ROW()-3&gt;MAX($MA$4:$MA$40),"",INDEX($AN$4:$AN$40,MATCH(ROW()-3,$MA$4:$MA$40,0)))</f>
        <v/>
      </c>
      <c r="MC9">
        <f>IF(COUNTIF('Buyer Groups'!DG62:DL62,0)+COUNTIF('Buyer Groups'!DN62:EN62,0)&gt;0,0,1)</f>
        <v/>
      </c>
      <c r="MD9">
        <f>IF($AS$9="",FALSE,SUMPRODUCT(('Final Calculation Sheet'!$C$4:$C$40=$AS$9)*($MC$6:$MC$42=1))&gt;0)</f>
        <v/>
      </c>
      <c r="ME9">
        <f>$ME$8+--($MD9)</f>
        <v/>
      </c>
      <c r="MF9">
        <f>IF(ROW()-3&gt;MAX($ME$4:$ME$40),"",INDEX($AS$4:$AS$40,MATCH(ROW()-3,$ME$4:$ME$40,0)))</f>
        <v/>
      </c>
      <c r="MG9">
        <f>IF(COUNTIF('Buyer Groups'!DG62:DM62,0)+COUNTIF('Buyer Groups'!DO62:EN62,0)&gt;0,0,1)</f>
        <v/>
      </c>
      <c r="MH9">
        <f>IF($AX$9="",FALSE,SUMPRODUCT(('Final Calculation Sheet'!$H$4:$H$40=$AX$9)*($MG$6:$MG$42=1))&gt;0)</f>
        <v/>
      </c>
      <c r="MI9">
        <f>$MI$8+--($MH9)</f>
        <v/>
      </c>
      <c r="MJ9">
        <f>IF(ROW()-3&gt;MAX($MI$4:$MI$40),"",INDEX($AX$4:$AX$40,MATCH(ROW()-3,$MI$4:$MI$40,0)))</f>
        <v/>
      </c>
      <c r="MK9">
        <f>IF(COUNTIF('Buyer Groups'!DG62:DN62,0)+COUNTIF('Buyer Groups'!DP62:EN62,0)&gt;0,0,1)</f>
        <v/>
      </c>
      <c r="ML9">
        <f>IF($BC$9="",FALSE,SUMPRODUCT(('Final Calculation Sheet'!$I$4:$I$40=$BC$9)*($MK$6:$MK$42=1))&gt;0)</f>
        <v/>
      </c>
      <c r="MM9">
        <f>$MM$8+--($ML9)</f>
        <v/>
      </c>
      <c r="MN9">
        <f>IF(ROW()-3&gt;MAX($MM$4:$MM$40),"",INDEX($BC$4:$BC$40,MATCH(ROW()-3,$MM$4:$MM$40,0)))</f>
        <v/>
      </c>
      <c r="MO9">
        <f>IF(COUNTIF('Buyer Groups'!DG62:DO62,0)+COUNTIF('Buyer Groups'!DQ62:EN62,0)&gt;0,0,1)</f>
        <v/>
      </c>
      <c r="MP9">
        <f>IF($BH$9="",FALSE,SUMPRODUCT(('Final Calculation Sheet'!$J$4:$J$40=$BH$9)*($MO$6:$MO$42=1))&gt;0)</f>
        <v/>
      </c>
      <c r="MQ9">
        <f>$MQ$8+--($MP9)</f>
        <v/>
      </c>
      <c r="MR9">
        <f>IF(ROW()-3&gt;MAX($MQ$4:$MQ$40),"",INDEX($BH$4:$BH$40,MATCH(ROW()-3,$MQ$4:$MQ$40,0)))</f>
        <v/>
      </c>
      <c r="MS9">
        <f>IF(COUNTIF('Buyer Groups'!DG62:DP62,0)+COUNTIF('Buyer Groups'!DR62:EN62,0)&gt;0,0,1)</f>
        <v/>
      </c>
      <c r="MT9">
        <f>IF($BM$9="",FALSE,SUMPRODUCT(('Final Calculation Sheet'!$K$4:$K$40=$BM$9)*($MS$6:$MS$42=1))&gt;0)</f>
        <v/>
      </c>
      <c r="MU9">
        <f>$MU$8+--($MT9)</f>
        <v/>
      </c>
      <c r="MV9">
        <f>IF(ROW()-3&gt;MAX($MU$4:$MU$40),"",INDEX($BM$4:$BM$40,MATCH(ROW()-3,$MU$4:$MU$40,0)))</f>
        <v/>
      </c>
      <c r="MW9">
        <f>IF(COUNTIF('Buyer Groups'!DG62:DQ62,0)+COUNTIF('Buyer Groups'!DS62:EN62,0)&gt;0,0,1)</f>
        <v/>
      </c>
      <c r="MX9">
        <f>IF($BR$9="",FALSE,SUMPRODUCT(('Final Calculation Sheet'!$L$4:$L$40=$BR$9)*($MW$6:$MW$42=1))&gt;0)</f>
        <v/>
      </c>
      <c r="MY9">
        <f>$MY$8+--($MX9)</f>
        <v/>
      </c>
      <c r="MZ9">
        <f>IF(ROW()-3&gt;MAX($MY$4:$MY$40),"",INDEX($BR$4:$BR$40,MATCH(ROW()-3,$MY$4:$MY$40,0)))</f>
        <v/>
      </c>
      <c r="NA9">
        <f>IF(COUNTIF('Buyer Groups'!DG62:DR62,0)+COUNTIF('Buyer Groups'!DT62:EN62,0)&gt;0,0,1)</f>
        <v/>
      </c>
      <c r="NB9">
        <f>IF($BW$9="",FALSE,SUMPRODUCT(('Final Calculation Sheet'!$M$4:$M$40=$BW$9)*($NA$6:$NA$42=1))&gt;0)</f>
        <v/>
      </c>
      <c r="NC9">
        <f>$NC$8+--($NB9)</f>
        <v/>
      </c>
      <c r="ND9">
        <f>IF(ROW()-3&gt;MAX($NC$4:$NC$40),"",INDEX($BW$4:$BW$40,MATCH(ROW()-3,$NC$4:$NC$40,0)))</f>
        <v/>
      </c>
      <c r="NE9">
        <f>IF(COUNTIF('Buyer Groups'!DG62:DS62,0)+COUNTIF('Buyer Groups'!DU62:EN62,0)&gt;0,0,1)</f>
        <v/>
      </c>
      <c r="NF9">
        <f>IF($CB$9="",FALSE,SUMPRODUCT(('Final Calculation Sheet'!$N$4:$N$40=$CB$9)*($NE$6:$NE$42=1))&gt;0)</f>
        <v/>
      </c>
      <c r="NG9">
        <f>$NG$8+--($NF9)</f>
        <v/>
      </c>
      <c r="NH9">
        <f>IF(ROW()-3&gt;MAX($NG$4:$NG$40),"",INDEX($CB$4:$CB$40,MATCH(ROW()-3,$NG$4:$NG$40,0)))</f>
        <v/>
      </c>
      <c r="NI9">
        <f>IF(COUNTIF('Buyer Groups'!DG62:DT62,0)+COUNTIF('Buyer Groups'!DV62:EN62,0)&gt;0,0,1)</f>
        <v/>
      </c>
      <c r="NJ9">
        <f>IF($CG$9="",FALSE,SUMPRODUCT(('Final Calculation Sheet'!$O$4:$O$40=$CG$9)*($NI$6:$NI$42=1))&gt;0)</f>
        <v/>
      </c>
      <c r="NK9">
        <f>$NK$8+--($NJ9)</f>
        <v/>
      </c>
      <c r="NL9">
        <f>IF(ROW()-3&gt;MAX($NK$4:$NK$40),"",INDEX($CG$4:$CG$40,MATCH(ROW()-3,$NK$4:$NK$40,0)))</f>
        <v/>
      </c>
      <c r="NM9">
        <f>IF(COUNTIF('Buyer Groups'!DG62:DU62,0)+COUNTIF('Buyer Groups'!DW62:EN62,0)&gt;0,0,1)</f>
        <v/>
      </c>
      <c r="NN9">
        <f>IF($CL$9="",FALSE,SUMPRODUCT(('Final Calculation Sheet'!$P$4:$P$40=$CL$9)*($NM$6:$NM$42=1))&gt;0)</f>
        <v/>
      </c>
      <c r="NO9">
        <f>$NO$8+--($NN9)</f>
        <v/>
      </c>
      <c r="NP9">
        <f>IF(ROW()-3&gt;MAX($NO$4:$NO$40),"",INDEX($CL$4:$CL$40,MATCH(ROW()-3,$NO$4:$NO$40,0)))</f>
        <v/>
      </c>
      <c r="NQ9">
        <f>IF(COUNTIF('Buyer Groups'!DG62:DV62,0)+COUNTIF('Buyer Groups'!DX62:EN62,0)&gt;0,0,1)</f>
        <v/>
      </c>
      <c r="NR9">
        <f>IF($CQ$9="",FALSE,SUMPRODUCT(('Final Calculation Sheet'!$Q$4:$Q$40=$CQ$9)*($NQ$6:$NQ$42=1))&gt;0)</f>
        <v/>
      </c>
      <c r="NS9">
        <f>$NS$8+--($NR9)</f>
        <v/>
      </c>
      <c r="NT9">
        <f>IF(ROW()-3&gt;MAX($NS$4:$NS$40),"",INDEX($CQ$4:$CQ$40,MATCH(ROW()-3,$NS$4:$NS$40,0)))</f>
        <v/>
      </c>
      <c r="NU9">
        <f>IF(COUNTIF('Buyer Groups'!DG62:DW62,0)+COUNTIF('Buyer Groups'!DY62:EN62,0)&gt;0,0,1)</f>
        <v/>
      </c>
      <c r="NV9">
        <f>IF($CV$9="",FALSE,SUMPRODUCT(('Final Calculation Sheet'!$R$4:$R$40=$CV$9)*($NU$6:$NU$42=1))&gt;0)</f>
        <v/>
      </c>
      <c r="NW9">
        <f>$NW$8+--($NV9)</f>
        <v/>
      </c>
      <c r="NX9">
        <f>IF(ROW()-3&gt;MAX($NW$4:$NW$40),"",INDEX($CV$4:$CV$40,MATCH(ROW()-3,$NW$4:$NW$40,0)))</f>
        <v/>
      </c>
      <c r="NY9">
        <f>IF(COUNTIF('Buyer Groups'!DG62:DX62,0)+COUNTIF('Buyer Groups'!DZ62:EN62,0)&gt;0,0,1)</f>
        <v/>
      </c>
      <c r="NZ9">
        <f>IF($DA$9="",FALSE,SUMPRODUCT(('Final Calculation Sheet'!$S$4:$S$40=$DA$9)*($NY$6:$NY$42=1))&gt;0)</f>
        <v/>
      </c>
      <c r="OA9">
        <f>$OA$8+--($NZ9)</f>
        <v/>
      </c>
      <c r="OB9">
        <f>IF(ROW()-3&gt;MAX($OA$4:$OA$40),"",INDEX($DA$4:$DA$40,MATCH(ROW()-3,$OA$4:$OA$40,0)))</f>
        <v/>
      </c>
      <c r="OC9">
        <f>IF(COUNTIF('Buyer Groups'!DG62:DY62,0)+COUNTIF('Buyer Groups'!EA62:EN62,0)&gt;0,0,1)</f>
        <v/>
      </c>
      <c r="OD9">
        <f>IF($DF$9="",FALSE,SUMPRODUCT(('Final Calculation Sheet'!$T$4:$T$40=$DF$9)*($OC$6:$OC$42=1))&gt;0)</f>
        <v/>
      </c>
      <c r="OE9">
        <f>$OE$8+--($OD9)</f>
        <v/>
      </c>
      <c r="OF9">
        <f>IF(ROW()-3&gt;MAX($OE$4:$OE$40),"",INDEX($DF$4:$DF$40,MATCH(ROW()-3,$OE$4:$OE$40,0)))</f>
        <v/>
      </c>
      <c r="OG9">
        <f>IF(COUNTIF('Buyer Groups'!DG62:DZ62,0)+COUNTIF('Buyer Groups'!EB62:EN62,0)&gt;0,0,1)</f>
        <v/>
      </c>
      <c r="OH9">
        <f>IF($DK$9="",FALSE,SUMPRODUCT(('Final Calculation Sheet'!$U$4:$U$40=$DK$9)*($OG$6:$OG$42=1))&gt;0)</f>
        <v/>
      </c>
      <c r="OI9">
        <f>$OI$8+--($OH9)</f>
        <v/>
      </c>
      <c r="OJ9">
        <f>IF(ROW()-3&gt;MAX($OI$4:$OI$40),"",INDEX($DK$4:$DK$40,MATCH(ROW()-3,$OI$4:$OI$40,0)))</f>
        <v/>
      </c>
      <c r="OK9">
        <f>IF(COUNTIF('Buyer Groups'!DG62:EA62,0)+COUNTIF('Buyer Groups'!EC62:EN62,0)&gt;0,0,1)</f>
        <v/>
      </c>
      <c r="OL9">
        <f>IF($DP$9="",FALSE,SUMPRODUCT(('Final Calculation Sheet'!$V$4:$V$40=$DP$9)*($OK$6:$OK$42=1))&gt;0)</f>
        <v/>
      </c>
      <c r="OM9">
        <f>$OM$8+--($OL9)</f>
        <v/>
      </c>
      <c r="ON9">
        <f>IF(ROW()-3&gt;MAX($OM$4:$OM$40),"",INDEX($DP$4:$DP$40,MATCH(ROW()-3,$OM$4:$OM$40,0)))</f>
        <v/>
      </c>
      <c r="OO9">
        <f>IF(COUNTIF('Buyer Groups'!DG62:EB62,0)+COUNTIF('Buyer Groups'!ED62:EN62,0)&gt;0,0,1)</f>
        <v/>
      </c>
      <c r="OP9">
        <f>IF($DU$9="",FALSE,SUMPRODUCT(('Final Calculation Sheet'!$W$4:$W$40=$DU$9)*($OO$6:$OO$42=1))&gt;0)</f>
        <v/>
      </c>
      <c r="OQ9">
        <f>$OQ$8+--($OP9)</f>
        <v/>
      </c>
      <c r="OR9">
        <f>IF(ROW()-3&gt;MAX($OQ$4:$OQ$40),"",INDEX($DU$4:$DU$40,MATCH(ROW()-3,$OQ$4:$OQ$40,0)))</f>
        <v/>
      </c>
      <c r="OS9">
        <f>IF(COUNTIF('Buyer Groups'!DG62:EC62,0)+COUNTIF('Buyer Groups'!EE62:EN62,0)&gt;0,0,1)</f>
        <v/>
      </c>
      <c r="OT9">
        <f>IF($DZ$9="",FALSE,SUMPRODUCT(('Final Calculation Sheet'!$X$4:$X$40=$DZ$9)*($OS$6:$OS$42=1))&gt;0)</f>
        <v/>
      </c>
      <c r="OU9">
        <f>$OU$8+--($OT9)</f>
        <v/>
      </c>
      <c r="OV9">
        <f>IF(ROW()-3&gt;MAX($OU$4:$OU$40),"",INDEX($DZ$4:$DZ$40,MATCH(ROW()-3,$OU$4:$OU$40,0)))</f>
        <v/>
      </c>
      <c r="OW9">
        <f>IF(COUNTIF('Buyer Groups'!DG62:ED62,0)+COUNTIF('Buyer Groups'!EF62:EN62,0)&gt;0,0,1)</f>
        <v/>
      </c>
      <c r="OX9">
        <f>IF($EE$9="",FALSE,SUMPRODUCT(('Final Calculation Sheet'!$Y$4:$Y$40=$EE$9)*($OW$6:$OW$42=1))&gt;0)</f>
        <v/>
      </c>
      <c r="OY9">
        <f>$OY$8+--($OX9)</f>
        <v/>
      </c>
      <c r="OZ9">
        <f>IF(ROW()-3&gt;MAX($OY$4:$OY$40),"",INDEX($EE$4:$EE$40,MATCH(ROW()-3,$OY$4:$OY$40,0)))</f>
        <v/>
      </c>
      <c r="PA9">
        <f>IF(COUNTIF('Buyer Groups'!DG62:EE62,0)+COUNTIF('Buyer Groups'!EG62:EN62,0)&gt;0,0,1)</f>
        <v/>
      </c>
      <c r="PB9">
        <f>IF($EJ$9="",FALSE,SUMPRODUCT(('Final Calculation Sheet'!$Z$4:$Z$40=$EJ$9)*($PA$6:$PA$42=1))&gt;0)</f>
        <v/>
      </c>
      <c r="PC9">
        <f>$PC$8+--($PB9)</f>
        <v/>
      </c>
      <c r="PD9">
        <f>IF(ROW()-3&gt;MAX($PC$4:$PC$40),"",INDEX($EJ$4:$EJ$40,MATCH(ROW()-3,$PC$4:$PC$40,0)))</f>
        <v/>
      </c>
      <c r="PE9">
        <f>IF(COUNTIF('Buyer Groups'!DG62:EF62,0)+COUNTIF('Buyer Groups'!EH62:EN62,0)&gt;0,0,1)</f>
        <v/>
      </c>
      <c r="PF9">
        <f>IF($EO$9="",FALSE,SUMPRODUCT(('Final Calculation Sheet'!$AA$4:$AA$40=$EO$9)*($PE$6:$PE$42=1))&gt;0)</f>
        <v/>
      </c>
      <c r="PG9">
        <f>$PG$8+--($PF9)</f>
        <v/>
      </c>
      <c r="PH9">
        <f>IF(ROW()-3&gt;MAX($PG$4:$PG$40),"",INDEX($EO$4:$EO$40,MATCH(ROW()-3,$PG$4:$PG$40,0)))</f>
        <v/>
      </c>
      <c r="PI9">
        <f>IF(COUNTIF('Buyer Groups'!DG62:EG62,0)+COUNTIF('Buyer Groups'!EI62:EN62,0)&gt;0,0,1)</f>
        <v/>
      </c>
      <c r="PJ9">
        <f>IF($ET$9="",FALSE,SUMPRODUCT(('Final Calculation Sheet'!$AB$4:$AB$40=$ET$9)*($PI$6:$PI$42=1))&gt;0)</f>
        <v/>
      </c>
      <c r="PK9">
        <f>$PK$8+--($PJ9)</f>
        <v/>
      </c>
      <c r="PL9">
        <f>IF(ROW()-3&gt;MAX($PK$4:$PK$40),"",INDEX($ET$4:$ET$40,MATCH(ROW()-3,$PK$4:$PK$40,0)))</f>
        <v/>
      </c>
      <c r="PM9">
        <f>IF(COUNTIF('Buyer Groups'!DG62:EH62,0)+COUNTIF('Buyer Groups'!EJ62:EN62,0)&gt;0,0,1)</f>
        <v/>
      </c>
      <c r="PN9">
        <f>IF($EY$9="",FALSE,SUMPRODUCT(('Final Calculation Sheet'!$AC$4:$AC$40=$EY$9)*($PM$6:$PM$42=1))&gt;0)</f>
        <v/>
      </c>
      <c r="PO9">
        <f>$PO$8+--($PN9)</f>
        <v/>
      </c>
      <c r="PP9">
        <f>IF(ROW()-3&gt;MAX($PO$4:$PO$40),"",INDEX($EY$4:$EY$40,MATCH(ROW()-3,$PO$4:$PO$40,0)))</f>
        <v/>
      </c>
      <c r="PQ9">
        <f>IF(COUNTIF('Buyer Groups'!DG62:EI62,0)+COUNTIF('Buyer Groups'!EK62:EN62,0)&gt;0,0,1)</f>
        <v/>
      </c>
      <c r="PR9">
        <f>IF($FD$9="",FALSE,SUMPRODUCT(('Final Calculation Sheet'!$AD$4:$AD$40=$FD$9)*($PQ$6:$PQ$42=1))&gt;0)</f>
        <v/>
      </c>
      <c r="PS9">
        <f>$PS$8+--($PR9)</f>
        <v/>
      </c>
      <c r="PT9">
        <f>IF(ROW()-3&gt;MAX($PS$4:$PS$40),"",INDEX($FD$4:$FD$40,MATCH(ROW()-3,$PS$4:$PS$40,0)))</f>
        <v/>
      </c>
      <c r="PU9">
        <f>IF(COUNTIF('Buyer Groups'!DG62:EJ62,0)+COUNTIF('Buyer Groups'!EL62:EN62,0)&gt;0,0,1)</f>
        <v/>
      </c>
      <c r="PV9">
        <f>IF($FX$9="",FALSE,SUMPRODUCT((IF('Final Calculation Sheet'!$AD$4:$AD$40&lt;=5,"SETTLED","OUTSTANDING")=$FX$9)*($PU$6:$PU$42=1))&gt;0)</f>
        <v/>
      </c>
      <c r="PW9">
        <f>$PW$8+--($PV9)</f>
        <v/>
      </c>
      <c r="PX9">
        <f>IF(ROW()-3&gt;MAX($PW$4:$PW$40),"",INDEX($FX$4:$FX$40,MATCH(ROW()-3,$PW$4:$PW$40,0)))</f>
        <v/>
      </c>
      <c r="PY9">
        <f>IF(COUNTIF('Buyer Groups'!DG62:EK62,0)+COUNTIF('Buyer Groups'!EM62:EN62,0)&gt;0,0,1)</f>
        <v/>
      </c>
      <c r="PZ9">
        <f>IF($FI$9="",FALSE,SUMPRODUCT(('Final Calculation Sheet'!$AF$4:$AF$40=$FI$9)*($PY$6:$PY$42=1))&gt;0)</f>
        <v/>
      </c>
      <c r="QA9">
        <f>$QA$8+--($PZ9)</f>
        <v/>
      </c>
      <c r="QB9">
        <f>IF(ROW()-3&gt;MAX($QA$4:$QA$40),"",INDEX($FI$4:$FI$40,MATCH(ROW()-3,$QA$4:$QA$40,0)))</f>
        <v/>
      </c>
      <c r="QC9">
        <f>IF(COUNTIF('Buyer Groups'!DG62:EL62,0)+COUNTIF('Buyer Groups'!EN62:EN62,0)&gt;0,0,1)</f>
        <v/>
      </c>
      <c r="QD9">
        <f>IF($FN$9="",FALSE,SUMPRODUCT(('Final Calculation Sheet'!$AG$4:$AG$40=$FN$9)*($QC$6:$QC$42=1))&gt;0)</f>
        <v/>
      </c>
      <c r="QE9">
        <f>$QE$8+--($QD9)</f>
        <v/>
      </c>
      <c r="QF9">
        <f>IF(ROW()-3&gt;MAX($QE$4:$QE$40),"",INDEX($FN$4:$FN$40,MATCH(ROW()-3,$QE$4:$QE$40,0)))</f>
        <v/>
      </c>
      <c r="QG9">
        <f>IF(COUNTIF('Buyer Groups'!DG62:EM62,0)&gt;0,0,1)</f>
        <v/>
      </c>
      <c r="QH9">
        <f>IF($FS$9="",FALSE,SUMPRODUCT(('Final Calculation Sheet'!$AH$4:$AH$40=$FS$9)*($QG$6:$QG$42=1))&gt;0)</f>
        <v/>
      </c>
      <c r="QI9">
        <f>$QI$8+--($QH9)</f>
        <v/>
      </c>
      <c r="QJ9">
        <f>IF(ROW()-3&gt;MAX($QI$4:$QI$40),"",INDEX($FS$4:$FS$40,MATCH(ROW()-3,$QI$4:$QI$40,0)))</f>
        <v/>
      </c>
      <c r="QK9" t="str">
        <f>IF('Final Calculation Sheet'!$AH$9="","",'Final Calculation Sheet'!$AH$9)</f>
      </c>
      <c r="QL9" t="str">
        <f>IF(QK9="","",COUNTIFS(QK$4:QK$40,"&lt;"&amp;QK9,QK$4:QK$40,"&lt;&gt;"&amp;"")+COUNTIF(QK$4:QK9,QK9))</f>
      </c>
      <c r="QM9" t="str">
        <f>IF(ROW()-3&gt;COUNTIF(QK$4:QK$40,"&lt;&gt;"&amp;""),"",INDEX(QK$4:QK$40,MATCH(ROW()-3,QL$4:QL$40,0)))</f>
      </c>
      <c r="QN9" t="str">
        <f>=QN8+F(AND(QM9&lt;&gt;"",COUNTIF(QM$4:QM9,QM9)=1),1,0)</f>
      </c>
      <c r="QO9" t="str">
        <f>IF(ROW()-3&gt;MAX(QN$4:QN$40),"",INDEX(QM$4:QM$40,MATCH(ROW()-3,QN$4:QN$40,0)))</f>
      </c>
      <c r="QP9" t="str">
        <f>IF(COUNTIF('Final Calculation Sheet'!$AM9:$BS9,0)&gt;0,0,1)</f>
      </c>
      <c r="QQ9" t="str">
        <f>IF($AI$9="",FALSE,SUMPRODUCT(('Final Calculation Sheet'!$A$4:$A$40=$AI$9)*($QP$4:$QP$40=1))&gt;0)</f>
      </c>
      <c r="QR9" t="str">
        <f>=$QR8+--($QQ9)</f>
      </c>
      <c r="QS9" t="str">
        <f>IF(ROW()-3&gt;MAX($QR$4:$QR$40),"",INDEX($AI$4:$AI$40,MATCH(ROW()-3,$QR$4:$QR$40,0)))</f>
      </c>
      <c r="QT9" t="str">
        <f>IF(COUNTIF('Final Calculation Sheet'!$AL9:$AL9,0)+COUNTIF('Final Calculation Sheet'!$AN9:$BS9,0)&gt;0,0,1)</f>
      </c>
      <c r="QU9" t="str">
        <f>IF($Y$9="",FALSE,SUMPRODUCT(('Final Calculation Sheet'!$B$4:$B$40=$Y$9)*($QT$4:$QT$40=1))&gt;0)</f>
      </c>
      <c r="QV9" t="str">
        <f>=$QV8+--($QU9)</f>
      </c>
      <c r="QW9" t="str">
        <f>IF(ROW()-3&gt;MAX($QV$4:$QV$40),"",INDEX($Y$4:$Y$40,MATCH(ROW()-3,$QV$4:$QV$40,0)))</f>
      </c>
      <c r="QX9" t="str">
        <f>IF(COUNTIF('Final Calculation Sheet'!$AL9:$AM9,0)+COUNTIF('Final Calculation Sheet'!$AO9:$BS9,0)&gt;0,0,1)</f>
      </c>
      <c r="QY9" t="str">
        <f>IF($AS$9="",FALSE,SUMPRODUCT(('Final Calculation Sheet'!$C$4:$C$40=$AS$9)*($QX$4:$QX$40=1))&gt;0)</f>
      </c>
      <c r="QZ9" t="str">
        <f>=$QZ8+--($QY9)</f>
      </c>
      <c r="RA9" t="str">
        <f>IF(ROW()-3&gt;MAX($QZ$4:$QZ$40),"",INDEX($AS$4:$AS$40,MATCH(ROW()-3,$QZ$4:$QZ$40,0)))</f>
      </c>
      <c r="RB9" t="str">
        <f>IF(COUNTIF('Final Calculation Sheet'!$AL9:$AN9,0)+COUNTIF('Final Calculation Sheet'!$AP9:$BS9,0)&gt;0,0,1)</f>
      </c>
      <c r="RC9" t="str">
        <f>IF($AD$9="",FALSE,SUMPRODUCT(('Final Calculation Sheet'!$D$4:$D$40=$AD$9)*($RB$4:$RB$40=1))&gt;0)</f>
      </c>
      <c r="RD9" t="str">
        <f>=$RD8+--($RC9)</f>
      </c>
      <c r="RE9" t="str">
        <f>IF(ROW()-3&gt;MAX($RD$4:$RD$40),"",INDEX($AD$4:$AD$40,MATCH(ROW()-3,$RD$4:$RD$40,0)))</f>
      </c>
      <c r="RF9" t="str">
        <f>IF(COUNTIF('Final Calculation Sheet'!$AL9:$AO9,0)+COUNTIF('Final Calculation Sheet'!$AQ9:$BS9,0)&gt;0,0,1)</f>
      </c>
      <c r="RG9" t="str">
        <f>IF($AN$9="",FALSE,SUMPRODUCT(('Final Calculation Sheet'!$E$4:$E$40=$AN$9)*($RF$4:$RF$40=1))&gt;0)</f>
      </c>
      <c r="RH9" t="str">
        <f>=$RH8+--($RG9)</f>
      </c>
      <c r="RI9" t="str">
        <f>IF(ROW()-3&gt;MAX($RH$4:$RH$40),"",INDEX($AN$4:$AN$40,MATCH(ROW()-3,$RH$4:$RH$40,0)))</f>
      </c>
      <c r="RJ9" t="str">
        <f>IF(COUNTIF('Final Calculation Sheet'!$AL9:$AP9,0)+COUNTIF('Final Calculation Sheet'!$AR9:$BS9,0)&gt;0,0,1)</f>
      </c>
      <c r="RK9" t="str">
        <f>IF($O$9="",FALSE,SUMPRODUCT(('Final Calculation Sheet'!$F$4:$F$40=$O$9)*($RJ$4:$RJ$40=1))&gt;0)</f>
      </c>
      <c r="RL9" t="str">
        <f>=$RL8+--($RK9)</f>
      </c>
      <c r="RM9" t="str">
        <f>IF(ROW()-3&gt;MAX($RL$4:$RL$40),"",INDEX($O$4:$O$40,MATCH(ROW()-3,$RL$4:$RL$40,0)))</f>
      </c>
      <c r="RN9" t="str">
        <f>IF(COUNTIF('Final Calculation Sheet'!$AL9:$AQ9,0)+COUNTIF('Final Calculation Sheet'!$AS9:$BS9,0)&gt;0,0,1)</f>
      </c>
      <c r="RO9" t="str">
        <f>IF($T$9="",FALSE,SUMPRODUCT(('Final Calculation Sheet'!$G$4:$G$40=$T$9)*($RN$4:$RN$40=1))&gt;0)</f>
      </c>
      <c r="RP9" t="str">
        <f>=$RP8+--($RO9)</f>
      </c>
      <c r="RQ9" t="str">
        <f>IF(ROW()-3&gt;MAX($RP$4:$RP$40),"",INDEX($T$4:$T$40,MATCH(ROW()-3,$RP$4:$RP$40,0)))</f>
      </c>
      <c r="RR9" t="str">
        <f>IF(COUNTIF('Final Calculation Sheet'!$AL9:$AR9,0)+COUNTIF('Final Calculation Sheet'!$AT9:$BS9,0)&gt;0,0,1)</f>
      </c>
      <c r="RS9" t="str">
        <f>IF($AX$9="",FALSE,SUMPRODUCT(('Final Calculation Sheet'!$H$4:$H$40=$AX$9)*($RR$4:$RR$40=1))&gt;0)</f>
      </c>
      <c r="RT9" t="str">
        <f>=$RT8+--($RS9)</f>
      </c>
      <c r="RU9" t="str">
        <f>IF(ROW()-3&gt;MAX($RT$4:$RT$40),"",INDEX($AX$4:$AX$40,MATCH(ROW()-3,$RT$4:$RT$40,0)))</f>
      </c>
      <c r="RV9" t="str">
        <f>IF(COUNTIF('Final Calculation Sheet'!$AL9:$AS9,0)+COUNTIF('Final Calculation Sheet'!$AU9:$BS9,0)&gt;0,0,1)</f>
      </c>
      <c r="RW9" t="str">
        <f>IF($BC$9="",FALSE,SUMPRODUCT(('Final Calculation Sheet'!$I$4:$I$40=$BC$9)*($RV$4:$RV$40=1))&gt;0)</f>
      </c>
      <c r="RX9" t="str">
        <f>=$RX8+--($RW9)</f>
      </c>
      <c r="RY9" t="str">
        <f>IF(ROW()-3&gt;MAX($RX$4:$RX$40),"",INDEX($BC$4:$BC$40,MATCH(ROW()-3,$RX$4:$RX$40,0)))</f>
      </c>
      <c r="RZ9" t="str">
        <f>IF(COUNTIF('Final Calculation Sheet'!$AL9:$AT9,0)+COUNTIF('Final Calculation Sheet'!$AV9:$BS9,0)&gt;0,0,1)</f>
      </c>
      <c r="SA9" t="str">
        <f>IF($BH$9="",FALSE,SUMPRODUCT(('Final Calculation Sheet'!$J$4:$J$40=$BH$9)*($RZ$4:$RZ$40=1))&gt;0)</f>
      </c>
      <c r="SB9" t="str">
        <f>=$SB8+--($SA9)</f>
      </c>
      <c r="SC9" t="str">
        <f>IF(ROW()-3&gt;MAX($SB$4:$SB$40),"",INDEX($BH$4:$BH$40,MATCH(ROW()-3,$SB$4:$SB$40,0)))</f>
      </c>
      <c r="SD9" t="str">
        <f>IF(COUNTIF('Final Calculation Sheet'!$AL9:$AU9,0)+COUNTIF('Final Calculation Sheet'!$AW9:$BS9,0)&gt;0,0,1)</f>
      </c>
      <c r="SE9" t="str">
        <f>IF($BM$9="",FALSE,SUMPRODUCT(('Final Calculation Sheet'!$K$4:$K$40=$BM$9)*($SD$4:$SD$40=1))&gt;0)</f>
      </c>
      <c r="SF9" t="str">
        <f>=$SF8+--($SE9)</f>
      </c>
      <c r="SG9" t="str">
        <f>IF(ROW()-3&gt;MAX($SF$4:$SF$40),"",INDEX($BM$4:$BM$40,MATCH(ROW()-3,$SF$4:$SF$40,0)))</f>
      </c>
      <c r="SH9" t="str">
        <f>IF(COUNTIF('Final Calculation Sheet'!$AL9:$AV9,0)+COUNTIF('Final Calculation Sheet'!$AX9:$BS9,0)&gt;0,0,1)</f>
      </c>
      <c r="SI9" t="str">
        <f>IF($BR$9="",FALSE,SUMPRODUCT(('Final Calculation Sheet'!$L$4:$L$40=$BR$9)*($SH$4:$SH$40=1))&gt;0)</f>
      </c>
      <c r="SJ9" t="str">
        <f>=$SJ8+--($SI9)</f>
      </c>
      <c r="SK9" t="str">
        <f>IF(ROW()-3&gt;MAX($SJ$4:$SJ$40),"",INDEX($BR$4:$BR$40,MATCH(ROW()-3,$SJ$4:$SJ$40,0)))</f>
      </c>
      <c r="SL9" t="str">
        <f>IF(COUNTIF('Final Calculation Sheet'!$AL9:$AW9,0)+COUNTIF('Final Calculation Sheet'!$AY9:$BS9,0)&gt;0,0,1)</f>
      </c>
      <c r="SM9" t="str">
        <f>IF($BW$9="",FALSE,SUMPRODUCT(('Final Calculation Sheet'!$M$4:$M$40=$BW$9)*($SL$4:$SL$40=1))&gt;0)</f>
      </c>
      <c r="SN9" t="str">
        <f>=$SN8+--($SM9)</f>
      </c>
      <c r="SO9" t="str">
        <f>IF(ROW()-3&gt;MAX($SN$4:$SN$40),"",INDEX($BW$4:$BW$40,MATCH(ROW()-3,$SN$4:$SN$40,0)))</f>
      </c>
      <c r="SP9" t="str">
        <f>IF(COUNTIF('Final Calculation Sheet'!$AL9:$AX9,0)+COUNTIF('Final Calculation Sheet'!$AZ9:$BS9,0)&gt;0,0,1)</f>
      </c>
      <c r="SQ9" t="str">
        <f>IF($CB$9="",FALSE,SUMPRODUCT(('Final Calculation Sheet'!$N$4:$N$40=$CB$9)*($SP$4:$SP$40=1))&gt;0)</f>
      </c>
      <c r="SR9" t="str">
        <f>=$SR8+--($SQ9)</f>
      </c>
      <c r="SS9" t="str">
        <f>IF(ROW()-3&gt;MAX($SR$4:$SR$40),"",INDEX($CB$4:$CB$40,MATCH(ROW()-3,$SR$4:$SR$40,0)))</f>
      </c>
      <c r="ST9" t="str">
        <f>IF(COUNTIF('Final Calculation Sheet'!$AL9:$AY9,0)+COUNTIF('Final Calculation Sheet'!$BA9:$BS9,0)&gt;0,0,1)</f>
      </c>
      <c r="SU9" t="str">
        <f>IF($CG$9="",FALSE,SUMPRODUCT(('Final Calculation Sheet'!$O$4:$O$40=$CG$9)*($ST$4:$ST$40=1))&gt;0)</f>
      </c>
      <c r="SV9" t="str">
        <f>=$SV8+--($SU9)</f>
      </c>
      <c r="SW9" t="str">
        <f>IF(ROW()-3&gt;MAX($SV$4:$SV$40),"",INDEX($CG$4:$CG$40,MATCH(ROW()-3,$SV$4:$SV$40,0)))</f>
      </c>
      <c r="SX9" t="str">
        <f>IF(COUNTIF('Final Calculation Sheet'!$AL9:$AZ9,0)+COUNTIF('Final Calculation Sheet'!$BB9:$BS9,0)&gt;0,0,1)</f>
      </c>
      <c r="SY9" t="str">
        <f>IF($CL$9="",FALSE,SUMPRODUCT(('Final Calculation Sheet'!$P$4:$P$40=$CL$9)*($SX$4:$SX$40=1))&gt;0)</f>
      </c>
      <c r="SZ9" t="str">
        <f>=$SZ8+--($SY9)</f>
      </c>
      <c r="TA9" t="str">
        <f>IF(ROW()-3&gt;MAX($SZ$4:$SZ$40),"",INDEX($CL$4:$CL$40,MATCH(ROW()-3,$SZ$4:$SZ$40,0)))</f>
      </c>
      <c r="TB9" t="str">
        <f>IF(COUNTIF('Final Calculation Sheet'!$AL9:$BA9,0)+COUNTIF('Final Calculation Sheet'!$BC9:$BS9,0)&gt;0,0,1)</f>
      </c>
      <c r="TC9" t="str">
        <f>IF($CQ$9="",FALSE,SUMPRODUCT(('Final Calculation Sheet'!$Q$4:$Q$40=$CQ$9)*($TB$4:$TB$40=1))&gt;0)</f>
      </c>
      <c r="TD9" t="str">
        <f>=$TD8+--($TC9)</f>
      </c>
      <c r="TE9" t="str">
        <f>IF(ROW()-3&gt;MAX($TD$4:$TD$40),"",INDEX($CQ$4:$CQ$40,MATCH(ROW()-3,$TD$4:$TD$40,0)))</f>
      </c>
      <c r="TF9" t="str">
        <f>IF(COUNTIF('Final Calculation Sheet'!$AL9:$BB9,0)+COUNTIF('Final Calculation Sheet'!$BD9:$BS9,0)&gt;0,0,1)</f>
      </c>
      <c r="TG9" t="str">
        <f>IF($CV$9="",FALSE,SUMPRODUCT(('Final Calculation Sheet'!$R$4:$R$40=$CV$9)*($TF$4:$TF$40=1))&gt;0)</f>
      </c>
      <c r="TH9" t="str">
        <f>=$TH8+--($TG9)</f>
      </c>
      <c r="TI9" t="str">
        <f>IF(ROW()-3&gt;MAX($TH$4:$TH$40),"",INDEX($CV$4:$CV$40,MATCH(ROW()-3,$TH$4:$TH$40,0)))</f>
      </c>
      <c r="TJ9" t="str">
        <f>IF(COUNTIF('Final Calculation Sheet'!$AL9:$BC9,0)+COUNTIF('Final Calculation Sheet'!$BE9:$BS9,0)&gt;0,0,1)</f>
      </c>
      <c r="TK9" t="str">
        <f>IF($DA$9="",FALSE,SUMPRODUCT(('Final Calculation Sheet'!$S$4:$S$40=$DA$9)*($TJ$4:$TJ$40=1))&gt;0)</f>
      </c>
      <c r="TL9" t="str">
        <f>=$TL8+--($TK9)</f>
      </c>
      <c r="TM9" t="str">
        <f>IF(ROW()-3&gt;MAX($TL$4:$TL$40),"",INDEX($DA$4:$DA$40,MATCH(ROW()-3,$TL$4:$TL$40,0)))</f>
      </c>
      <c r="TN9" t="str">
        <f>IF(COUNTIF('Final Calculation Sheet'!$AL9:$BD9,0)+COUNTIF('Final Calculation Sheet'!$BF9:$BS9,0)&gt;0,0,1)</f>
      </c>
      <c r="TO9" t="str">
        <f>IF($DF$9="",FALSE,SUMPRODUCT(('Final Calculation Sheet'!$T$4:$T$40=$DF$9)*($TN$4:$TN$40=1))&gt;0)</f>
      </c>
      <c r="TP9" t="str">
        <f>=$TP8+--($TO9)</f>
      </c>
      <c r="TQ9" t="str">
        <f>IF(ROW()-3&gt;MAX($TP$4:$TP$40),"",INDEX($DF$4:$DF$40,MATCH(ROW()-3,$TP$4:$TP$40,0)))</f>
      </c>
      <c r="TR9" t="str">
        <f>IF(COUNTIF('Final Calculation Sheet'!$AL9:$BE9,0)+COUNTIF('Final Calculation Sheet'!$BG9:$BS9,0)&gt;0,0,1)</f>
      </c>
      <c r="TS9" t="str">
        <f>IF($DK$9="",FALSE,SUMPRODUCT(('Final Calculation Sheet'!$U$4:$U$40=$DK$9)*($TR$4:$TR$40=1))&gt;0)</f>
      </c>
      <c r="TT9" t="str">
        <f>=$TT8+--($TS9)</f>
      </c>
      <c r="TU9" t="str">
        <f>IF(ROW()-3&gt;MAX($TT$4:$TT$40),"",INDEX($DK$4:$DK$40,MATCH(ROW()-3,$TT$4:$TT$40,0)))</f>
      </c>
      <c r="TV9" t="str">
        <f>IF(COUNTIF('Final Calculation Sheet'!$AL9:$BF9,0)+COUNTIF('Final Calculation Sheet'!$BH9:$BS9,0)&gt;0,0,1)</f>
      </c>
      <c r="TW9" t="str">
        <f>IF($DP$9="",FALSE,SUMPRODUCT(('Final Calculation Sheet'!$V$4:$V$40=$DP$9)*($TV$4:$TV$40=1))&gt;0)</f>
      </c>
      <c r="TX9" t="str">
        <f>=$TX8+--($TW9)</f>
      </c>
      <c r="TY9" t="str">
        <f>IF(ROW()-3&gt;MAX($TX$4:$TX$40),"",INDEX($DP$4:$DP$40,MATCH(ROW()-3,$TX$4:$TX$40,0)))</f>
      </c>
      <c r="TZ9" t="str">
        <f>IF(COUNTIF('Final Calculation Sheet'!$AL9:$BG9,0)+COUNTIF('Final Calculation Sheet'!$BI9:$BS9,0)&gt;0,0,1)</f>
      </c>
      <c r="UA9" t="str">
        <f>IF($DU$9="",FALSE,SUMPRODUCT(('Final Calculation Sheet'!$W$4:$W$40=$DU$9)*($TZ$4:$TZ$40=1))&gt;0)</f>
      </c>
      <c r="UB9" t="str">
        <f>=$UB8+--($UA9)</f>
      </c>
      <c r="UC9" t="str">
        <f>IF(ROW()-3&gt;MAX($UB$4:$UB$40),"",INDEX($DU$4:$DU$40,MATCH(ROW()-3,$UB$4:$UB$40,0)))</f>
      </c>
      <c r="UD9" t="str">
        <f>IF(COUNTIF('Final Calculation Sheet'!$AL9:$BH9,0)+COUNTIF('Final Calculation Sheet'!$BJ9:$BS9,0)&gt;0,0,1)</f>
      </c>
      <c r="UE9" t="str">
        <f>IF($DZ$9="",FALSE,SUMPRODUCT(('Final Calculation Sheet'!$X$4:$X$40=$DZ$9)*($UD$4:$UD$40=1))&gt;0)</f>
      </c>
      <c r="UF9" t="str">
        <f>=$UF8+--($UE9)</f>
      </c>
      <c r="UG9" t="str">
        <f>IF(ROW()-3&gt;MAX($UF$4:$UF$40),"",INDEX($DZ$4:$DZ$40,MATCH(ROW()-3,$UF$4:$UF$40,0)))</f>
      </c>
      <c r="UH9" t="str">
        <f>IF(COUNTIF('Final Calculation Sheet'!$AL9:$BI9,0)+COUNTIF('Final Calculation Sheet'!$BK9:$BS9,0)&gt;0,0,1)</f>
      </c>
      <c r="UI9" t="str">
        <f>IF($EE$9="",FALSE,SUMPRODUCT(('Final Calculation Sheet'!$Y$4:$Y$40=$EE$9)*($UH$4:$UH$40=1))&gt;0)</f>
      </c>
      <c r="UJ9" t="str">
        <f>=$UJ8+--($UI9)</f>
      </c>
      <c r="UK9" t="str">
        <f>IF(ROW()-3&gt;MAX($UJ$4:$UJ$40),"",INDEX($EE$4:$EE$40,MATCH(ROW()-3,$UJ$4:$UJ$40,0)))</f>
      </c>
      <c r="UL9" t="str">
        <f>IF(COUNTIF('Final Calculation Sheet'!$AL9:$BJ9,0)+COUNTIF('Final Calculation Sheet'!$BL9:$BS9,0)&gt;0,0,1)</f>
      </c>
      <c r="UM9" t="str">
        <f>IF($EJ$9="",FALSE,SUMPRODUCT(('Final Calculation Sheet'!$Z$4:$Z$40=$EJ$9)*($UL$4:$UL$40=1))&gt;0)</f>
      </c>
      <c r="UN9" t="str">
        <f>=$UN8+--($UM9)</f>
      </c>
      <c r="UO9" t="str">
        <f>IF(ROW()-3&gt;MAX($UN$4:$UN$40),"",INDEX($EJ$4:$EJ$40,MATCH(ROW()-3,$UN$4:$UN$40,0)))</f>
      </c>
      <c r="UP9" t="str">
        <f>IF(COUNTIF('Final Calculation Sheet'!$AL9:$BK9,0)+COUNTIF('Final Calculation Sheet'!$BM9:$BS9,0)&gt;0,0,1)</f>
      </c>
      <c r="UQ9" t="str">
        <f>IF($EO$9="",FALSE,SUMPRODUCT(('Final Calculation Sheet'!$AA$4:$AA$40=$EO$9)*($UP$4:$UP$40=1))&gt;0)</f>
      </c>
      <c r="UR9" t="str">
        <f>=$UR8+--($UQ9)</f>
      </c>
      <c r="US9" t="str">
        <f>IF(ROW()-3&gt;MAX($UR$4:$UR$40),"",INDEX($EO$4:$EO$40,MATCH(ROW()-3,$UR$4:$UR$40,0)))</f>
      </c>
      <c r="UT9" t="str">
        <f>IF(COUNTIF('Final Calculation Sheet'!$AL9:$BL9,0)+COUNTIF('Final Calculation Sheet'!$BN9:$BS9,0)&gt;0,0,1)</f>
      </c>
      <c r="UU9" t="str">
        <f>IF($ET$9="",FALSE,SUMPRODUCT(('Final Calculation Sheet'!$AB$4:$AB$40=$ET$9)*($UT$4:$UT$40=1))&gt;0)</f>
      </c>
      <c r="UV9" t="str">
        <f>=$UV8+--($UU9)</f>
      </c>
      <c r="UW9" t="str">
        <f>IF(ROW()-3&gt;MAX($UV$4:$UV$40),"",INDEX($ET$4:$ET$40,MATCH(ROW()-3,$UV$4:$UV$40,0)))</f>
      </c>
      <c r="UX9" t="str">
        <f>IF(COUNTIF('Final Calculation Sheet'!$AL9:$BM9,0)+COUNTIF('Final Calculation Sheet'!$BO9:$BS9,0)&gt;0,0,1)</f>
      </c>
      <c r="UY9" t="str">
        <f>IF($EY$9="",FALSE,SUMPRODUCT(('Final Calculation Sheet'!$AC$4:$AC$40=$EY$9)*($UX$4:$UX$40=1))&gt;0)</f>
      </c>
      <c r="UZ9" t="str">
        <f>=$UZ8+--($UY9)</f>
      </c>
      <c r="VA9" t="str">
        <f>IF(ROW()-3&gt;MAX($UZ$4:$UZ$40),"",INDEX($EY$4:$EY$40,MATCH(ROW()-3,$UZ$4:$UZ$40,0)))</f>
      </c>
      <c r="VB9" t="str">
        <f>IF(COUNTIF('Final Calculation Sheet'!$AL9:$BN9,0)+COUNTIF('Final Calculation Sheet'!$BP9:$BS9,0)&gt;0,0,1)</f>
      </c>
      <c r="VC9" t="str">
        <f>IF($FD$9="",FALSE,SUMPRODUCT(('Final Calculation Sheet'!$AD$4:$AD$40=$FD$9)*($VB$4:$VB$40=1))&gt;0)</f>
      </c>
      <c r="VD9" t="str">
        <f>=$VD8+--($VC9)</f>
      </c>
      <c r="VE9" t="str">
        <f>IF(ROW()-3&gt;MAX($VD$4:$VD$40),"",INDEX($FD$4:$FD$40,MATCH(ROW()-3,$VD$4:$VD$40,0)))</f>
      </c>
      <c r="VF9" t="str">
        <f>IF(COUNTIF('Final Calculation Sheet'!$AL9:$BO9,0)+COUNTIF('Final Calculation Sheet'!$BQ9:$BS9,0)&gt;0,0,1)</f>
      </c>
      <c r="VG9" t="str">
        <f>IF($FI$9="",FALSE,SUMPRODUCT(('Final Calculation Sheet'!$AE$4:$AE$40=$FI$9)*($VF$4:$VF$40=1))&gt;0)</f>
      </c>
      <c r="VH9" t="str">
        <f>=$VH8+--($VG9)</f>
      </c>
      <c r="VI9" t="str">
        <f>IF(ROW()-3&gt;MAX($VH$4:$VH$40),"",INDEX($FI$4:$FI$40,MATCH(ROW()-3,$VH$4:$VH$40,0)))</f>
      </c>
      <c r="VJ9" t="str">
        <f>IF(COUNTIF('Final Calculation Sheet'!$AL9:$BP9,0)+COUNTIF('Final Calculation Sheet'!$BR9:$BS9,0)&gt;0,0,1)</f>
      </c>
      <c r="VK9" t="str">
        <f>IF($FN$9="",FALSE,SUMPRODUCT(('Final Calculation Sheet'!$AF$4:$AF$40=$FN$9)*($VJ$4:$VJ$40=1))&gt;0)</f>
      </c>
      <c r="VL9" t="str">
        <f>=$VL8+--($VK9)</f>
      </c>
      <c r="VM9" t="str">
        <f>IF(ROW()-3&gt;MAX($VL$4:$VL$40),"",INDEX($FN$4:$FN$40,MATCH(ROW()-3,$VL$4:$VL$40,0)))</f>
      </c>
      <c r="VN9" t="str">
        <f>IF(COUNTIF('Final Calculation Sheet'!$AL9:$BQ9,0)+COUNTIF('Final Calculation Sheet'!$BS9:$BS9,0)&gt;0,0,1)</f>
      </c>
      <c r="VO9" t="str">
        <f>IF($FS$9="",FALSE,SUMPRODUCT(('Final Calculation Sheet'!$AG$4:$AG$40=$FS$9)*($VN$4:$VN$40=1))&gt;0)</f>
      </c>
      <c r="VP9" t="str">
        <f>=$VP8+--($VO9)</f>
      </c>
      <c r="VQ9" t="str">
        <f>IF(ROW()-3&gt;MAX($VP$4:$VP$40),"",INDEX($FS$4:$FS$40,MATCH(ROW()-3,$VP$4:$VP$40,0)))</f>
      </c>
      <c r="VR9" t="str">
        <f>IF(COUNTIF('Final Calculation Sheet'!$AL9:$BR9,0)&gt;0,0,1)</f>
      </c>
      <c r="VS9" t="str">
        <f>IF($QO$9="",FALSE,SUMPRODUCT(('Final Calculation Sheet'!$AH$4:$AH$40=$QO$9)*($VR$4:$VR$40=1))&gt;0)</f>
      </c>
      <c r="VT9" t="str">
        <f>=$VT8+--($VS9)</f>
      </c>
      <c r="VU9" t="str">
        <f>IF(ROW()-3&gt;MAX($VT$4:$VT$40),"",INDEX($QO$4:$QO$40,MATCH(ROW()-3,$VT$4:$VT$40,0)))</f>
      </c>
    </row>
    <row r="10">
      <c r="A10">
        <f>IF(IFERROR('Final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IF(IFERROR('Final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s="55">
        <f>IF('Final Calculation Sheet'!$C$10="","",'Final Calculation Sheet'!$C$10)</f>
        <v/>
      </c>
      <c r="AP10">
        <f>IF(AO10="","",COUNTIFS(AO$4:AO$40,"&lt;"&amp;AO10,AO$4:AO$40,"&lt;&gt;"&amp;"")+COUNTIF(AO$4:AO10,AO10))</f>
        <v/>
      </c>
      <c r="AQ10" s="55">
        <f>IF(ROW()-3&gt;COUNTIF(AO$4:AO$40,"&lt;&gt;"&amp;""),"",INDEX(AO$4:AO$40,MATCH(ROW()-3,AP$4:AP$40,0)))</f>
        <v/>
      </c>
      <c r="AR10">
        <f>AR9+IF(AND(AQ10&lt;&gt;"",COUNTIF(AQ$4:AQ10,AQ10)=1),1,0)</f>
        <v/>
      </c>
      <c r="AS10" s="55">
        <f>IF(ROW()-3&gt;MAX(AR$4:AR$40),"",INDEX(AQ$4:AQ$40,MATCH(ROW()-3,AR$4:AR$40,0)))</f>
        <v/>
      </c>
      <c r="AT10" s="55">
        <f>IF('Final Calculation Sheet'!$H$10="","",'Final Calculation Sheet'!$H$10)</f>
        <v/>
      </c>
      <c r="AU10">
        <f>IF(AT10="","",COUNTIFS(AT$4:AT$40,"&lt;"&amp;AT10,AT$4:AT$40,"&lt;&gt;"&amp;"")+COUNTIF(AT$4:AT10,AT10))</f>
        <v/>
      </c>
      <c r="AV10" s="55">
        <f>IF(ROW()-3&gt;COUNTIF(AT$4:AT$40,"&lt;&gt;"&amp;""),"",INDEX(AT$4:AT$40,MATCH(ROW()-3,AU$4:AU$40,0)))</f>
        <v/>
      </c>
      <c r="AW10">
        <f>AW9+IF(AND(AV10&lt;&gt;"",COUNTIF(AV$4:AV10,AV10)=1),1,0)</f>
        <v/>
      </c>
      <c r="AX10" s="55">
        <f>IF(ROW()-3&gt;MAX(AW$4:AW$40),"",INDEX(AV$4:AV$40,MATCH(ROW()-3,AW$4:AW$40,0)))</f>
        <v/>
      </c>
      <c r="AY10" s="55">
        <f>IF('Final Calculation Sheet'!$I$10="","",'Final Calculation Sheet'!$I$10)</f>
        <v/>
      </c>
      <c r="AZ10">
        <f>IF(AY10="","",COUNTIFS(AY$4:AY$40,"&lt;"&amp;AY10,AY$4:AY$40,"&lt;&gt;"&amp;"")+COUNTIF(AY$4:AY10,AY10))</f>
        <v/>
      </c>
      <c r="BA10" s="55">
        <f>IF(ROW()-3&gt;COUNTIF(AY$4:AY$40,"&lt;&gt;"&amp;""),"",INDEX(AY$4:AY$40,MATCH(ROW()-3,AZ$4:AZ$40,0)))</f>
        <v/>
      </c>
      <c r="BB10">
        <f>BB9+IF(AND(BA10&lt;&gt;"",COUNTIF(BA$4:BA10,BA10)=1),1,0)</f>
        <v/>
      </c>
      <c r="BC10" s="55">
        <f>IF(ROW()-3&gt;MAX(BB$4:BB$40),"",INDEX(BA$4:BA$40,MATCH(ROW()-3,BB$4:BB$40,0)))</f>
        <v/>
      </c>
      <c r="BD10" s="55">
        <f>IF('Final Calculation Sheet'!$J$10="","",'Final Calculation Sheet'!$J$10)</f>
        <v/>
      </c>
      <c r="BE10">
        <f>IF(BD10="","",COUNTIFS(BD$4:BD$40,"&lt;"&amp;BD10,BD$4:BD$40,"&lt;&gt;"&amp;"")+COUNTIF(BD$4:BD10,BD10))</f>
        <v/>
      </c>
      <c r="BF10" s="55">
        <f>IF(ROW()-3&gt;COUNTIF(BD$4:BD$40,"&lt;&gt;"&amp;""),"",INDEX(BD$4:BD$40,MATCH(ROW()-3,BE$4:BE$40,0)))</f>
        <v/>
      </c>
      <c r="BG10">
        <f>BG9+IF(AND(BF10&lt;&gt;"",COUNTIF(BF$4:BF10,BF10)=1),1,0)</f>
        <v/>
      </c>
      <c r="BH10" s="55">
        <f>IF(ROW()-3&gt;MAX(BG$4:BG$40),"",INDEX(BF$4:BF$40,MATCH(ROW()-3,BG$4:BG$40,0)))</f>
        <v/>
      </c>
      <c r="BI10" s="55">
        <f>IF('Final Calculation Sheet'!$K$10="","",'Final Calculation Sheet'!$K$10)</f>
        <v/>
      </c>
      <c r="BJ10">
        <f>IF(BI10="","",COUNTIFS(BI$4:BI$40,"&lt;"&amp;BI10,BI$4:BI$40,"&lt;&gt;"&amp;"")+COUNTIF(BI$4:BI10,BI10))</f>
        <v/>
      </c>
      <c r="BK10" s="55">
        <f>IF(ROW()-3&gt;COUNTIF(BI$4:BI$40,"&lt;&gt;"&amp;""),"",INDEX(BI$4:BI$40,MATCH(ROW()-3,BJ$4:BJ$40,0)))</f>
        <v/>
      </c>
      <c r="BL10">
        <f>BL9+IF(AND(BK10&lt;&gt;"",COUNTIF(BK$4:BK10,BK10)=1),1,0)</f>
        <v/>
      </c>
      <c r="BM10" s="55">
        <f>IF(ROW()-3&gt;MAX(BL$4:BL$40),"",INDEX(BK$4:BK$40,MATCH(ROW()-3,BL$4:BL$40,0)))</f>
        <v/>
      </c>
      <c r="BN10" s="55">
        <f>IF('Final Calculation Sheet'!$L$10="","",'Final Calculation Sheet'!$L$10)</f>
        <v/>
      </c>
      <c r="BO10">
        <f>IF(BN10="","",COUNTIFS(BN$4:BN$40,"&lt;"&amp;BN10,BN$4:BN$40,"&lt;&gt;"&amp;"")+COUNTIF(BN$4:BN10,BN10))</f>
        <v/>
      </c>
      <c r="BP10" s="55">
        <f>IF(ROW()-3&gt;COUNTIF(BN$4:BN$40,"&lt;&gt;"&amp;""),"",INDEX(BN$4:BN$40,MATCH(ROW()-3,BO$4:BO$40,0)))</f>
        <v/>
      </c>
      <c r="BQ10">
        <f>BQ9+IF(AND(BP10&lt;&gt;"",COUNTIF(BP$4:BP10,BP10)=1),1,0)</f>
        <v/>
      </c>
      <c r="BR10" s="55">
        <f>IF(ROW()-3&gt;MAX(BQ$4:BQ$40),"",INDEX(BP$4:BP$40,MATCH(ROW()-3,BQ$4:BQ$40,0)))</f>
        <v/>
      </c>
      <c r="BS10" s="55">
        <f>IF('Final Calculation Sheet'!$M$10="","",'Final Calculation Sheet'!$M$10)</f>
        <v/>
      </c>
      <c r="BT10">
        <f>IF(BS10="","",COUNTIFS(BS$4:BS$40,"&lt;"&amp;BS10,BS$4:BS$40,"&lt;&gt;"&amp;"")+COUNTIF(BS$4:BS10,BS10))</f>
        <v/>
      </c>
      <c r="BU10" s="55">
        <f>IF(ROW()-3&gt;COUNTIF(BS$4:BS$40,"&lt;&gt;"&amp;""),"",INDEX(BS$4:BS$40,MATCH(ROW()-3,BT$4:BT$40,0)))</f>
        <v/>
      </c>
      <c r="BV10">
        <f>BV9+IF(AND(BU10&lt;&gt;"",COUNTIF(BU$4:BU10,BU10)=1),1,0)</f>
        <v/>
      </c>
      <c r="BW10" s="55">
        <f>IF(ROW()-3&gt;MAX(BV$4:BV$40),"",INDEX(BU$4:BU$40,MATCH(ROW()-3,BV$4:BV$40,0)))</f>
        <v/>
      </c>
      <c r="BX10" s="138">
        <f>IF('Final Calculation Sheet'!$N$10="","",'Final Calculation Sheet'!$N$10)</f>
        <v/>
      </c>
      <c r="BY10">
        <f>IF(BX10="","",COUNTIFS(BX$4:BX$40,"&lt;"&amp;BX10,BX$4:BX$40,"&lt;&gt;"&amp;"")+COUNTIF(BX$4:BX10,BX10))</f>
        <v/>
      </c>
      <c r="BZ10" s="138">
        <f>IF(ROW()-3&gt;COUNTIF(BX$4:BX$40,"&lt;&gt;"&amp;""),"",INDEX(BX$4:BX$40,MATCH(ROW()-3,BY$4:BY$40,0)))</f>
        <v/>
      </c>
      <c r="CA10">
        <f>CA9+IF(AND(BZ10&lt;&gt;"",COUNTIF(BZ$4:BZ10,BZ10)=1),1,0)</f>
        <v/>
      </c>
      <c r="CB10" s="138">
        <f>IF(ROW()-3&gt;MAX(CA$4:CA$40),"",INDEX(BZ$4:BZ$40,MATCH(ROW()-3,CA$4:CA$40,0)))</f>
        <v/>
      </c>
      <c r="CC10" s="55">
        <f>IF('Final Calculation Sheet'!$O$10="","",'Final Calculation Sheet'!$O$10)</f>
        <v/>
      </c>
      <c r="CD10">
        <f>IF(CC10="","",COUNTIFS(CC$4:CC$40,"&lt;"&amp;CC10,CC$4:CC$40,"&lt;&gt;"&amp;"")+COUNTIF(CC$4:CC10,CC10))</f>
        <v/>
      </c>
      <c r="CE10" s="55">
        <f>IF(ROW()-3&gt;COUNTIF(CC$4:CC$40,"&lt;&gt;"&amp;""),"",INDEX(CC$4:CC$40,MATCH(ROW()-3,CD$4:CD$40,0)))</f>
        <v/>
      </c>
      <c r="CF10">
        <f>CF9+IF(AND(CE10&lt;&gt;"",COUNTIF(CE$4:CE10,CE10)=1),1,0)</f>
        <v/>
      </c>
      <c r="CG10" s="55">
        <f>IF(ROW()-3&gt;MAX(CF$4:CF$40),"",INDEX(CE$4:CE$40,MATCH(ROW()-3,CF$4:CF$40,0)))</f>
        <v/>
      </c>
      <c r="CH10" s="55">
        <f>IF('Final Calculation Sheet'!$P$10="","",'Final Calculation Sheet'!$P$10)</f>
        <v/>
      </c>
      <c r="CI10">
        <f>IF(CH10="","",COUNTIFS(CH$4:CH$40,"&lt;"&amp;CH10,CH$4:CH$40,"&lt;&gt;"&amp;"")+COUNTIF(CH$4:CH10,CH10))</f>
        <v/>
      </c>
      <c r="CJ10" s="55">
        <f>IF(ROW()-3&gt;COUNTIF(CH$4:CH$40,"&lt;&gt;"&amp;""),"",INDEX(CH$4:CH$40,MATCH(ROW()-3,CI$4:CI$40,0)))</f>
        <v/>
      </c>
      <c r="CK10">
        <f>CK9+IF(AND(CJ10&lt;&gt;"",COUNTIF(CJ$4:CJ10,CJ10)=1),1,0)</f>
        <v/>
      </c>
      <c r="CL10" s="55">
        <f>IF(ROW()-3&gt;MAX(CK$4:CK$40),"",INDEX(CJ$4:CJ$40,MATCH(ROW()-3,CK$4:CK$40,0)))</f>
        <v/>
      </c>
      <c r="CM10" s="139">
        <f>IF('Final Calculation Sheet'!$Q$10="","",'Final Calculation Sheet'!$Q$10)</f>
        <v/>
      </c>
      <c r="CN10">
        <f>IF(CM10="","",COUNTIFS(CM$4:CM$40,"&lt;"&amp;CM10,CM$4:CM$40,"&lt;&gt;"&amp;"")+COUNTIF(CM$4:CM10,CM10))</f>
        <v/>
      </c>
      <c r="CO10" s="139">
        <f>IF(ROW()-3&gt;COUNTIF(CM$4:CM$40,"&lt;&gt;"&amp;""),"",INDEX(CM$4:CM$40,MATCH(ROW()-3,CN$4:CN$40,0)))</f>
        <v/>
      </c>
      <c r="CP10">
        <f>CP9+IF(AND(CO10&lt;&gt;"",COUNTIF(CO$4:CO10,CO10)=1),1,0)</f>
        <v/>
      </c>
      <c r="CQ10">
        <f>IF(ROW()-3&gt;MAX(CP$4:CP$40),"",INDEX(CO$4:CO$40,MATCH(ROW()-3,CP$4:CP$40,0)))</f>
        <v/>
      </c>
      <c r="CR10" s="55">
        <f>IF('Final Calculation Sheet'!$R$10="","",'Final Calculation Sheet'!$R$10)</f>
        <v/>
      </c>
      <c r="CS10">
        <f>IF(CR10="","",COUNTIFS(CR$4:CR$40,"&lt;"&amp;CR10,CR$4:CR$40,"&lt;&gt;"&amp;"")+COUNTIF(CR$4:CR10,CR10))</f>
        <v/>
      </c>
      <c r="CT10" s="55">
        <f>IF(ROW()-3&gt;COUNTIF(CR$4:CR$40,"&lt;&gt;"&amp;""),"",INDEX(CR$4:CR$40,MATCH(ROW()-3,CS$4:CS$40,0)))</f>
        <v/>
      </c>
      <c r="CU10">
        <f>CU9+IF(AND(CT10&lt;&gt;"",COUNTIF(CT$4:CT10,CT10)=1),1,0)</f>
        <v/>
      </c>
      <c r="CV10">
        <f>IF(ROW()-3&gt;MAX(CU$4:CU$40),"",INDEX(CT$4:CT$40,MATCH(ROW()-3,CU$4:CU$40,0)))</f>
        <v/>
      </c>
      <c r="CW10" s="55">
        <f>IF('Final Calculation Sheet'!$S$10="","",'Final Calculation Sheet'!$S$10)</f>
        <v/>
      </c>
      <c r="CX10">
        <f>IF(CW10="","",COUNTIFS(CW$4:CW$40,"&lt;"&amp;CW10,CW$4:CW$40,"&lt;&gt;"&amp;"")+COUNTIF(CW$4:CW10,CW10))</f>
        <v/>
      </c>
      <c r="CY10" s="55">
        <f>IF(ROW()-3&gt;COUNTIF(CW$4:CW$40,"&lt;&gt;"&amp;""),"",INDEX(CW$4:CW$40,MATCH(ROW()-3,CX$4:CX$40,0)))</f>
        <v/>
      </c>
      <c r="CZ10">
        <f>CZ9+IF(AND(CY10&lt;&gt;"",COUNTIF(CY$4:CY10,CY10)=1),1,0)</f>
        <v/>
      </c>
      <c r="DA10" s="55">
        <f>IF(ROW()-3&gt;MAX(CZ$4:CZ$40),"",INDEX(CY$4:CY$40,MATCH(ROW()-3,CZ$4:CZ$40,0)))</f>
        <v/>
      </c>
      <c r="DB10" s="55">
        <f>IF('Final Calculation Sheet'!$T$10="","",'Final Calculation Sheet'!$T$10)</f>
        <v/>
      </c>
      <c r="DC10">
        <f>IF(DB10="","",COUNTIFS(DB$4:DB$40,"&lt;"&amp;DB10,DB$4:DB$40,"&lt;&gt;"&amp;"")+COUNTIF(DB$4:DB10,DB10))</f>
        <v/>
      </c>
      <c r="DD10" s="55">
        <f>IF(ROW()-3&gt;COUNTIF(DB$4:DB$40,"&lt;&gt;"&amp;""),"",INDEX(DB$4:DB$40,MATCH(ROW()-3,DC$4:DC$40,0)))</f>
        <v/>
      </c>
      <c r="DE10">
        <f>DE9+IF(AND(DD10&lt;&gt;"",COUNTIF(DD$4:DD10,DD10)=1),1,0)</f>
        <v/>
      </c>
      <c r="DF10" s="55">
        <f>IF(ROW()-3&gt;MAX(DE$4:DE$40),"",INDEX(DD$4:DD$40,MATCH(ROW()-3,DE$4:DE$40,0)))</f>
        <v/>
      </c>
      <c r="DG10" s="140">
        <f>IF('Final Calculation Sheet'!$U$10="","",'Final Calculation Sheet'!$U$10)</f>
        <v/>
      </c>
      <c r="DH10">
        <f>IF(DG10="","",COUNTIFS(DG$4:DG$40,"&lt;"&amp;DG10,DG$4:DG$40,"&lt;&gt;"&amp;"")+COUNTIF(DG$4:DG10,DG10))</f>
        <v/>
      </c>
      <c r="DI10" s="140">
        <f>IF(ROW()-3&gt;COUNTIF(DG$4:DG$40,"&lt;&gt;"&amp;""),"",INDEX(DG$4:DG$40,MATCH(ROW()-3,DH$4:DH$40,0)))</f>
        <v/>
      </c>
      <c r="DJ10">
        <f>DJ9+IF(AND(DI10&lt;&gt;"",COUNTIF(DI$4:DI10,DI10)=1),1,0)</f>
        <v/>
      </c>
      <c r="DK10" s="14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s="55">
        <f>IF('Final Calculation Sheet'!$W$10="","",'Final Calculation Sheet'!$W$10)</f>
        <v/>
      </c>
      <c r="DR10">
        <f>IF(DQ10="","",COUNTIFS(DQ$4:DQ$40,"&lt;"&amp;DQ10,DQ$4:DQ$40,"&lt;&gt;"&amp;"")+COUNTIF(DQ$4:DQ10,DQ10))</f>
        <v/>
      </c>
      <c r="DS10" s="55">
        <f>IF(ROW()-3&gt;COUNTIF(DQ$4:DQ$40,"&lt;&gt;"&amp;""),"",INDEX(DQ$4:DQ$40,MATCH(ROW()-3,DR$4:DR$40,0)))</f>
        <v/>
      </c>
      <c r="DT10">
        <f>DT9+IF(AND(DS10&lt;&gt;"",COUNTIF(DS$4:DS10,DS10)=1),1,0)</f>
        <v/>
      </c>
      <c r="DU10" s="55">
        <f>IF(ROW()-3&gt;MAX(DT$4:DT$40),"",INDEX(DS$4:DS$40,MATCH(ROW()-3,DT$4:DT$40,0)))</f>
        <v/>
      </c>
      <c r="DV10" s="55">
        <f>IF('Final Calculation Sheet'!$X$10="","",'Final Calculation Sheet'!$X$10)</f>
        <v/>
      </c>
      <c r="DW10">
        <f>IF(DV10="","",COUNTIFS(DV$4:DV$40,"&lt;"&amp;DV10,DV$4:DV$40,"&lt;&gt;"&amp;"")+COUNTIF(DV$4:DV10,DV10))</f>
        <v/>
      </c>
      <c r="DX10" s="55">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s="55">
        <f>IF('Final Calculation Sheet'!$Z$10="","",'Final Calculation Sheet'!$Z$10)</f>
        <v/>
      </c>
      <c r="EG10">
        <f>IF(EF10="","",COUNTIFS(EF$4:EF$40,"&lt;"&amp;EF10,EF$4:EF$40,"&lt;&gt;"&amp;"")+COUNTIF(EF$4:EF10,EF10))</f>
        <v/>
      </c>
      <c r="EH10" s="55">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s="55">
        <f>IF('Final Calculation Sheet'!$AC$10="","",'Final Calculation Sheet'!$AC$10)</f>
        <v/>
      </c>
      <c r="EV10">
        <f>IF(EU10="","",COUNTIFS(EU$4:EU$40,"&lt;"&amp;EU10,EU$4:EU$40,"&lt;&gt;"&amp;"")+COUNTIF(EU$4:EU10,EU10))</f>
        <v/>
      </c>
      <c r="EW10" s="55">
        <f>IF(ROW()-3&gt;COUNTIF(EU$4:EU$40,"&lt;&gt;"&amp;""),"",INDEX(EU$4:EU$40,MATCH(ROW()-3,EV$4:EV$40,0)))</f>
        <v/>
      </c>
      <c r="EX10">
        <f>EX9+IF(AND(EW10&lt;&gt;"",COUNTIF(EW$4:EW10,EW10)=1),1,0)</f>
        <v/>
      </c>
      <c r="EY10" s="55">
        <f>IF(ROW()-3&gt;MAX(EX$4:EX$40),"",INDEX(EW$4:EW$40,MATCH(ROW()-3,EX$4:EX$40,0)))</f>
        <v/>
      </c>
      <c r="EZ10" s="55">
        <f>IF('Final Calculation Sheet'!$AD$10="","",'Final Calculation Sheet'!$AD$10)</f>
        <v/>
      </c>
      <c r="FA10">
        <f>IF(EZ10="","",COUNTIFS(EZ$4:EZ$40,"&lt;"&amp;EZ10,EZ$4:EZ$40,"&lt;&gt;"&amp;"")+COUNTIF(EZ$4:EZ10,EZ10))</f>
        <v/>
      </c>
      <c r="FB10" s="55">
        <f>IF(ROW()-3&gt;COUNTIF(EZ$4:EZ$40,"&lt;&gt;"&amp;""),"",INDEX(EZ$4:EZ$40,MATCH(ROW()-3,FA$4:FA$40,0)))</f>
        <v/>
      </c>
      <c r="FC10">
        <f>FC9+IF(AND(FB10&lt;&gt;"",COUNTIF(FB$4:FB10,FB10)=1),1,0)</f>
        <v/>
      </c>
      <c r="FD10" s="55">
        <f>IF(ROW()-3&gt;MAX(FC$4:FC$40),"",INDEX(FB$4:FB$40,MATCH(ROW()-3,FC$4:FC$40,0)))</f>
        <v/>
      </c>
      <c r="FE10">
        <f>IF('Final Calculation Sheet'!$AF$10="","",'Final Calculation Sheet'!$AF$10)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s="141">
        <f>IF('Final Calculation Sheet'!$AG$10="","",'Final Calculation Sheet'!$AG$10)</f>
        <v/>
      </c>
      <c r="FK10">
        <f>IF(FJ10="","",COUNTIFS(FJ$4:FJ$40,"&lt;"&amp;FJ10,FJ$4:FJ$40,"&lt;&gt;"&amp;"")+COUNTIF(FJ$4:FJ10,FJ10))</f>
        <v/>
      </c>
      <c r="FL10" s="141">
        <f>IF(ROW()-3&gt;COUNTIF(FJ$4:FJ$40,"&lt;&gt;"&amp;""),"",INDEX(FJ$4:FJ$40,MATCH(ROW()-3,FK$4:FK$40,0)))</f>
        <v/>
      </c>
      <c r="FM10">
        <f>FM9+IF(AND(FL10&lt;&gt;"",COUNTIF(FL$4:FL10,FL10)=1),1,0)</f>
        <v/>
      </c>
      <c r="FN10">
        <f>IF(ROW()-3&gt;MAX(FM$4:FM$40),"",INDEX(FL$4:FL$40,MATCH(ROW()-3,FM$4:FM$40,0)))</f>
        <v/>
      </c>
      <c r="FO10">
        <f>IF('Final Calculation Sheet'!$AH$10="","",'Final Calculation Sheet'!$AH$10)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c r="FY10">
        <f>IF(COUNTIF('Live Search'!BM$9:BO$9,0)+COUNTIF('Live Search'!BQ$9:CU$9,0)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0">
        <f>IF($Y$10="",FALSE,SUMPRODUCT(('Final Calculation Sheet'!$B$4:$B$40=$Y$10)*($FY$6:$FY$42=1))&gt;0)</f>
        <v/>
      </c>
      <c r="GA10">
        <f>$GA$9+--($FZ$10)</f>
        <v/>
      </c>
      <c r="GB10">
        <f>IF(ROW()-3&gt;MAX($GA$4:$GA$40),"",INDEX($Y$4:$Y$40,MATCH(ROW()-3,$GA$4:$GA$40,0)))</f>
        <v/>
      </c>
      <c r="GC10">
        <f>IF(COUNTIF('Live Search'!BM$9:BM$9,0)+COUNTIF('Live Search'!BO$9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D10">
        <f>IF($O$10="",FALSE,SUMPRODUCT(('Final Calculation Sheet'!$F$4:$F$40=$O$10)*($GC$6:$GC$42=1))&gt;0)</f>
        <v/>
      </c>
      <c r="GE10">
        <f>$GE$9+--($GD10)</f>
        <v/>
      </c>
      <c r="GF10">
        <f>IF(ROW()-3&gt;MAX($GE$4:$GE$40),"",INDEX($O$4:$O$40,MATCH(ROW()-3,$GE$4:$GE$40,0)))</f>
        <v/>
      </c>
      <c r="GG10">
        <f>IF(COUNTIF('Live Search'!BM$9:BN$9,0)+COUNTIF('Live Search'!BP$9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H10">
        <f>IF($T$10="",FALSE,SUMPRODUCT(('Final Calculation Sheet'!$G$4:$G$40=$T$10)*($GG$6:$GG$42=1))&gt;0)</f>
        <v/>
      </c>
      <c r="GI10">
        <f>$GI$9+--($GH10)</f>
        <v/>
      </c>
      <c r="GJ10">
        <f>IF(ROW()-3&gt;MAX($GI$4:$GI$40),"",INDEX($T$4:$T$40,MATCH(ROW()-3,$GI$4:$GI$40,0)))</f>
        <v/>
      </c>
      <c r="GK10">
        <f>IF(COUNTIF('Live Search'!BM$9:BP$9,0)+COUNTIF('Live Search'!BR$9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L10">
        <f>IF($AD$10="",FALSE,SUMPRODUCT(('Final Calculation Sheet'!$D$4:$D$40=$AD$10)*($GK$6:$GK$42=1))&gt;0)</f>
        <v/>
      </c>
      <c r="GM10">
        <f>$GM$9+--($GL10)</f>
        <v/>
      </c>
      <c r="GN10">
        <f>IF(ROW()-3&gt;MAX($GM$4:$GM$40),"",INDEX($AD$4:$AD$40,MATCH(ROW()-3,$GM$4:$GM$40,0)))</f>
        <v/>
      </c>
      <c r="GO10">
        <f>IF(COUNTIF('Live Search'!BM$9:BQ$9,0)+COUNTIF('Live Search'!BS$9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P10">
        <f>IF($AI$10="",FALSE,SUMPRODUCT(('Final Calculation Sheet'!$A$4:$A$40=$AI$10)*($GO$6:$GO$42=1))&gt;0)</f>
        <v/>
      </c>
      <c r="GQ10">
        <f>$GQ$9+--($GP10)</f>
        <v/>
      </c>
      <c r="GR10">
        <f>IF(ROW()-3&gt;MAX($GQ$4:$GQ$40),"",INDEX($AI$4:$AI$40,MATCH(ROW()-3,$GQ$4:$GQ$40,0)))</f>
        <v/>
      </c>
      <c r="GS10">
        <f>IF(COUNTIF('Live Search'!BM$9:BR$9,0)+COUNTIF('Live Search'!BT$9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T10">
        <f>IF($AN$10="",FALSE,SUMPRODUCT(('Final Calculation Sheet'!$E$4:$E$40=$AN$10)*($GS$6:$GS$42=1))&gt;0)</f>
        <v/>
      </c>
      <c r="GU10">
        <f>$GU$9+--($GT10)</f>
        <v/>
      </c>
      <c r="GV10">
        <f>IF(ROW()-3&gt;MAX($GU$4:$GU$40),"",INDEX($AN$4:$AN$40,MATCH(ROW()-3,$GU$4:$GU$40,0)))</f>
        <v/>
      </c>
      <c r="GW10">
        <f>IF(COUNTIF('Live Search'!BM$9:BS$9,0)+COUNTIF('Live Search'!BU$9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GX10">
        <f>IF($AS$10="",FALSE,SUMPRODUCT(('Final Calculation Sheet'!$C$4:$C$40=$AS$10)*($GW$6:$GW$42=1))&gt;0)</f>
        <v/>
      </c>
      <c r="GY10">
        <f>$GY$9+--($GX10)</f>
        <v/>
      </c>
      <c r="GZ10">
        <f>IF(ROW()-3&gt;MAX($GY$4:$GY$40),"",INDEX($AS$4:$AS$40,MATCH(ROW()-3,$GY$4:$GY$40,0)))</f>
        <v/>
      </c>
      <c r="HA10">
        <f>IF(COUNTIF('Live Search'!BM$9:BT$9,0)+COUNTIF('Live Search'!BV$9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B10">
        <f>IF($AX$10="",FALSE,SUMPRODUCT(('Final Calculation Sheet'!$H$4:$H$40=$AX$10)*($HA$6:$HA$42=1))&gt;0)</f>
        <v/>
      </c>
      <c r="HC10">
        <f>$HC$9+--($HB10)</f>
        <v/>
      </c>
      <c r="HD10">
        <f>IF(ROW()-3&gt;MAX($HC$4:$HC$40),"",INDEX($AX$4:$AX$40,MATCH(ROW()-3,$HC$4:$HC$40,0)))</f>
        <v/>
      </c>
      <c r="HE10">
        <f>IF(COUNTIF('Live Search'!BM$9:BU$9,0)+COUNTIF('Live Search'!BW$9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F10">
        <f>IF($BC$10="",FALSE,SUMPRODUCT(('Final Calculation Sheet'!$I$4:$I$40=$BC$10)*($HE$6:$HE$42=1))&gt;0)</f>
        <v/>
      </c>
      <c r="HG10">
        <f>$HG$9+--($HF10)</f>
        <v/>
      </c>
      <c r="HH10">
        <f>IF(ROW()-3&gt;MAX($HG$4:$HG$40),"",INDEX($BC$4:$BC$40,MATCH(ROW()-3,$HG$4:$HG$40,0)))</f>
        <v/>
      </c>
      <c r="HI10">
        <f>IF(COUNTIF('Live Search'!BM$9:BV$9,0)+COUNTIF('Live Search'!BX$9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J10">
        <f>IF($BH$10="",FALSE,SUMPRODUCT(('Final Calculation Sheet'!$J$4:$J$40=$BH$10)*($HI$6:$HI$42=1))&gt;0)</f>
        <v/>
      </c>
      <c r="HK10">
        <f>$HK$9+--($HJ10)</f>
        <v/>
      </c>
      <c r="HL10">
        <f>IF(ROW()-3&gt;MAX($HK$4:$HK$40),"",INDEX($BH$4:$BH$40,MATCH(ROW()-3,$HK$4:$HK$40,0)))</f>
        <v/>
      </c>
      <c r="HM10">
        <f>IF(COUNTIF('Live Search'!BM$9:BW$9,0)+COUNTIF('Live Search'!BY$9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N10">
        <f>IF($BM$10="",FALSE,SUMPRODUCT(('Final Calculation Sheet'!$K$4:$K$40=$BM$10)*($HM$6:$HM$42=1))&gt;0)</f>
        <v/>
      </c>
      <c r="HO10">
        <f>$HO$9+--($HN10)</f>
        <v/>
      </c>
      <c r="HP10">
        <f>IF(ROW()-3&gt;MAX($HO$4:$HO$40),"",INDEX($BM$4:$BM$40,MATCH(ROW()-3,$HO$4:$HO$40,0)))</f>
        <v/>
      </c>
      <c r="HQ10">
        <f>IF(COUNTIF('Live Search'!BM$9:BX$9,0)+COUNTIF('Live Search'!BZ$9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R10">
        <f>IF($BR$10="",FALSE,SUMPRODUCT(('Final Calculation Sheet'!$L$4:$L$40=$BR$10)*($HQ$6:$HQ$42=1))&gt;0)</f>
        <v/>
      </c>
      <c r="HS10">
        <f>$HS$9+--($HR10)</f>
        <v/>
      </c>
      <c r="HT10">
        <f>IF(ROW()-3&gt;MAX($HS$4:$HS$40),"",INDEX($BR$4:$BR$40,MATCH(ROW()-3,$HS$4:$HS$40,0)))</f>
        <v/>
      </c>
      <c r="HU10">
        <f>IF(COUNTIF('Live Search'!BM$9:BY$9,0)+COUNTIF('Live Search'!CA$9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V10">
        <f>IF($BW$10="",FALSE,SUMPRODUCT(('Final Calculation Sheet'!$M$4:$M$40=$BW$10)*($HU$6:$HU$42=1))&gt;0)</f>
        <v/>
      </c>
      <c r="HW10">
        <f>$HW$9+--($HV10)</f>
        <v/>
      </c>
      <c r="HX10">
        <f>IF(ROW()-3&gt;MAX($HW$4:$HW$40),"",INDEX($BW$4:$BW$40,MATCH(ROW()-3,$HW$4:$HW$40,0)))</f>
        <v/>
      </c>
      <c r="HY10">
        <f>IF(COUNTIF('Live Search'!BM$9:BZ$9,0)+COUNTIF('Live Search'!CB$9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HZ10">
        <f>IF($CB$10="",FALSE,SUMPRODUCT(('Final Calculation Sheet'!$N$4:$N$40=$CB$10)*($HY$6:$HY$42=1))&gt;0)</f>
        <v/>
      </c>
      <c r="IA10">
        <f>$IA$9+--($HZ10)</f>
        <v/>
      </c>
      <c r="IB10">
        <f>IF(ROW()-3&gt;MAX($IA$4:$IA$40),"",INDEX($CB$4:$CB$40,MATCH(ROW()-3,$IA$4:$IA$40,0)))</f>
        <v/>
      </c>
      <c r="IC10">
        <f>IF(COUNTIF('Live Search'!BM$9:CA$9,0)+COUNTIF('Live Search'!CC$9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D10">
        <f>IF($CG$10="",FALSE,SUMPRODUCT(('Final Calculation Sheet'!$O$4:$O$40=$CG$10)*($IC$6:$IC$42=1))&gt;0)</f>
        <v/>
      </c>
      <c r="IE10">
        <f>$IE$9+--($ID10)</f>
        <v/>
      </c>
      <c r="IF10">
        <f>IF(ROW()-3&gt;MAX($IE$4:$IE$40),"",INDEX($CG$4:$CG$40,MATCH(ROW()-3,$IE$4:$IE$40,0)))</f>
        <v/>
      </c>
      <c r="IG10">
        <f>IF(COUNTIF('Live Search'!BM$9:CB$9,0)+COUNTIF('Live Search'!CD$9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H10">
        <f>IF($CL$10="",FALSE,SUMPRODUCT(('Final Calculation Sheet'!$P$4:$P$40=$CL$10)*($IG$6:$IG$42=1))&gt;0)</f>
        <v/>
      </c>
      <c r="II10">
        <f>$II$9+--($IH10)</f>
        <v/>
      </c>
      <c r="IJ10">
        <f>IF(ROW()-3&gt;MAX($II$4:$II$40),"",INDEX($CL$4:$CL$40,MATCH(ROW()-3,$II$4:$II$40,0)))</f>
        <v/>
      </c>
      <c r="IK10">
        <f>IF(COUNTIF('Live Search'!BM$9:CC$9,0)+COUNTIF('Live Search'!CE$9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L10">
        <f>IF($CQ$10="",FALSE,SUMPRODUCT(('Final Calculation Sheet'!$Q$4:$Q$40=$CQ$10)*($IK$6:$IK$42=1))&gt;0)</f>
        <v/>
      </c>
      <c r="IM10">
        <f>$IM$9+--($IL10)</f>
        <v/>
      </c>
      <c r="IN10">
        <f>IF(ROW()-3&gt;MAX($IM$4:$IM$40),"",INDEX($CQ$4:$CQ$40,MATCH(ROW()-3,$IM$4:$IM$40,0)))</f>
        <v/>
      </c>
      <c r="IO10">
        <f>IF(COUNTIF('Live Search'!BM$9:CD$9,0)+COUNTIF('Live Search'!CF$9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P10">
        <f>IF($CV$10="",FALSE,SUMPRODUCT(('Final Calculation Sheet'!$R$4:$R$40=$CV$10)*($IO$6:$IO$42=1))&gt;0)</f>
        <v/>
      </c>
      <c r="IQ10">
        <f>$IQ$9+--($IP10)</f>
        <v/>
      </c>
      <c r="IR10">
        <f>IF(ROW()-3&gt;MAX($IQ$4:$IQ$40),"",INDEX($CV$4:$CV$40,MATCH(ROW()-3,$IQ$4:$IQ$40,0)))</f>
        <v/>
      </c>
      <c r="IS10">
        <f>IF(COUNTIF('Live Search'!BM$9:CE$9,0)+COUNTIF('Live Search'!CG$9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T10">
        <f>IF($DA$10="",FALSE,SUMPRODUCT(('Final Calculation Sheet'!$S$4:$S$40=$DA$10)*($IS$6:$IS$42=1))&gt;0)</f>
        <v/>
      </c>
      <c r="IU10">
        <f>$IU$9+--($IT10)</f>
        <v/>
      </c>
      <c r="IV10">
        <f>IF(ROW()-3&gt;MAX($IU$4:$IU$40),"",INDEX($DA$4:$DA$40,MATCH(ROW()-3,$IU$4:$IU$40,0)))</f>
        <v/>
      </c>
      <c r="IW10">
        <f>IF(COUNTIF('Live Search'!BM$9:CF$9,0)+COUNTIF('Live Search'!CH$9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IX10">
        <f>IF($DF$10="",FALSE,SUMPRODUCT(('Final Calculation Sheet'!$T$4:$T$40=$DF$10)*($IW$6:$IW$42=1))&gt;0)</f>
        <v/>
      </c>
      <c r="IY10">
        <f>$IY$9+--($IX10)</f>
        <v/>
      </c>
      <c r="IZ10">
        <f>IF(ROW()-3&gt;MAX($IY$4:$IY$40),"",INDEX($DF$4:$DF$40,MATCH(ROW()-3,$IY$4:$IY$40,0)))</f>
        <v/>
      </c>
      <c r="JA10">
        <f>IF(COUNTIF('Live Search'!BM$9:CG$9,0)+COUNTIF('Live Search'!CI$9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B10">
        <f>IF($DK$10="",FALSE,SUMPRODUCT(('Final Calculation Sheet'!$U$4:$U$40=$DK$10)*($JA$6:$JA$42=1))&gt;0)</f>
        <v/>
      </c>
      <c r="JC10">
        <f>$JC$9+--($JB10)</f>
        <v/>
      </c>
      <c r="JD10">
        <f>IF(ROW()-3&gt;MAX($JC$4:$JC$40),"",INDEX($DK$4:$DK$40,MATCH(ROW()-3,$JC$4:$JC$40,0)))</f>
        <v/>
      </c>
      <c r="JE10">
        <f>IF(COUNTIF('Live Search'!BM$9:CH$9,0)+COUNTIF('Live Search'!CJ$9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F10">
        <f>IF($DP$10="",FALSE,SUMPRODUCT(('Final Calculation Sheet'!$V$4:$V$40=$DP$10)*($JE$6:$JE$42=1))&gt;0)</f>
        <v/>
      </c>
      <c r="JG10">
        <f>$JG$9+--($JF10)</f>
        <v/>
      </c>
      <c r="JH10">
        <f>IF(ROW()-3&gt;MAX($JG$4:$JG$40),"",INDEX($DP$4:$DP$40,MATCH(ROW()-3,$JG$4:$JG$40,0)))</f>
        <v/>
      </c>
      <c r="JI10">
        <f>IF(COUNTIF('Live Search'!BM$9:CI$9,0)+COUNTIF('Live Search'!CK$9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J10">
        <f>IF($DU$10="",FALSE,SUMPRODUCT(('Final Calculation Sheet'!$W$4:$W$40=$DU$10)*($JI$6:$JI$42=1))&gt;0)</f>
        <v/>
      </c>
      <c r="JK10">
        <f>$JK$9+--($JJ10)</f>
        <v/>
      </c>
      <c r="JL10">
        <f>IF(ROW()-3&gt;MAX($JK$4:$JK$40),"",INDEX($DU$4:$DU$40,MATCH(ROW()-3,$JK$4:$JK$40,0)))</f>
        <v/>
      </c>
      <c r="JM10">
        <f>IF(COUNTIF('Live Search'!BM$9:CJ$9,0)+COUNTIF('Live Search'!CL$9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N10">
        <f>IF($DZ$10="",FALSE,SUMPRODUCT(('Final Calculation Sheet'!$X$4:$X$40=$DZ$10)*($JM$6:$JM$42=1))&gt;0)</f>
        <v/>
      </c>
      <c r="JO10">
        <f>$JO$9+--($JN10)</f>
        <v/>
      </c>
      <c r="JP10">
        <f>IF(ROW()-3&gt;MAX($JO$4:$JO$40),"",INDEX($DZ$4:$DZ$40,MATCH(ROW()-3,$JO$4:$JO$40,0)))</f>
        <v/>
      </c>
      <c r="JQ10">
        <f>IF(COUNTIF('Live Search'!BM$9:CK$9,0)+COUNTIF('Live Search'!C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R10">
        <f>IF($EE$10="",FALSE,SUMPRODUCT(('Final Calculation Sheet'!$Y$4:$Y$40=$EE$10)*($JQ$6:$JQ$42=1))&gt;0)</f>
        <v/>
      </c>
      <c r="JS10">
        <f>$JS$9+--($JR10)</f>
        <v/>
      </c>
      <c r="JT10">
        <f>IF(ROW()-3&gt;MAX($JS$4:$JS$40),"",INDEX($EE$4:$EE$40,MATCH(ROW()-3,$JS$4:$JS$40,0)))</f>
        <v/>
      </c>
      <c r="JU10">
        <f>IF(COUNTIF('Live Search'!BM$9:CL$9,0)+COUNTIF('Live Search'!CN$9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V10">
        <f>IF($EJ$10="",FALSE,SUMPRODUCT(('Final Calculation Sheet'!$Z$4:$Z$40=$EJ$10)*($JU$6:$JU$42=1))&gt;0)</f>
        <v/>
      </c>
      <c r="JW10">
        <f>$JW$9+--($JV10)</f>
        <v/>
      </c>
      <c r="JX10">
        <f>IF(ROW()-3&gt;MAX($JW$4:$JW$40),"",INDEX($EJ$4:$EJ$40,MATCH(ROW()-3,$JW$4:$JW$40,0)))</f>
        <v/>
      </c>
      <c r="JY10">
        <f>IF(COUNTIF('Live Search'!BM$9:CM$9,0)+COUNTIF('Live Search'!CO$9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JZ10">
        <f>IF($EO$10="",FALSE,SUMPRODUCT(('Final Calculation Sheet'!$AA$4:$AA$40=$EO$10)*($JY$6:$JY$42=1))&gt;0)</f>
        <v/>
      </c>
      <c r="KA10">
        <f>$KA$9+--($JZ10)</f>
        <v/>
      </c>
      <c r="KB10">
        <f>IF(ROW()-3&gt;MAX($KA$4:$KA$40),"",INDEX($EO$4:$EO$40,MATCH(ROW()-3,$KA$4:$KA$40,0)))</f>
        <v/>
      </c>
      <c r="KC10">
        <f>IF(COUNTIF('Live Search'!BM$9:CN$9,0)+COUNTIF('Live Search'!CP$9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D10">
        <f>IF($ET$10="",FALSE,SUMPRODUCT(('Final Calculation Sheet'!$AB$4:$AB$40=$ET$10)*($KC$6:$KC$42=1))&gt;0)</f>
        <v/>
      </c>
      <c r="KE10">
        <f>$KE$9+--($KD10)</f>
        <v/>
      </c>
      <c r="KF10">
        <f>IF(ROW()-3&gt;MAX($KE$4:$KE$40),"",INDEX($ET$4:$ET$40,MATCH(ROW()-3,$KE$4:$KE$40,0)))</f>
        <v/>
      </c>
      <c r="KG10">
        <f>IF(COUNTIF('Live Search'!BM$9:CO$9,0)+COUNTIF('Live Search'!CQ$9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H10">
        <f>IF($EY$10="",FALSE,SUMPRODUCT(('Final Calculation Sheet'!$AC$4:$AC$40=$EY$10)*($KG$6:$KG$42=1))&gt;0)</f>
        <v/>
      </c>
      <c r="KI10">
        <f>$KI$9+--($KH10)</f>
        <v/>
      </c>
      <c r="KJ10">
        <f>IF(ROW()-3&gt;MAX($KI$4:$KI$40),"",INDEX($EY$4:$EY$40,MATCH(ROW()-3,$KI$4:$KI$40,0)))</f>
        <v/>
      </c>
      <c r="KK10">
        <f>IF(COUNTIF('Live Search'!BM$9:CP$9,0)+COUNTIF('Live Search'!CR$9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L10">
        <f>IF($FD$10="",FALSE,SUMPRODUCT(('Final Calculation Sheet'!$AD$4:$AD$40=$FD$10)*($KK$6:$KK$42=1))&gt;0)</f>
        <v/>
      </c>
      <c r="KM10">
        <f>$KM$9+--($KL10)</f>
        <v/>
      </c>
      <c r="KN10">
        <f>IF(ROW()-3&gt;MAX($KM$4:$KM$40),"",INDEX($FD$4:$FD$40,MATCH(ROW()-3,$KM$4:$KM$40,0)))</f>
        <v/>
      </c>
      <c r="KO10">
        <f>IF(COUNTIF('Live Search'!BM$9:CT$9,0)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P10">
        <f>IF($FX$10="",FALSE,SUMPRODUCT((IF('Final Calculation Sheet'!$AD$4:$AD$40&lt;=5,"SETTLED","OUTSTANDING")=$FX$10)*($KO$6:$KO$42=1))&gt;0)</f>
        <v/>
      </c>
      <c r="KQ10">
        <f>$KQ$9+--($KP10)</f>
        <v/>
      </c>
      <c r="KR10">
        <f>IF(ROW()-3&gt;MAX($KQ$4:$KQ$40),"",INDEX($FX$4:$FX$40,MATCH(ROW()-3,$KQ$4:$KQ$40,0)))</f>
        <v/>
      </c>
      <c r="KS10">
        <f>IF(COUNTIF('Live Search'!BM$9:CQ$9,0)+COUNTIF('Live Search'!CS$9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T10">
        <f>IF($FI$10="",FALSE,SUMPRODUCT(('Final Calculation Sheet'!$AF$4:$AF$40=$FI$10)*($KS$6:$KS$42=1))&gt;0)</f>
        <v/>
      </c>
      <c r="KU10">
        <f>$KU$9+--($KT10)</f>
        <v/>
      </c>
      <c r="KV10">
        <f>IF(ROW()-3&gt;MAX($KU$4:$KU$40),"",INDEX($FI$4:$FI$40,MATCH(ROW()-3,$KU$4:$KU$40,0)))</f>
        <v/>
      </c>
      <c r="KW10">
        <f>IF(COUNTIF('Live Search'!BM$9:CR$9,0)+COUNTIF('Live Search'!CT$9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KX10">
        <f>IF($FN$10="",FALSE,SUMPRODUCT(('Final Calculation Sheet'!$AG$4:$AG$40=$FN$10)*($KW$6:$KW$42=1))&gt;0)</f>
        <v/>
      </c>
      <c r="KY10">
        <f>$KY$9+--($KX10)</f>
        <v/>
      </c>
      <c r="KZ10">
        <f>IF(ROW()-3&gt;MAX($KY$4:$KY$40),"",INDEX($FN$4:$FN$40,MATCH(ROW()-3,$KY$4:$KY$40,0)))</f>
        <v/>
      </c>
      <c r="LA10">
        <f>IF(COUNTIF('Live Search'!BM$9:CS$9,0)+COUNTIF('Live Search'!CU$9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LB10">
        <f>IF($FS$10="",FALSE,SUMPRODUCT(('Final Calculation Sheet'!$AH$4:$AH$40=$FS$10)*($LA$6:$LA$42=1))&gt;0)</f>
        <v/>
      </c>
      <c r="LC10">
        <f>$LC$9+--($LB10)</f>
        <v/>
      </c>
      <c r="LD10">
        <f>IF(ROW()-3&gt;MAX($LC$4:$LC$40),"",INDEX($FS$4:$FS$40,MATCH(ROW()-3,$LC$4:$LC$40,0)))</f>
        <v/>
      </c>
      <c r="LE10">
        <f>IF(COUNTIF('Buyer Groups'!DH63:EN63,0)&gt;0,0,1)</f>
        <v/>
      </c>
      <c r="LF10">
        <f>IF($O$10="",FALSE,SUMPRODUCT(('Final Calculation Sheet'!$F$4:$F$40=$O$10)*($LE$6:$LE$42=1))&gt;0)</f>
        <v/>
      </c>
      <c r="LG10">
        <f>$LG$9+--($LF10)</f>
        <v/>
      </c>
      <c r="LH10">
        <f>IF(ROW()-3&gt;MAX($LG$4:$LG$40),"",INDEX($O$4:$O$40,MATCH(ROW()-3,$LG$4:$LG$40,0)))</f>
        <v/>
      </c>
      <c r="LI10">
        <f>IF(COUNTIF('Buyer Groups'!DG63:DG63,0)+COUNTIF('Buyer Groups'!DI63:EN63,0)&gt;0,0,1)</f>
        <v/>
      </c>
      <c r="LJ10">
        <f>IF($T$10="",FALSE,SUMPRODUCT(('Final Calculation Sheet'!$G$4:$G$40=$T$10)*($LI$6:$LI$42=1))&gt;0)</f>
        <v/>
      </c>
      <c r="LK10">
        <f>$LK$9+--($LJ10)</f>
        <v/>
      </c>
      <c r="LL10">
        <f>IF(ROW()-3&gt;MAX($LK$4:$LK$40),"",INDEX($T$4:$T$40,MATCH(ROW()-3,$LK$4:$LK$40,0)))</f>
        <v/>
      </c>
      <c r="LM10">
        <f>IF(COUNTIF('Buyer Groups'!DG63:DH63,0)+COUNTIF('Buyer Groups'!DJ63:EN63,0)&gt;0,0,1)</f>
        <v/>
      </c>
      <c r="LN10">
        <f>IF($Y$10="",FALSE,SUMPRODUCT(('Final Calculation Sheet'!$B$4:$B$40=$Y$10)*($LM$6:$LM$42=1))&gt;0)</f>
        <v/>
      </c>
      <c r="LO10">
        <f>$LO$9+--($LN10)</f>
        <v/>
      </c>
      <c r="LP10">
        <f>IF(ROW()-3&gt;MAX($LO$4:$LO$40),"",INDEX($Y$4:$Y$40,MATCH(ROW()-3,$LO$4:$LO$40,0)))</f>
        <v/>
      </c>
      <c r="LQ10">
        <f>IF(COUNTIF('Buyer Groups'!DG63:DI63,0)+COUNTIF('Buyer Groups'!DK63:EN63,0)&gt;0,0,1)</f>
        <v/>
      </c>
      <c r="LR10">
        <f>IF($AD$10="",FALSE,SUMPRODUCT(('Final Calculation Sheet'!$D$4:$D$40=$AD$10)*($LQ$6:$LQ$42=1))&gt;0)</f>
        <v/>
      </c>
      <c r="LS10">
        <f>$LS$9+--($LR10)</f>
        <v/>
      </c>
      <c r="LT10">
        <f>IF(ROW()-3&gt;MAX($LS$4:$LS$40),"",INDEX($AD$4:$AD$40,MATCH(ROW()-3,$LS$4:$LS$40,0)))</f>
        <v/>
      </c>
      <c r="LU10">
        <f>IF(COUNTIF('Buyer Groups'!DG63:DJ63,0)+COUNTIF('Buyer Groups'!DL63:EN63,0)&gt;0,0,1)</f>
        <v/>
      </c>
      <c r="LV10">
        <f>IF($AI$10="",FALSE,SUMPRODUCT(('Final Calculation Sheet'!$A$4:$A$40=$AI$10)*($LU$6:$LU$42=1))&gt;0)</f>
        <v/>
      </c>
      <c r="LW10">
        <f>$LW$9+--($LV10)</f>
        <v/>
      </c>
      <c r="LX10">
        <f>IF(ROW()-3&gt;MAX($LW$4:$LW$40),"",INDEX($AI$4:$AI$40,MATCH(ROW()-3,$LW$4:$LW$40,0)))</f>
        <v/>
      </c>
      <c r="LY10">
        <f>IF(COUNTIF('Buyer Groups'!DG63:DK63,0)+COUNTIF('Buyer Groups'!DM63:EN63,0)&gt;0,0,1)</f>
        <v/>
      </c>
      <c r="LZ10">
        <f>IF($AN$10="",FALSE,SUMPRODUCT(('Final Calculation Sheet'!$E$4:$E$40=$AN$10)*($LY$6:$LY$42=1))&gt;0)</f>
        <v/>
      </c>
      <c r="MA10">
        <f>$MA$9+--($LZ10)</f>
        <v/>
      </c>
      <c r="MB10">
        <f>IF(ROW()-3&gt;MAX($MA$4:$MA$40),"",INDEX($AN$4:$AN$40,MATCH(ROW()-3,$MA$4:$MA$40,0)))</f>
        <v/>
      </c>
      <c r="MC10">
        <f>IF(COUNTIF('Buyer Groups'!DG63:DL63,0)+COUNTIF('Buyer Groups'!DN63:EN63,0)&gt;0,0,1)</f>
        <v/>
      </c>
      <c r="MD10">
        <f>IF($AS$10="",FALSE,SUMPRODUCT(('Final Calculation Sheet'!$C$4:$C$40=$AS$10)*($MC$6:$MC$42=1))&gt;0)</f>
        <v/>
      </c>
      <c r="ME10">
        <f>$ME$9+--($MD10)</f>
        <v/>
      </c>
      <c r="MF10">
        <f>IF(ROW()-3&gt;MAX($ME$4:$ME$40),"",INDEX($AS$4:$AS$40,MATCH(ROW()-3,$ME$4:$ME$40,0)))</f>
        <v/>
      </c>
      <c r="MG10">
        <f>IF(COUNTIF('Buyer Groups'!DG63:DM63,0)+COUNTIF('Buyer Groups'!DO63:EN63,0)&gt;0,0,1)</f>
        <v/>
      </c>
      <c r="MH10">
        <f>IF($AX$10="",FALSE,SUMPRODUCT(('Final Calculation Sheet'!$H$4:$H$40=$AX$10)*($MG$6:$MG$42=1))&gt;0)</f>
        <v/>
      </c>
      <c r="MI10">
        <f>$MI$9+--($MH10)</f>
        <v/>
      </c>
      <c r="MJ10">
        <f>IF(ROW()-3&gt;MAX($MI$4:$MI$40),"",INDEX($AX$4:$AX$40,MATCH(ROW()-3,$MI$4:$MI$40,0)))</f>
        <v/>
      </c>
      <c r="MK10">
        <f>IF(COUNTIF('Buyer Groups'!DG63:DN63,0)+COUNTIF('Buyer Groups'!DP63:EN63,0)&gt;0,0,1)</f>
        <v/>
      </c>
      <c r="ML10">
        <f>IF($BC$10="",FALSE,SUMPRODUCT(('Final Calculation Sheet'!$I$4:$I$40=$BC$10)*($MK$6:$MK$42=1))&gt;0)</f>
        <v/>
      </c>
      <c r="MM10">
        <f>$MM$9+--($ML10)</f>
        <v/>
      </c>
      <c r="MN10">
        <f>IF(ROW()-3&gt;MAX($MM$4:$MM$40),"",INDEX($BC$4:$BC$40,MATCH(ROW()-3,$MM$4:$MM$40,0)))</f>
        <v/>
      </c>
      <c r="MO10">
        <f>IF(COUNTIF('Buyer Groups'!DG63:DO63,0)+COUNTIF('Buyer Groups'!DQ63:EN63,0)&gt;0,0,1)</f>
        <v/>
      </c>
      <c r="MP10">
        <f>IF($BH$10="",FALSE,SUMPRODUCT(('Final Calculation Sheet'!$J$4:$J$40=$BH$10)*($MO$6:$MO$42=1))&gt;0)</f>
        <v/>
      </c>
      <c r="MQ10">
        <f>$MQ$9+--($MP10)</f>
        <v/>
      </c>
      <c r="MR10">
        <f>IF(ROW()-3&gt;MAX($MQ$4:$MQ$40),"",INDEX($BH$4:$BH$40,MATCH(ROW()-3,$MQ$4:$MQ$40,0)))</f>
        <v/>
      </c>
      <c r="MS10">
        <f>IF(COUNTIF('Buyer Groups'!DG63:DP63,0)+COUNTIF('Buyer Groups'!DR63:EN63,0)&gt;0,0,1)</f>
        <v/>
      </c>
      <c r="MT10">
        <f>IF($BM$10="",FALSE,SUMPRODUCT(('Final Calculation Sheet'!$K$4:$K$40=$BM$10)*($MS$6:$MS$42=1))&gt;0)</f>
        <v/>
      </c>
      <c r="MU10">
        <f>$MU$9+--($MT10)</f>
        <v/>
      </c>
      <c r="MV10">
        <f>IF(ROW()-3&gt;MAX($MU$4:$MU$40),"",INDEX($BM$4:$BM$40,MATCH(ROW()-3,$MU$4:$MU$40,0)))</f>
        <v/>
      </c>
      <c r="MW10">
        <f>IF(COUNTIF('Buyer Groups'!DG63:DQ63,0)+COUNTIF('Buyer Groups'!DS63:EN63,0)&gt;0,0,1)</f>
        <v/>
      </c>
      <c r="MX10">
        <f>IF($BR$10="",FALSE,SUMPRODUCT(('Final Calculation Sheet'!$L$4:$L$40=$BR$10)*($MW$6:$MW$42=1))&gt;0)</f>
        <v/>
      </c>
      <c r="MY10">
        <f>$MY$9+--($MX10)</f>
        <v/>
      </c>
      <c r="MZ10">
        <f>IF(ROW()-3&gt;MAX($MY$4:$MY$40),"",INDEX($BR$4:$BR$40,MATCH(ROW()-3,$MY$4:$MY$40,0)))</f>
        <v/>
      </c>
      <c r="NA10">
        <f>IF(COUNTIF('Buyer Groups'!DG63:DR63,0)+COUNTIF('Buyer Groups'!DT63:EN63,0)&gt;0,0,1)</f>
        <v/>
      </c>
      <c r="NB10">
        <f>IF($BW$10="",FALSE,SUMPRODUCT(('Final Calculation Sheet'!$M$4:$M$40=$BW$10)*($NA$6:$NA$42=1))&gt;0)</f>
        <v/>
      </c>
      <c r="NC10">
        <f>$NC$9+--($NB10)</f>
        <v/>
      </c>
      <c r="ND10">
        <f>IF(ROW()-3&gt;MAX($NC$4:$NC$40),"",INDEX($BW$4:$BW$40,MATCH(ROW()-3,$NC$4:$NC$40,0)))</f>
        <v/>
      </c>
      <c r="NE10">
        <f>IF(COUNTIF('Buyer Groups'!DG63:DS63,0)+COUNTIF('Buyer Groups'!DU63:EN63,0)&gt;0,0,1)</f>
        <v/>
      </c>
      <c r="NF10">
        <f>IF($CB$10="",FALSE,SUMPRODUCT(('Final Calculation Sheet'!$N$4:$N$40=$CB$10)*($NE$6:$NE$42=1))&gt;0)</f>
        <v/>
      </c>
      <c r="NG10">
        <f>$NG$9+--($NF10)</f>
        <v/>
      </c>
      <c r="NH10">
        <f>IF(ROW()-3&gt;MAX($NG$4:$NG$40),"",INDEX($CB$4:$CB$40,MATCH(ROW()-3,$NG$4:$NG$40,0)))</f>
        <v/>
      </c>
      <c r="NI10">
        <f>IF(COUNTIF('Buyer Groups'!DG63:DT63,0)+COUNTIF('Buyer Groups'!DV63:EN63,0)&gt;0,0,1)</f>
        <v/>
      </c>
      <c r="NJ10">
        <f>IF($CG$10="",FALSE,SUMPRODUCT(('Final Calculation Sheet'!$O$4:$O$40=$CG$10)*($NI$6:$NI$42=1))&gt;0)</f>
        <v/>
      </c>
      <c r="NK10">
        <f>$NK$9+--($NJ10)</f>
        <v/>
      </c>
      <c r="NL10">
        <f>IF(ROW()-3&gt;MAX($NK$4:$NK$40),"",INDEX($CG$4:$CG$40,MATCH(ROW()-3,$NK$4:$NK$40,0)))</f>
        <v/>
      </c>
      <c r="NM10">
        <f>IF(COUNTIF('Buyer Groups'!DG63:DU63,0)+COUNTIF('Buyer Groups'!DW63:EN63,0)&gt;0,0,1)</f>
        <v/>
      </c>
      <c r="NN10">
        <f>IF($CL$10="",FALSE,SUMPRODUCT(('Final Calculation Sheet'!$P$4:$P$40=$CL$10)*($NM$6:$NM$42=1))&gt;0)</f>
        <v/>
      </c>
      <c r="NO10">
        <f>$NO$9+--($NN10)</f>
        <v/>
      </c>
      <c r="NP10">
        <f>IF(ROW()-3&gt;MAX($NO$4:$NO$40),"",INDEX($CL$4:$CL$40,MATCH(ROW()-3,$NO$4:$NO$40,0)))</f>
        <v/>
      </c>
      <c r="NQ10">
        <f>IF(COUNTIF('Buyer Groups'!DG63:DV63,0)+COUNTIF('Buyer Groups'!DX63:EN63,0)&gt;0,0,1)</f>
        <v/>
      </c>
      <c r="NR10">
        <f>IF($CQ$10="",FALSE,SUMPRODUCT(('Final Calculation Sheet'!$Q$4:$Q$40=$CQ$10)*($NQ$6:$NQ$42=1))&gt;0)</f>
        <v/>
      </c>
      <c r="NS10">
        <f>$NS$9+--($NR10)</f>
        <v/>
      </c>
      <c r="NT10">
        <f>IF(ROW()-3&gt;MAX($NS$4:$NS$40),"",INDEX($CQ$4:$CQ$40,MATCH(ROW()-3,$NS$4:$NS$40,0)))</f>
        <v/>
      </c>
      <c r="NU10">
        <f>IF(COUNTIF('Buyer Groups'!DG63:DW63,0)+COUNTIF('Buyer Groups'!DY63:EN63,0)&gt;0,0,1)</f>
        <v/>
      </c>
      <c r="NV10">
        <f>IF($CV$10="",FALSE,SUMPRODUCT(('Final Calculation Sheet'!$R$4:$R$40=$CV$10)*($NU$6:$NU$42=1))&gt;0)</f>
        <v/>
      </c>
      <c r="NW10">
        <f>$NW$9+--($NV10)</f>
        <v/>
      </c>
      <c r="NX10">
        <f>IF(ROW()-3&gt;MAX($NW$4:$NW$40),"",INDEX($CV$4:$CV$40,MATCH(ROW()-3,$NW$4:$NW$40,0)))</f>
        <v/>
      </c>
      <c r="NY10">
        <f>IF(COUNTIF('Buyer Groups'!DG63:DX63,0)+COUNTIF('Buyer Groups'!DZ63:EN63,0)&gt;0,0,1)</f>
        <v/>
      </c>
      <c r="NZ10">
        <f>IF($DA$10="",FALSE,SUMPRODUCT(('Final Calculation Sheet'!$S$4:$S$40=$DA$10)*($NY$6:$NY$42=1))&gt;0)</f>
        <v/>
      </c>
      <c r="OA10">
        <f>$OA$9+--($NZ10)</f>
        <v/>
      </c>
      <c r="OB10">
        <f>IF(ROW()-3&gt;MAX($OA$4:$OA$40),"",INDEX($DA$4:$DA$40,MATCH(ROW()-3,$OA$4:$OA$40,0)))</f>
        <v/>
      </c>
      <c r="OC10">
        <f>IF(COUNTIF('Buyer Groups'!DG63:DY63,0)+COUNTIF('Buyer Groups'!EA63:EN63,0)&gt;0,0,1)</f>
        <v/>
      </c>
      <c r="OD10">
        <f>IF($DF$10="",FALSE,SUMPRODUCT(('Final Calculation Sheet'!$T$4:$T$40=$DF$10)*($OC$6:$OC$42=1))&gt;0)</f>
        <v/>
      </c>
      <c r="OE10">
        <f>$OE$9+--($OD10)</f>
        <v/>
      </c>
      <c r="OF10">
        <f>IF(ROW()-3&gt;MAX($OE$4:$OE$40),"",INDEX($DF$4:$DF$40,MATCH(ROW()-3,$OE$4:$OE$40,0)))</f>
        <v/>
      </c>
      <c r="OG10">
        <f>IF(COUNTIF('Buyer Groups'!DG63:DZ63,0)+COUNTIF('Buyer Groups'!EB63:EN63,0)&gt;0,0,1)</f>
        <v/>
      </c>
      <c r="OH10">
        <f>IF($DK$10="",FALSE,SUMPRODUCT(('Final Calculation Sheet'!$U$4:$U$40=$DK$10)*($OG$6:$OG$42=1))&gt;0)</f>
        <v/>
      </c>
      <c r="OI10">
        <f>$OI$9+--($OH10)</f>
        <v/>
      </c>
      <c r="OJ10">
        <f>IF(ROW()-3&gt;MAX($OI$4:$OI$40),"",INDEX($DK$4:$DK$40,MATCH(ROW()-3,$OI$4:$OI$40,0)))</f>
        <v/>
      </c>
      <c r="OK10">
        <f>IF(COUNTIF('Buyer Groups'!DG63:EA63,0)+COUNTIF('Buyer Groups'!EC63:EN63,0)&gt;0,0,1)</f>
        <v/>
      </c>
      <c r="OL10">
        <f>IF($DP$10="",FALSE,SUMPRODUCT(('Final Calculation Sheet'!$V$4:$V$40=$DP$10)*($OK$6:$OK$42=1))&gt;0)</f>
        <v/>
      </c>
      <c r="OM10">
        <f>$OM$9+--($OL10)</f>
        <v/>
      </c>
      <c r="ON10">
        <f>IF(ROW()-3&gt;MAX($OM$4:$OM$40),"",INDEX($DP$4:$DP$40,MATCH(ROW()-3,$OM$4:$OM$40,0)))</f>
        <v/>
      </c>
      <c r="OO10">
        <f>IF(COUNTIF('Buyer Groups'!DG63:EB63,0)+COUNTIF('Buyer Groups'!ED63:EN63,0)&gt;0,0,1)</f>
        <v/>
      </c>
      <c r="OP10">
        <f>IF($DU$10="",FALSE,SUMPRODUCT(('Final Calculation Sheet'!$W$4:$W$40=$DU$10)*($OO$6:$OO$42=1))&gt;0)</f>
        <v/>
      </c>
      <c r="OQ10">
        <f>$OQ$9+--($OP10)</f>
        <v/>
      </c>
      <c r="OR10">
        <f>IF(ROW()-3&gt;MAX($OQ$4:$OQ$40),"",INDEX($DU$4:$DU$40,MATCH(ROW()-3,$OQ$4:$OQ$40,0)))</f>
        <v/>
      </c>
      <c r="OS10">
        <f>IF(COUNTIF('Buyer Groups'!DG63:EC63,0)+COUNTIF('Buyer Groups'!EE63:EN63,0)&gt;0,0,1)</f>
        <v/>
      </c>
      <c r="OT10">
        <f>IF($DZ$10="",FALSE,SUMPRODUCT(('Final Calculation Sheet'!$X$4:$X$40=$DZ$10)*($OS$6:$OS$42=1))&gt;0)</f>
        <v/>
      </c>
      <c r="OU10">
        <f>$OU$9+--($OT10)</f>
        <v/>
      </c>
      <c r="OV10">
        <f>IF(ROW()-3&gt;MAX($OU$4:$OU$40),"",INDEX($DZ$4:$DZ$40,MATCH(ROW()-3,$OU$4:$OU$40,0)))</f>
        <v/>
      </c>
      <c r="OW10">
        <f>IF(COUNTIF('Buyer Groups'!DG63:ED63,0)+COUNTIF('Buyer Groups'!EF63:EN63,0)&gt;0,0,1)</f>
        <v/>
      </c>
      <c r="OX10">
        <f>IF($EE$10="",FALSE,SUMPRODUCT(('Final Calculation Sheet'!$Y$4:$Y$40=$EE$10)*($OW$6:$OW$42=1))&gt;0)</f>
        <v/>
      </c>
      <c r="OY10">
        <f>$OY$9+--($OX10)</f>
        <v/>
      </c>
      <c r="OZ10">
        <f>IF(ROW()-3&gt;MAX($OY$4:$OY$40),"",INDEX($EE$4:$EE$40,MATCH(ROW()-3,$OY$4:$OY$40,0)))</f>
        <v/>
      </c>
      <c r="PA10">
        <f>IF(COUNTIF('Buyer Groups'!DG63:EE63,0)+COUNTIF('Buyer Groups'!EG63:EN63,0)&gt;0,0,1)</f>
        <v/>
      </c>
      <c r="PB10">
        <f>IF($EJ$10="",FALSE,SUMPRODUCT(('Final Calculation Sheet'!$Z$4:$Z$40=$EJ$10)*($PA$6:$PA$42=1))&gt;0)</f>
        <v/>
      </c>
      <c r="PC10">
        <f>$PC$9+--($PB10)</f>
        <v/>
      </c>
      <c r="PD10">
        <f>IF(ROW()-3&gt;MAX($PC$4:$PC$40),"",INDEX($EJ$4:$EJ$40,MATCH(ROW()-3,$PC$4:$PC$40,0)))</f>
        <v/>
      </c>
      <c r="PE10">
        <f>IF(COUNTIF('Buyer Groups'!DG63:EF63,0)+COUNTIF('Buyer Groups'!EH63:EN63,0)&gt;0,0,1)</f>
        <v/>
      </c>
      <c r="PF10">
        <f>IF($EO$10="",FALSE,SUMPRODUCT(('Final Calculation Sheet'!$AA$4:$AA$40=$EO$10)*($PE$6:$PE$42=1))&gt;0)</f>
        <v/>
      </c>
      <c r="PG10">
        <f>$PG$9+--($PF10)</f>
        <v/>
      </c>
      <c r="PH10">
        <f>IF(ROW()-3&gt;MAX($PG$4:$PG$40),"",INDEX($EO$4:$EO$40,MATCH(ROW()-3,$PG$4:$PG$40,0)))</f>
        <v/>
      </c>
      <c r="PI10">
        <f>IF(COUNTIF('Buyer Groups'!DG63:EG63,0)+COUNTIF('Buyer Groups'!EI63:EN63,0)&gt;0,0,1)</f>
        <v/>
      </c>
      <c r="PJ10">
        <f>IF($ET$10="",FALSE,SUMPRODUCT(('Final Calculation Sheet'!$AB$4:$AB$40=$ET$10)*($PI$6:$PI$42=1))&gt;0)</f>
        <v/>
      </c>
      <c r="PK10">
        <f>$PK$9+--($PJ10)</f>
        <v/>
      </c>
      <c r="PL10">
        <f>IF(ROW()-3&gt;MAX($PK$4:$PK$40),"",INDEX($ET$4:$ET$40,MATCH(ROW()-3,$PK$4:$PK$40,0)))</f>
        <v/>
      </c>
      <c r="PM10">
        <f>IF(COUNTIF('Buyer Groups'!DG63:EH63,0)+COUNTIF('Buyer Groups'!EJ63:EN63,0)&gt;0,0,1)</f>
        <v/>
      </c>
      <c r="PN10">
        <f>IF($EY$10="",FALSE,SUMPRODUCT(('Final Calculation Sheet'!$AC$4:$AC$40=$EY$10)*($PM$6:$PM$42=1))&gt;0)</f>
        <v/>
      </c>
      <c r="PO10">
        <f>$PO$9+--($PN10)</f>
        <v/>
      </c>
      <c r="PP10">
        <f>IF(ROW()-3&gt;MAX($PO$4:$PO$40),"",INDEX($EY$4:$EY$40,MATCH(ROW()-3,$PO$4:$PO$40,0)))</f>
        <v/>
      </c>
      <c r="PQ10">
        <f>IF(COUNTIF('Buyer Groups'!DG63:EI63,0)+COUNTIF('Buyer Groups'!EK63:EN63,0)&gt;0,0,1)</f>
        <v/>
      </c>
      <c r="PR10">
        <f>IF($FD$10="",FALSE,SUMPRODUCT(('Final Calculation Sheet'!$AD$4:$AD$40=$FD$10)*($PQ$6:$PQ$42=1))&gt;0)</f>
        <v/>
      </c>
      <c r="PS10">
        <f>$PS$9+--($PR10)</f>
        <v/>
      </c>
      <c r="PT10">
        <f>IF(ROW()-3&gt;MAX($PS$4:$PS$40),"",INDEX($FD$4:$FD$40,MATCH(ROW()-3,$PS$4:$PS$40,0)))</f>
        <v/>
      </c>
      <c r="PU10">
        <f>IF(COUNTIF('Buyer Groups'!DG63:EJ63,0)+COUNTIF('Buyer Groups'!EL63:EN63,0)&gt;0,0,1)</f>
        <v/>
      </c>
      <c r="PV10">
        <f>IF($FX$10="",FALSE,SUMPRODUCT((IF('Final Calculation Sheet'!$AD$4:$AD$40&lt;=5,"SETTLED","OUTSTANDING")=$FX$10)*($PU$6:$PU$42=1))&gt;0)</f>
        <v/>
      </c>
      <c r="PW10">
        <f>$PW$9+--($PV10)</f>
        <v/>
      </c>
      <c r="PX10">
        <f>IF(ROW()-3&gt;MAX($PW$4:$PW$40),"",INDEX($FX$4:$FX$40,MATCH(ROW()-3,$PW$4:$PW$40,0)))</f>
        <v/>
      </c>
      <c r="PY10">
        <f>IF(COUNTIF('Buyer Groups'!DG63:EK63,0)+COUNTIF('Buyer Groups'!EM63:EN63,0)&gt;0,0,1)</f>
        <v/>
      </c>
      <c r="PZ10">
        <f>IF($FI$10="",FALSE,SUMPRODUCT(('Final Calculation Sheet'!$AF$4:$AF$40=$FI$10)*($PY$6:$PY$42=1))&gt;0)</f>
        <v/>
      </c>
      <c r="QA10">
        <f>$QA$9+--($PZ10)</f>
        <v/>
      </c>
      <c r="QB10">
        <f>IF(ROW()-3&gt;MAX($QA$4:$QA$40),"",INDEX($FI$4:$FI$40,MATCH(ROW()-3,$QA$4:$QA$40,0)))</f>
        <v/>
      </c>
      <c r="QC10">
        <f>IF(COUNTIF('Buyer Groups'!DG63:EL63,0)+COUNTIF('Buyer Groups'!EN63:EN63,0)&gt;0,0,1)</f>
        <v/>
      </c>
      <c r="QD10">
        <f>IF($FN$10="",FALSE,SUMPRODUCT(('Final Calculation Sheet'!$AG$4:$AG$40=$FN$10)*($QC$6:$QC$42=1))&gt;0)</f>
        <v/>
      </c>
      <c r="QE10">
        <f>$QE$9+--($QD10)</f>
        <v/>
      </c>
      <c r="QF10">
        <f>IF(ROW()-3&gt;MAX($QE$4:$QE$40),"",INDEX($FN$4:$FN$40,MATCH(ROW()-3,$QE$4:$QE$40,0)))</f>
        <v/>
      </c>
      <c r="QG10">
        <f>IF(COUNTIF('Buyer Groups'!DG63:EM63,0)&gt;0,0,1)</f>
        <v/>
      </c>
      <c r="QH10">
        <f>IF($FS$10="",FALSE,SUMPRODUCT(('Final Calculation Sheet'!$AH$4:$AH$40=$FS$10)*($QG$6:$QG$42=1))&gt;0)</f>
        <v/>
      </c>
      <c r="QI10">
        <f>$QI$9+--($QH10)</f>
        <v/>
      </c>
      <c r="QJ10">
        <f>IF(ROW()-3&gt;MAX($QI$4:$QI$40),"",INDEX($FS$4:$FS$40,MATCH(ROW()-3,$QI$4:$QI$40,0)))</f>
        <v/>
      </c>
      <c r="QK10" t="str">
        <f>IF('Final Calculation Sheet'!$AH$10="","",'Final Calculation Sheet'!$AH$10)</f>
      </c>
      <c r="QL10" t="str">
        <f>IF(QK10="","",COUNTIFS(QK$4:QK$40,"&lt;"&amp;QK10,QK$4:QK$40,"&lt;&gt;"&amp;"")+COUNTIF(QK$4:QK10,QK10))</f>
      </c>
      <c r="QM10" t="str">
        <f>IF(ROW()-3&gt;COUNTIF(QK$4:QK$40,"&lt;&gt;"&amp;""),"",INDEX(QK$4:QK$40,MATCH(ROW()-3,QL$4:QL$40,0)))</f>
      </c>
      <c r="QN10" t="str">
        <f>=QN9+F(AND(QM10&lt;&gt;"",COUNTIF(QM$4:QM10,QM10)=1),1,0)</f>
      </c>
      <c r="QO10" t="str">
        <f>IF(ROW()-3&gt;MAX(QN$4:QN$40),"",INDEX(QM$4:QM$40,MATCH(ROW()-3,QN$4:QN$40,0)))</f>
      </c>
      <c r="QP10" t="str">
        <f>IF(COUNTIF('Final Calculation Sheet'!$AM10:$BS10,0)&gt;0,0,1)</f>
      </c>
      <c r="QQ10" t="str">
        <f>IF($AI$10="",FALSE,SUMPRODUCT(('Final Calculation Sheet'!$A$4:$A$40=$AI$10)*($QP$4:$QP$40=1))&gt;0)</f>
      </c>
      <c r="QR10" t="str">
        <f>=$QR9+--($QQ10)</f>
      </c>
      <c r="QS10" t="str">
        <f>IF(ROW()-3&gt;MAX($QR$4:$QR$40),"",INDEX($AI$4:$AI$40,MATCH(ROW()-3,$QR$4:$QR$40,0)))</f>
      </c>
      <c r="QT10" t="str">
        <f>IF(COUNTIF('Final Calculation Sheet'!$AL10:$AL10,0)+COUNTIF('Final Calculation Sheet'!$AN10:$BS10,0)&gt;0,0,1)</f>
      </c>
      <c r="QU10" t="str">
        <f>IF($Y$10="",FALSE,SUMPRODUCT(('Final Calculation Sheet'!$B$4:$B$40=$Y$10)*($QT$4:$QT$40=1))&gt;0)</f>
      </c>
      <c r="QV10" t="str">
        <f>=$QV9+--($QU10)</f>
      </c>
      <c r="QW10" t="str">
        <f>IF(ROW()-3&gt;MAX($QV$4:$QV$40),"",INDEX($Y$4:$Y$40,MATCH(ROW()-3,$QV$4:$QV$40,0)))</f>
      </c>
      <c r="QX10" t="str">
        <f>IF(COUNTIF('Final Calculation Sheet'!$AL10:$AM10,0)+COUNTIF('Final Calculation Sheet'!$AO10:$BS10,0)&gt;0,0,1)</f>
      </c>
      <c r="QY10" t="str">
        <f>IF($AS$10="",FALSE,SUMPRODUCT(('Final Calculation Sheet'!$C$4:$C$40=$AS$10)*($QX$4:$QX$40=1))&gt;0)</f>
      </c>
      <c r="QZ10" t="str">
        <f>=$QZ9+--($QY10)</f>
      </c>
      <c r="RA10" t="str">
        <f>IF(ROW()-3&gt;MAX($QZ$4:$QZ$40),"",INDEX($AS$4:$AS$40,MATCH(ROW()-3,$QZ$4:$QZ$40,0)))</f>
      </c>
      <c r="RB10" t="str">
        <f>IF(COUNTIF('Final Calculation Sheet'!$AL10:$AN10,0)+COUNTIF('Final Calculation Sheet'!$AP10:$BS10,0)&gt;0,0,1)</f>
      </c>
      <c r="RC10" t="str">
        <f>IF($AD$10="",FALSE,SUMPRODUCT(('Final Calculation Sheet'!$D$4:$D$40=$AD$10)*($RB$4:$RB$40=1))&gt;0)</f>
      </c>
      <c r="RD10" t="str">
        <f>=$RD9+--($RC10)</f>
      </c>
      <c r="RE10" t="str">
        <f>IF(ROW()-3&gt;MAX($RD$4:$RD$40),"",INDEX($AD$4:$AD$40,MATCH(ROW()-3,$RD$4:$RD$40,0)))</f>
      </c>
      <c r="RF10" t="str">
        <f>IF(COUNTIF('Final Calculation Sheet'!$AL10:$AO10,0)+COUNTIF('Final Calculation Sheet'!$AQ10:$BS10,0)&gt;0,0,1)</f>
      </c>
      <c r="RG10" t="str">
        <f>IF($AN$10="",FALSE,SUMPRODUCT(('Final Calculation Sheet'!$E$4:$E$40=$AN$10)*($RF$4:$RF$40=1))&gt;0)</f>
      </c>
      <c r="RH10" t="str">
        <f>=$RH9+--($RG10)</f>
      </c>
      <c r="RI10" t="str">
        <f>IF(ROW()-3&gt;MAX($RH$4:$RH$40),"",INDEX($AN$4:$AN$40,MATCH(ROW()-3,$RH$4:$RH$40,0)))</f>
      </c>
      <c r="RJ10" t="str">
        <f>IF(COUNTIF('Final Calculation Sheet'!$AL10:$AP10,0)+COUNTIF('Final Calculation Sheet'!$AR10:$BS10,0)&gt;0,0,1)</f>
      </c>
      <c r="RK10" t="str">
        <f>IF($O$10="",FALSE,SUMPRODUCT(('Final Calculation Sheet'!$F$4:$F$40=$O$10)*($RJ$4:$RJ$40=1))&gt;0)</f>
      </c>
      <c r="RL10" t="str">
        <f>=$RL9+--($RK10)</f>
      </c>
      <c r="RM10" t="str">
        <f>IF(ROW()-3&gt;MAX($RL$4:$RL$40),"",INDEX($O$4:$O$40,MATCH(ROW()-3,$RL$4:$RL$40,0)))</f>
      </c>
      <c r="RN10" t="str">
        <f>IF(COUNTIF('Final Calculation Sheet'!$AL10:$AQ10,0)+COUNTIF('Final Calculation Sheet'!$AS10:$BS10,0)&gt;0,0,1)</f>
      </c>
      <c r="RO10" t="str">
        <f>IF($T$10="",FALSE,SUMPRODUCT(('Final Calculation Sheet'!$G$4:$G$40=$T$10)*($RN$4:$RN$40=1))&gt;0)</f>
      </c>
      <c r="RP10" t="str">
        <f>=$RP9+--($RO10)</f>
      </c>
      <c r="RQ10" t="str">
        <f>IF(ROW()-3&gt;MAX($RP$4:$RP$40),"",INDEX($T$4:$T$40,MATCH(ROW()-3,$RP$4:$RP$40,0)))</f>
      </c>
      <c r="RR10" t="str">
        <f>IF(COUNTIF('Final Calculation Sheet'!$AL10:$AR10,0)+COUNTIF('Final Calculation Sheet'!$AT10:$BS10,0)&gt;0,0,1)</f>
      </c>
      <c r="RS10" t="str">
        <f>IF($AX$10="",FALSE,SUMPRODUCT(('Final Calculation Sheet'!$H$4:$H$40=$AX$10)*($RR$4:$RR$40=1))&gt;0)</f>
      </c>
      <c r="RT10" t="str">
        <f>=$RT9+--($RS10)</f>
      </c>
      <c r="RU10" t="str">
        <f>IF(ROW()-3&gt;MAX($RT$4:$RT$40),"",INDEX($AX$4:$AX$40,MATCH(ROW()-3,$RT$4:$RT$40,0)))</f>
      </c>
      <c r="RV10" t="str">
        <f>IF(COUNTIF('Final Calculation Sheet'!$AL10:$AS10,0)+COUNTIF('Final Calculation Sheet'!$AU10:$BS10,0)&gt;0,0,1)</f>
      </c>
      <c r="RW10" t="str">
        <f>IF($BC$10="",FALSE,SUMPRODUCT(('Final Calculation Sheet'!$I$4:$I$40=$BC$10)*($RV$4:$RV$40=1))&gt;0)</f>
      </c>
      <c r="RX10" t="str">
        <f>=$RX9+--($RW10)</f>
      </c>
      <c r="RY10" t="str">
        <f>IF(ROW()-3&gt;MAX($RX$4:$RX$40),"",INDEX($BC$4:$BC$40,MATCH(ROW()-3,$RX$4:$RX$40,0)))</f>
      </c>
      <c r="RZ10" t="str">
        <f>IF(COUNTIF('Final Calculation Sheet'!$AL10:$AT10,0)+COUNTIF('Final Calculation Sheet'!$AV10:$BS10,0)&gt;0,0,1)</f>
      </c>
      <c r="SA10" t="str">
        <f>IF($BH$10="",FALSE,SUMPRODUCT(('Final Calculation Sheet'!$J$4:$J$40=$BH$10)*($RZ$4:$RZ$40=1))&gt;0)</f>
      </c>
      <c r="SB10" t="str">
        <f>=$SB9+--($SA10)</f>
      </c>
      <c r="SC10" t="str">
        <f>IF(ROW()-3&gt;MAX($SB$4:$SB$40),"",INDEX($BH$4:$BH$40,MATCH(ROW()-3,$SB$4:$SB$40,0)))</f>
      </c>
      <c r="SD10" t="str">
        <f>IF(COUNTIF('Final Calculation Sheet'!$AL10:$AU10,0)+COUNTIF('Final Calculation Sheet'!$AW10:$BS10,0)&gt;0,0,1)</f>
      </c>
      <c r="SE10" t="str">
        <f>IF($BM$10="",FALSE,SUMPRODUCT(('Final Calculation Sheet'!$K$4:$K$40=$BM$10)*($SD$4:$SD$40=1))&gt;0)</f>
      </c>
      <c r="SF10" t="str">
        <f>=$SF9+--($SE10)</f>
      </c>
      <c r="SG10" t="str">
        <f>IF(ROW()-3&gt;MAX($SF$4:$SF$40),"",INDEX($BM$4:$BM$40,MATCH(ROW()-3,$SF$4:$SF$40,0)))</f>
      </c>
      <c r="SH10" t="str">
        <f>IF(COUNTIF('Final Calculation Sheet'!$AL10:$AV10,0)+COUNTIF('Final Calculation Sheet'!$AX10:$BS10,0)&gt;0,0,1)</f>
      </c>
      <c r="SI10" t="str">
        <f>IF($BR$10="",FALSE,SUMPRODUCT(('Final Calculation Sheet'!$L$4:$L$40=$BR$10)*($SH$4:$SH$40=1))&gt;0)</f>
      </c>
      <c r="SJ10" t="str">
        <f>=$SJ9+--($SI10)</f>
      </c>
      <c r="SK10" t="str">
        <f>IF(ROW()-3&gt;MAX($SJ$4:$SJ$40),"",INDEX($BR$4:$BR$40,MATCH(ROW()-3,$SJ$4:$SJ$40,0)))</f>
      </c>
      <c r="SL10" t="str">
        <f>IF(COUNTIF('Final Calculation Sheet'!$AL10:$AW10,0)+COUNTIF('Final Calculation Sheet'!$AY10:$BS10,0)&gt;0,0,1)</f>
      </c>
      <c r="SM10" t="str">
        <f>IF($BW$10="",FALSE,SUMPRODUCT(('Final Calculation Sheet'!$M$4:$M$40=$BW$10)*($SL$4:$SL$40=1))&gt;0)</f>
      </c>
      <c r="SN10" t="str">
        <f>=$SN9+--($SM10)</f>
      </c>
      <c r="SO10" t="str">
        <f>IF(ROW()-3&gt;MAX($SN$4:$SN$40),"",INDEX($BW$4:$BW$40,MATCH(ROW()-3,$SN$4:$SN$40,0)))</f>
      </c>
      <c r="SP10" t="str">
        <f>IF(COUNTIF('Final Calculation Sheet'!$AL10:$AX10,0)+COUNTIF('Final Calculation Sheet'!$AZ10:$BS10,0)&gt;0,0,1)</f>
      </c>
      <c r="SQ10" t="str">
        <f>IF($CB$10="",FALSE,SUMPRODUCT(('Final Calculation Sheet'!$N$4:$N$40=$CB$10)*($SP$4:$SP$40=1))&gt;0)</f>
      </c>
      <c r="SR10" t="str">
        <f>=$SR9+--($SQ10)</f>
      </c>
      <c r="SS10" t="str">
        <f>IF(ROW()-3&gt;MAX($SR$4:$SR$40),"",INDEX($CB$4:$CB$40,MATCH(ROW()-3,$SR$4:$SR$40,0)))</f>
      </c>
      <c r="ST10" t="str">
        <f>IF(COUNTIF('Final Calculation Sheet'!$AL10:$AY10,0)+COUNTIF('Final Calculation Sheet'!$BA10:$BS10,0)&gt;0,0,1)</f>
      </c>
      <c r="SU10" t="str">
        <f>IF($CG$10="",FALSE,SUMPRODUCT(('Final Calculation Sheet'!$O$4:$O$40=$CG$10)*($ST$4:$ST$40=1))&gt;0)</f>
      </c>
      <c r="SV10" t="str">
        <f>=$SV9+--($SU10)</f>
      </c>
      <c r="SW10" t="str">
        <f>IF(ROW()-3&gt;MAX($SV$4:$SV$40),"",INDEX($CG$4:$CG$40,MATCH(ROW()-3,$SV$4:$SV$40,0)))</f>
      </c>
      <c r="SX10" t="str">
        <f>IF(COUNTIF('Final Calculation Sheet'!$AL10:$AZ10,0)+COUNTIF('Final Calculation Sheet'!$BB10:$BS10,0)&gt;0,0,1)</f>
      </c>
      <c r="SY10" t="str">
        <f>IF($CL$10="",FALSE,SUMPRODUCT(('Final Calculation Sheet'!$P$4:$P$40=$CL$10)*($SX$4:$SX$40=1))&gt;0)</f>
      </c>
      <c r="SZ10" t="str">
        <f>=$SZ9+--($SY10)</f>
      </c>
      <c r="TA10" t="str">
        <f>IF(ROW()-3&gt;MAX($SZ$4:$SZ$40),"",INDEX($CL$4:$CL$40,MATCH(ROW()-3,$SZ$4:$SZ$40,0)))</f>
      </c>
      <c r="TB10" t="str">
        <f>IF(COUNTIF('Final Calculation Sheet'!$AL10:$BA10,0)+COUNTIF('Final Calculation Sheet'!$BC10:$BS10,0)&gt;0,0,1)</f>
      </c>
      <c r="TC10" t="str">
        <f>IF($CQ$10="",FALSE,SUMPRODUCT(('Final Calculation Sheet'!$Q$4:$Q$40=$CQ$10)*($TB$4:$TB$40=1))&gt;0)</f>
      </c>
      <c r="TD10" t="str">
        <f>=$TD9+--($TC10)</f>
      </c>
      <c r="TE10" t="str">
        <f>IF(ROW()-3&gt;MAX($TD$4:$TD$40),"",INDEX($CQ$4:$CQ$40,MATCH(ROW()-3,$TD$4:$TD$40,0)))</f>
      </c>
      <c r="TF10" t="str">
        <f>IF(COUNTIF('Final Calculation Sheet'!$AL10:$BB10,0)+COUNTIF('Final Calculation Sheet'!$BD10:$BS10,0)&gt;0,0,1)</f>
      </c>
      <c r="TG10" t="str">
        <f>IF($CV$10="",FALSE,SUMPRODUCT(('Final Calculation Sheet'!$R$4:$R$40=$CV$10)*($TF$4:$TF$40=1))&gt;0)</f>
      </c>
      <c r="TH10" t="str">
        <f>=$TH9+--($TG10)</f>
      </c>
      <c r="TI10" t="str">
        <f>IF(ROW()-3&gt;MAX($TH$4:$TH$40),"",INDEX($CV$4:$CV$40,MATCH(ROW()-3,$TH$4:$TH$40,0)))</f>
      </c>
      <c r="TJ10" t="str">
        <f>IF(COUNTIF('Final Calculation Sheet'!$AL10:$BC10,0)+COUNTIF('Final Calculation Sheet'!$BE10:$BS10,0)&gt;0,0,1)</f>
      </c>
      <c r="TK10" t="str">
        <f>IF($DA$10="",FALSE,SUMPRODUCT(('Final Calculation Sheet'!$S$4:$S$40=$DA$10)*($TJ$4:$TJ$40=1))&gt;0)</f>
      </c>
      <c r="TL10" t="str">
        <f>=$TL9+--($TK10)</f>
      </c>
      <c r="TM10" t="str">
        <f>IF(ROW()-3&gt;MAX($TL$4:$TL$40),"",INDEX($DA$4:$DA$40,MATCH(ROW()-3,$TL$4:$TL$40,0)))</f>
      </c>
      <c r="TN10" t="str">
        <f>IF(COUNTIF('Final Calculation Sheet'!$AL10:$BD10,0)+COUNTIF('Final Calculation Sheet'!$BF10:$BS10,0)&gt;0,0,1)</f>
      </c>
      <c r="TO10" t="str">
        <f>IF($DF$10="",FALSE,SUMPRODUCT(('Final Calculation Sheet'!$T$4:$T$40=$DF$10)*($TN$4:$TN$40=1))&gt;0)</f>
      </c>
      <c r="TP10" t="str">
        <f>=$TP9+--($TO10)</f>
      </c>
      <c r="TQ10" t="str">
        <f>IF(ROW()-3&gt;MAX($TP$4:$TP$40),"",INDEX($DF$4:$DF$40,MATCH(ROW()-3,$TP$4:$TP$40,0)))</f>
      </c>
      <c r="TR10" t="str">
        <f>IF(COUNTIF('Final Calculation Sheet'!$AL10:$BE10,0)+COUNTIF('Final Calculation Sheet'!$BG10:$BS10,0)&gt;0,0,1)</f>
      </c>
      <c r="TS10" t="str">
        <f>IF($DK$10="",FALSE,SUMPRODUCT(('Final Calculation Sheet'!$U$4:$U$40=$DK$10)*($TR$4:$TR$40=1))&gt;0)</f>
      </c>
      <c r="TT10" t="str">
        <f>=$TT9+--($TS10)</f>
      </c>
      <c r="TU10" t="str">
        <f>IF(ROW()-3&gt;MAX($TT$4:$TT$40),"",INDEX($DK$4:$DK$40,MATCH(ROW()-3,$TT$4:$TT$40,0)))</f>
      </c>
      <c r="TV10" t="str">
        <f>IF(COUNTIF('Final Calculation Sheet'!$AL10:$BF10,0)+COUNTIF('Final Calculation Sheet'!$BH10:$BS10,0)&gt;0,0,1)</f>
      </c>
      <c r="TW10" t="str">
        <f>IF($DP$10="",FALSE,SUMPRODUCT(('Final Calculation Sheet'!$V$4:$V$40=$DP$10)*($TV$4:$TV$40=1))&gt;0)</f>
      </c>
      <c r="TX10" t="str">
        <f>=$TX9+--($TW10)</f>
      </c>
      <c r="TY10" t="str">
        <f>IF(ROW()-3&gt;MAX($TX$4:$TX$40),"",INDEX($DP$4:$DP$40,MATCH(ROW()-3,$TX$4:$TX$40,0)))</f>
      </c>
      <c r="TZ10" t="str">
        <f>IF(COUNTIF('Final Calculation Sheet'!$AL10:$BG10,0)+COUNTIF('Final Calculation Sheet'!$BI10:$BS10,0)&gt;0,0,1)</f>
      </c>
      <c r="UA10" t="str">
        <f>IF($DU$10="",FALSE,SUMPRODUCT(('Final Calculation Sheet'!$W$4:$W$40=$DU$10)*($TZ$4:$TZ$40=1))&gt;0)</f>
      </c>
      <c r="UB10" t="str">
        <f>=$UB9+--($UA10)</f>
      </c>
      <c r="UC10" t="str">
        <f>IF(ROW()-3&gt;MAX($UB$4:$UB$40),"",INDEX($DU$4:$DU$40,MATCH(ROW()-3,$UB$4:$UB$40,0)))</f>
      </c>
      <c r="UD10" t="str">
        <f>IF(COUNTIF('Final Calculation Sheet'!$AL10:$BH10,0)+COUNTIF('Final Calculation Sheet'!$BJ10:$BS10,0)&gt;0,0,1)</f>
      </c>
      <c r="UE10" t="str">
        <f>IF($DZ$10="",FALSE,SUMPRODUCT(('Final Calculation Sheet'!$X$4:$X$40=$DZ$10)*($UD$4:$UD$40=1))&gt;0)</f>
      </c>
      <c r="UF10" t="str">
        <f>=$UF9+--($UE10)</f>
      </c>
      <c r="UG10" t="str">
        <f>IF(ROW()-3&gt;MAX($UF$4:$UF$40),"",INDEX($DZ$4:$DZ$40,MATCH(ROW()-3,$UF$4:$UF$40,0)))</f>
      </c>
      <c r="UH10" t="str">
        <f>IF(COUNTIF('Final Calculation Sheet'!$AL10:$BI10,0)+COUNTIF('Final Calculation Sheet'!$BK10:$BS10,0)&gt;0,0,1)</f>
      </c>
      <c r="UI10" t="str">
        <f>IF($EE$10="",FALSE,SUMPRODUCT(('Final Calculation Sheet'!$Y$4:$Y$40=$EE$10)*($UH$4:$UH$40=1))&gt;0)</f>
      </c>
      <c r="UJ10" t="str">
        <f>=$UJ9+--($UI10)</f>
      </c>
      <c r="UK10" t="str">
        <f>IF(ROW()-3&gt;MAX($UJ$4:$UJ$40),"",INDEX($EE$4:$EE$40,MATCH(ROW()-3,$UJ$4:$UJ$40,0)))</f>
      </c>
      <c r="UL10" t="str">
        <f>IF(COUNTIF('Final Calculation Sheet'!$AL10:$BJ10,0)+COUNTIF('Final Calculation Sheet'!$BL10:$BS10,0)&gt;0,0,1)</f>
      </c>
      <c r="UM10" t="str">
        <f>IF($EJ$10="",FALSE,SUMPRODUCT(('Final Calculation Sheet'!$Z$4:$Z$40=$EJ$10)*($UL$4:$UL$40=1))&gt;0)</f>
      </c>
      <c r="UN10" t="str">
        <f>=$UN9+--($UM10)</f>
      </c>
      <c r="UO10" t="str">
        <f>IF(ROW()-3&gt;MAX($UN$4:$UN$40),"",INDEX($EJ$4:$EJ$40,MATCH(ROW()-3,$UN$4:$UN$40,0)))</f>
      </c>
      <c r="UP10" t="str">
        <f>IF(COUNTIF('Final Calculation Sheet'!$AL10:$BK10,0)+COUNTIF('Final Calculation Sheet'!$BM10:$BS10,0)&gt;0,0,1)</f>
      </c>
      <c r="UQ10" t="str">
        <f>IF($EO$10="",FALSE,SUMPRODUCT(('Final Calculation Sheet'!$AA$4:$AA$40=$EO$10)*($UP$4:$UP$40=1))&gt;0)</f>
      </c>
      <c r="UR10" t="str">
        <f>=$UR9+--($UQ10)</f>
      </c>
      <c r="US10" t="str">
        <f>IF(ROW()-3&gt;MAX($UR$4:$UR$40),"",INDEX($EO$4:$EO$40,MATCH(ROW()-3,$UR$4:$UR$40,0)))</f>
      </c>
      <c r="UT10" t="str">
        <f>IF(COUNTIF('Final Calculation Sheet'!$AL10:$BL10,0)+COUNTIF('Final Calculation Sheet'!$BN10:$BS10,0)&gt;0,0,1)</f>
      </c>
      <c r="UU10" t="str">
        <f>IF($ET$10="",FALSE,SUMPRODUCT(('Final Calculation Sheet'!$AB$4:$AB$40=$ET$10)*($UT$4:$UT$40=1))&gt;0)</f>
      </c>
      <c r="UV10" t="str">
        <f>=$UV9+--($UU10)</f>
      </c>
      <c r="UW10" t="str">
        <f>IF(ROW()-3&gt;MAX($UV$4:$UV$40),"",INDEX($ET$4:$ET$40,MATCH(ROW()-3,$UV$4:$UV$40,0)))</f>
      </c>
      <c r="UX10" t="str">
        <f>IF(COUNTIF('Final Calculation Sheet'!$AL10:$BM10,0)+COUNTIF('Final Calculation Sheet'!$BO10:$BS10,0)&gt;0,0,1)</f>
      </c>
      <c r="UY10" t="str">
        <f>IF($EY$10="",FALSE,SUMPRODUCT(('Final Calculation Sheet'!$AC$4:$AC$40=$EY$10)*($UX$4:$UX$40=1))&gt;0)</f>
      </c>
      <c r="UZ10" t="str">
        <f>=$UZ9+--($UY10)</f>
      </c>
      <c r="VA10" t="str">
        <f>IF(ROW()-3&gt;MAX($UZ$4:$UZ$40),"",INDEX($EY$4:$EY$40,MATCH(ROW()-3,$UZ$4:$UZ$40,0)))</f>
      </c>
      <c r="VB10" t="str">
        <f>IF(COUNTIF('Final Calculation Sheet'!$AL10:$BN10,0)+COUNTIF('Final Calculation Sheet'!$BP10:$BS10,0)&gt;0,0,1)</f>
      </c>
      <c r="VC10" t="str">
        <f>IF($FD$10="",FALSE,SUMPRODUCT(('Final Calculation Sheet'!$AD$4:$AD$40=$FD$10)*($VB$4:$VB$40=1))&gt;0)</f>
      </c>
      <c r="VD10" t="str">
        <f>=$VD9+--($VC10)</f>
      </c>
      <c r="VE10" t="str">
        <f>IF(ROW()-3&gt;MAX($VD$4:$VD$40),"",INDEX($FD$4:$FD$40,MATCH(ROW()-3,$VD$4:$VD$40,0)))</f>
      </c>
      <c r="VF10" t="str">
        <f>IF(COUNTIF('Final Calculation Sheet'!$AL10:$BO10,0)+COUNTIF('Final Calculation Sheet'!$BQ10:$BS10,0)&gt;0,0,1)</f>
      </c>
      <c r="VG10" t="str">
        <f>IF($FI$10="",FALSE,SUMPRODUCT(('Final Calculation Sheet'!$AE$4:$AE$40=$FI$10)*($VF$4:$VF$40=1))&gt;0)</f>
      </c>
      <c r="VH10" t="str">
        <f>=$VH9+--($VG10)</f>
      </c>
      <c r="VI10" t="str">
        <f>IF(ROW()-3&gt;MAX($VH$4:$VH$40),"",INDEX($FI$4:$FI$40,MATCH(ROW()-3,$VH$4:$VH$40,0)))</f>
      </c>
      <c r="VJ10" t="str">
        <f>IF(COUNTIF('Final Calculation Sheet'!$AL10:$BP10,0)+COUNTIF('Final Calculation Sheet'!$BR10:$BS10,0)&gt;0,0,1)</f>
      </c>
      <c r="VK10" t="str">
        <f>IF($FN$10="",FALSE,SUMPRODUCT(('Final Calculation Sheet'!$AF$4:$AF$40=$FN$10)*($VJ$4:$VJ$40=1))&gt;0)</f>
      </c>
      <c r="VL10" t="str">
        <f>=$VL9+--($VK10)</f>
      </c>
      <c r="VM10" t="str">
        <f>IF(ROW()-3&gt;MAX($VL$4:$VL$40),"",INDEX($FN$4:$FN$40,MATCH(ROW()-3,$VL$4:$VL$40,0)))</f>
      </c>
      <c r="VN10" t="str">
        <f>IF(COUNTIF('Final Calculation Sheet'!$AL10:$BQ10,0)+COUNTIF('Final Calculation Sheet'!$BS10:$BS10,0)&gt;0,0,1)</f>
      </c>
      <c r="VO10" t="str">
        <f>IF($FS$10="",FALSE,SUMPRODUCT(('Final Calculation Sheet'!$AG$4:$AG$40=$FS$10)*($VN$4:$VN$40=1))&gt;0)</f>
      </c>
      <c r="VP10" t="str">
        <f>=$VP9+--($VO10)</f>
      </c>
      <c r="VQ10" t="str">
        <f>IF(ROW()-3&gt;MAX($VP$4:$VP$40),"",INDEX($FS$4:$FS$40,MATCH(ROW()-3,$VP$4:$VP$40,0)))</f>
      </c>
      <c r="VR10" t="str">
        <f>IF(COUNTIF('Final Calculation Sheet'!$AL10:$BR10,0)&gt;0,0,1)</f>
      </c>
      <c r="VS10" t="str">
        <f>IF($QO$10="",FALSE,SUMPRODUCT(('Final Calculation Sheet'!$AH$4:$AH$40=$QO$10)*($VR$4:$VR$40=1))&gt;0)</f>
      </c>
      <c r="VT10" t="str">
        <f>=$VT9+--($VS10)</f>
      </c>
      <c r="VU10" t="str">
        <f>IF(ROW()-3&gt;MAX($VT$4:$VT$40),"",INDEX($QO$4:$QO$40,MATCH(ROW()-3,$VT$4:$VT$40,0)))</f>
      </c>
    </row>
    <row r="11">
      <c r="A11">
        <f>IF(IFERROR('Final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IF(IFERROR('Final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s="55">
        <f>IF('Final Calculation Sheet'!$C$11="","",'Final Calculation Sheet'!$C$11)</f>
        <v/>
      </c>
      <c r="AP11">
        <f>IF(AO11="","",COUNTIFS(AO$4:AO$40,"&lt;"&amp;AO11,AO$4:AO$40,"&lt;&gt;"&amp;"")+COUNTIF(AO$4:AO11,AO11))</f>
        <v/>
      </c>
      <c r="AQ11" s="55">
        <f>IF(ROW()-3&gt;COUNTIF(AO$4:AO$40,"&lt;&gt;"&amp;""),"",INDEX(AO$4:AO$40,MATCH(ROW()-3,AP$4:AP$40,0)))</f>
        <v/>
      </c>
      <c r="AR11">
        <f>AR10+IF(AND(AQ11&lt;&gt;"",COUNTIF(AQ$4:AQ11,AQ11)=1),1,0)</f>
        <v/>
      </c>
      <c r="AS11" s="55">
        <f>IF(ROW()-3&gt;MAX(AR$4:AR$40),"",INDEX(AQ$4:AQ$40,MATCH(ROW()-3,AR$4:AR$40,0)))</f>
        <v/>
      </c>
      <c r="AT11" s="55">
        <f>IF('Final Calculation Sheet'!$H$11="","",'Final Calculation Sheet'!$H$11)</f>
        <v/>
      </c>
      <c r="AU11">
        <f>IF(AT11="","",COUNTIFS(AT$4:AT$40,"&lt;"&amp;AT11,AT$4:AT$40,"&lt;&gt;"&amp;"")+COUNTIF(AT$4:AT11,AT11))</f>
        <v/>
      </c>
      <c r="AV11" s="55">
        <f>IF(ROW()-3&gt;COUNTIF(AT$4:AT$40,"&lt;&gt;"&amp;""),"",INDEX(AT$4:AT$40,MATCH(ROW()-3,AU$4:AU$40,0)))</f>
        <v/>
      </c>
      <c r="AW11">
        <f>AW10+IF(AND(AV11&lt;&gt;"",COUNTIF(AV$4:AV11,AV11)=1),1,0)</f>
        <v/>
      </c>
      <c r="AX11" s="55">
        <f>IF(ROW()-3&gt;MAX(AW$4:AW$40),"",INDEX(AV$4:AV$40,MATCH(ROW()-3,AW$4:AW$40,0)))</f>
        <v/>
      </c>
      <c r="AY11" s="55">
        <f>IF('Final Calculation Sheet'!$I$11="","",'Final Calculation Sheet'!$I$11)</f>
        <v/>
      </c>
      <c r="AZ11">
        <f>IF(AY11="","",COUNTIFS(AY$4:AY$40,"&lt;"&amp;AY11,AY$4:AY$40,"&lt;&gt;"&amp;"")+COUNTIF(AY$4:AY11,AY11))</f>
        <v/>
      </c>
      <c r="BA11" s="55">
        <f>IF(ROW()-3&gt;COUNTIF(AY$4:AY$40,"&lt;&gt;"&amp;""),"",INDEX(AY$4:AY$40,MATCH(ROW()-3,AZ$4:AZ$40,0)))</f>
        <v/>
      </c>
      <c r="BB11">
        <f>BB10+IF(AND(BA11&lt;&gt;"",COUNTIF(BA$4:BA11,BA11)=1),1,0)</f>
        <v/>
      </c>
      <c r="BC11" s="55">
        <f>IF(ROW()-3&gt;MAX(BB$4:BB$40),"",INDEX(BA$4:BA$40,MATCH(ROW()-3,BB$4:BB$40,0)))</f>
        <v/>
      </c>
      <c r="BD11" s="55">
        <f>IF('Final Calculation Sheet'!$J$11="","",'Final Calculation Sheet'!$J$11)</f>
        <v/>
      </c>
      <c r="BE11">
        <f>IF(BD11="","",COUNTIFS(BD$4:BD$40,"&lt;"&amp;BD11,BD$4:BD$40,"&lt;&gt;"&amp;"")+COUNTIF(BD$4:BD11,BD11))</f>
        <v/>
      </c>
      <c r="BF11" s="55">
        <f>IF(ROW()-3&gt;COUNTIF(BD$4:BD$40,"&lt;&gt;"&amp;""),"",INDEX(BD$4:BD$40,MATCH(ROW()-3,BE$4:BE$40,0)))</f>
        <v/>
      </c>
      <c r="BG11">
        <f>BG10+IF(AND(BF11&lt;&gt;"",COUNTIF(BF$4:BF11,BF11)=1),1,0)</f>
        <v/>
      </c>
      <c r="BH11" s="55">
        <f>IF(ROW()-3&gt;MAX(BG$4:BG$40),"",INDEX(BF$4:BF$40,MATCH(ROW()-3,BG$4:BG$40,0)))</f>
        <v/>
      </c>
      <c r="BI11" s="55">
        <f>IF('Final Calculation Sheet'!$K$11="","",'Final Calculation Sheet'!$K$11)</f>
        <v/>
      </c>
      <c r="BJ11">
        <f>IF(BI11="","",COUNTIFS(BI$4:BI$40,"&lt;"&amp;BI11,BI$4:BI$40,"&lt;&gt;"&amp;"")+COUNTIF(BI$4:BI11,BI11))</f>
        <v/>
      </c>
      <c r="BK11" s="55">
        <f>IF(ROW()-3&gt;COUNTIF(BI$4:BI$40,"&lt;&gt;"&amp;""),"",INDEX(BI$4:BI$40,MATCH(ROW()-3,BJ$4:BJ$40,0)))</f>
        <v/>
      </c>
      <c r="BL11">
        <f>BL10+IF(AND(BK11&lt;&gt;"",COUNTIF(BK$4:BK11,BK11)=1),1,0)</f>
        <v/>
      </c>
      <c r="BM11" s="55">
        <f>IF(ROW()-3&gt;MAX(BL$4:BL$40),"",INDEX(BK$4:BK$40,MATCH(ROW()-3,BL$4:BL$40,0)))</f>
        <v/>
      </c>
      <c r="BN11" s="55">
        <f>IF('Final Calculation Sheet'!$L$11="","",'Final Calculation Sheet'!$L$11)</f>
        <v/>
      </c>
      <c r="BO11">
        <f>IF(BN11="","",COUNTIFS(BN$4:BN$40,"&lt;"&amp;BN11,BN$4:BN$40,"&lt;&gt;"&amp;"")+COUNTIF(BN$4:BN11,BN11))</f>
        <v/>
      </c>
      <c r="BP11" s="55">
        <f>IF(ROW()-3&gt;COUNTIF(BN$4:BN$40,"&lt;&gt;"&amp;""),"",INDEX(BN$4:BN$40,MATCH(ROW()-3,BO$4:BO$40,0)))</f>
        <v/>
      </c>
      <c r="BQ11">
        <f>BQ10+IF(AND(BP11&lt;&gt;"",COUNTIF(BP$4:BP11,BP11)=1),1,0)</f>
        <v/>
      </c>
      <c r="BR11" s="55">
        <f>IF(ROW()-3&gt;MAX(BQ$4:BQ$40),"",INDEX(BP$4:BP$40,MATCH(ROW()-3,BQ$4:BQ$40,0)))</f>
        <v/>
      </c>
      <c r="BS11" s="55">
        <f>IF('Final Calculation Sheet'!$M$11="","",'Final Calculation Sheet'!$M$11)</f>
        <v/>
      </c>
      <c r="BT11">
        <f>IF(BS11="","",COUNTIFS(BS$4:BS$40,"&lt;"&amp;BS11,BS$4:BS$40,"&lt;&gt;"&amp;"")+COUNTIF(BS$4:BS11,BS11))</f>
        <v/>
      </c>
      <c r="BU11" s="55">
        <f>IF(ROW()-3&gt;COUNTIF(BS$4:BS$40,"&lt;&gt;"&amp;""),"",INDEX(BS$4:BS$40,MATCH(ROW()-3,BT$4:BT$40,0)))</f>
        <v/>
      </c>
      <c r="BV11">
        <f>BV10+IF(AND(BU11&lt;&gt;"",COUNTIF(BU$4:BU11,BU11)=1),1,0)</f>
        <v/>
      </c>
      <c r="BW11" s="55">
        <f>IF(ROW()-3&gt;MAX(BV$4:BV$40),"",INDEX(BU$4:BU$40,MATCH(ROW()-3,BV$4:BV$40,0)))</f>
        <v/>
      </c>
      <c r="BX11" s="138">
        <f>IF('Final Calculation Sheet'!$N$11="","",'Final Calculation Sheet'!$N$11)</f>
        <v/>
      </c>
      <c r="BY11">
        <f>IF(BX11="","",COUNTIFS(BX$4:BX$40,"&lt;"&amp;BX11,BX$4:BX$40,"&lt;&gt;"&amp;"")+COUNTIF(BX$4:BX11,BX11))</f>
        <v/>
      </c>
      <c r="BZ11" s="138">
        <f>IF(ROW()-3&gt;COUNTIF(BX$4:BX$40,"&lt;&gt;"&amp;""),"",INDEX(BX$4:BX$40,MATCH(ROW()-3,BY$4:BY$40,0)))</f>
        <v/>
      </c>
      <c r="CA11">
        <f>CA10+IF(AND(BZ11&lt;&gt;"",COUNTIF(BZ$4:BZ11,BZ11)=1),1,0)</f>
        <v/>
      </c>
      <c r="CB11" s="138">
        <f>IF(ROW()-3&gt;MAX(CA$4:CA$40),"",INDEX(BZ$4:BZ$40,MATCH(ROW()-3,CA$4:CA$40,0)))</f>
        <v/>
      </c>
      <c r="CC11" s="55">
        <f>IF('Final Calculation Sheet'!$O$11="","",'Final Calculation Sheet'!$O$11)</f>
        <v/>
      </c>
      <c r="CD11">
        <f>IF(CC11="","",COUNTIFS(CC$4:CC$40,"&lt;"&amp;CC11,CC$4:CC$40,"&lt;&gt;"&amp;"")+COUNTIF(CC$4:CC11,CC11))</f>
        <v/>
      </c>
      <c r="CE11" s="55">
        <f>IF(ROW()-3&gt;COUNTIF(CC$4:CC$40,"&lt;&gt;"&amp;""),"",INDEX(CC$4:CC$40,MATCH(ROW()-3,CD$4:CD$40,0)))</f>
        <v/>
      </c>
      <c r="CF11">
        <f>CF10+IF(AND(CE11&lt;&gt;"",COUNTIF(CE$4:CE11,CE11)=1),1,0)</f>
        <v/>
      </c>
      <c r="CG11" s="55">
        <f>IF(ROW()-3&gt;MAX(CF$4:CF$40),"",INDEX(CE$4:CE$40,MATCH(ROW()-3,CF$4:CF$40,0)))</f>
        <v/>
      </c>
      <c r="CH11" s="55">
        <f>IF('Final Calculation Sheet'!$P$11="","",'Final Calculation Sheet'!$P$11)</f>
        <v/>
      </c>
      <c r="CI11">
        <f>IF(CH11="","",COUNTIFS(CH$4:CH$40,"&lt;"&amp;CH11,CH$4:CH$40,"&lt;&gt;"&amp;"")+COUNTIF(CH$4:CH11,CH11))</f>
        <v/>
      </c>
      <c r="CJ11" s="55">
        <f>IF(ROW()-3&gt;COUNTIF(CH$4:CH$40,"&lt;&gt;"&amp;""),"",INDEX(CH$4:CH$40,MATCH(ROW()-3,CI$4:CI$40,0)))</f>
        <v/>
      </c>
      <c r="CK11">
        <f>CK10+IF(AND(CJ11&lt;&gt;"",COUNTIF(CJ$4:CJ11,CJ11)=1),1,0)</f>
        <v/>
      </c>
      <c r="CL11" s="55">
        <f>IF(ROW()-3&gt;MAX(CK$4:CK$40),"",INDEX(CJ$4:CJ$40,MATCH(ROW()-3,CK$4:CK$40,0)))</f>
        <v/>
      </c>
      <c r="CM11" s="139">
        <f>IF('Final Calculation Sheet'!$Q$11="","",'Final Calculation Sheet'!$Q$11)</f>
        <v/>
      </c>
      <c r="CN11">
        <f>IF(CM11="","",COUNTIFS(CM$4:CM$40,"&lt;"&amp;CM11,CM$4:CM$40,"&lt;&gt;"&amp;"")+COUNTIF(CM$4:CM11,CM11))</f>
        <v/>
      </c>
      <c r="CO11" s="139">
        <f>IF(ROW()-3&gt;COUNTIF(CM$4:CM$40,"&lt;&gt;"&amp;""),"",INDEX(CM$4:CM$40,MATCH(ROW()-3,CN$4:CN$40,0)))</f>
        <v/>
      </c>
      <c r="CP11">
        <f>CP10+IF(AND(CO11&lt;&gt;"",COUNTIF(CO$4:CO11,CO11)=1),1,0)</f>
        <v/>
      </c>
      <c r="CQ11">
        <f>IF(ROW()-3&gt;MAX(CP$4:CP$40),"",INDEX(CO$4:CO$40,MATCH(ROW()-3,CP$4:CP$40,0)))</f>
        <v/>
      </c>
      <c r="CR11" s="55">
        <f>IF('Final Calculation Sheet'!$R$11="","",'Final Calculation Sheet'!$R$11)</f>
        <v/>
      </c>
      <c r="CS11">
        <f>IF(CR11="","",COUNTIFS(CR$4:CR$40,"&lt;"&amp;CR11,CR$4:CR$40,"&lt;&gt;"&amp;"")+COUNTIF(CR$4:CR11,CR11))</f>
        <v/>
      </c>
      <c r="CT11" s="55">
        <f>IF(ROW()-3&gt;COUNTIF(CR$4:CR$40,"&lt;&gt;"&amp;""),"",INDEX(CR$4:CR$40,MATCH(ROW()-3,CS$4:CS$40,0)))</f>
        <v/>
      </c>
      <c r="CU11">
        <f>CU10+IF(AND(CT11&lt;&gt;"",COUNTIF(CT$4:CT11,CT11)=1),1,0)</f>
        <v/>
      </c>
      <c r="CV11">
        <f>IF(ROW()-3&gt;MAX(CU$4:CU$40),"",INDEX(CT$4:CT$40,MATCH(ROW()-3,CU$4:CU$40,0)))</f>
        <v/>
      </c>
      <c r="CW11" s="55">
        <f>IF('Final Calculation Sheet'!$S$11="","",'Final Calculation Sheet'!$S$11)</f>
        <v/>
      </c>
      <c r="CX11">
        <f>IF(CW11="","",COUNTIFS(CW$4:CW$40,"&lt;"&amp;CW11,CW$4:CW$40,"&lt;&gt;"&amp;"")+COUNTIF(CW$4:CW11,CW11))</f>
        <v/>
      </c>
      <c r="CY11" s="55">
        <f>IF(ROW()-3&gt;COUNTIF(CW$4:CW$40,"&lt;&gt;"&amp;""),"",INDEX(CW$4:CW$40,MATCH(ROW()-3,CX$4:CX$40,0)))</f>
        <v/>
      </c>
      <c r="CZ11">
        <f>CZ10+IF(AND(CY11&lt;&gt;"",COUNTIF(CY$4:CY11,CY11)=1),1,0)</f>
        <v/>
      </c>
      <c r="DA11" s="55">
        <f>IF(ROW()-3&gt;MAX(CZ$4:CZ$40),"",INDEX(CY$4:CY$40,MATCH(ROW()-3,CZ$4:CZ$40,0)))</f>
        <v/>
      </c>
      <c r="DB11" s="55">
        <f>IF('Final Calculation Sheet'!$T$11="","",'Final Calculation Sheet'!$T$11)</f>
        <v/>
      </c>
      <c r="DC11">
        <f>IF(DB11="","",COUNTIFS(DB$4:DB$40,"&lt;"&amp;DB11,DB$4:DB$40,"&lt;&gt;"&amp;"")+COUNTIF(DB$4:DB11,DB11))</f>
        <v/>
      </c>
      <c r="DD11" s="55">
        <f>IF(ROW()-3&gt;COUNTIF(DB$4:DB$40,"&lt;&gt;"&amp;""),"",INDEX(DB$4:DB$40,MATCH(ROW()-3,DC$4:DC$40,0)))</f>
        <v/>
      </c>
      <c r="DE11">
        <f>DE10+IF(AND(DD11&lt;&gt;"",COUNTIF(DD$4:DD11,DD11)=1),1,0)</f>
        <v/>
      </c>
      <c r="DF11" s="55">
        <f>IF(ROW()-3&gt;MAX(DE$4:DE$40),"",INDEX(DD$4:DD$40,MATCH(ROW()-3,DE$4:DE$40,0)))</f>
        <v/>
      </c>
      <c r="DG11" s="140">
        <f>IF('Final Calculation Sheet'!$U$11="","",'Final Calculation Sheet'!$U$11)</f>
        <v/>
      </c>
      <c r="DH11">
        <f>IF(DG11="","",COUNTIFS(DG$4:DG$40,"&lt;"&amp;DG11,DG$4:DG$40,"&lt;&gt;"&amp;"")+COUNTIF(DG$4:DG11,DG11))</f>
        <v/>
      </c>
      <c r="DI11" s="140">
        <f>IF(ROW()-3&gt;COUNTIF(DG$4:DG$40,"&lt;&gt;"&amp;""),"",INDEX(DG$4:DG$40,MATCH(ROW()-3,DH$4:DH$40,0)))</f>
        <v/>
      </c>
      <c r="DJ11">
        <f>DJ10+IF(AND(DI11&lt;&gt;"",COUNTIF(DI$4:DI11,DI11)=1),1,0)</f>
        <v/>
      </c>
      <c r="DK11" s="140">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s="55">
        <f>IF('Final Calculation Sheet'!$W$11="","",'Final Calculation Sheet'!$W$11)</f>
        <v/>
      </c>
      <c r="DR11">
        <f>IF(DQ11="","",COUNTIFS(DQ$4:DQ$40,"&lt;"&amp;DQ11,DQ$4:DQ$40,"&lt;&gt;"&amp;"")+COUNTIF(DQ$4:DQ11,DQ11))</f>
        <v/>
      </c>
      <c r="DS11" s="55">
        <f>IF(ROW()-3&gt;COUNTIF(DQ$4:DQ$40,"&lt;&gt;"&amp;""),"",INDEX(DQ$4:DQ$40,MATCH(ROW()-3,DR$4:DR$40,0)))</f>
        <v/>
      </c>
      <c r="DT11">
        <f>DT10+IF(AND(DS11&lt;&gt;"",COUNTIF(DS$4:DS11,DS11)=1),1,0)</f>
        <v/>
      </c>
      <c r="DU11" s="55">
        <f>IF(ROW()-3&gt;MAX(DT$4:DT$40),"",INDEX(DS$4:DS$40,MATCH(ROW()-3,DT$4:DT$40,0)))</f>
        <v/>
      </c>
      <c r="DV11" s="55">
        <f>IF('Final Calculation Sheet'!$X$11="","",'Final Calculation Sheet'!$X$11)</f>
        <v/>
      </c>
      <c r="DW11">
        <f>IF(DV11="","",COUNTIFS(DV$4:DV$40,"&lt;"&amp;DV11,DV$4:DV$40,"&lt;&gt;"&amp;"")+COUNTIF(DV$4:DV11,DV11))</f>
        <v/>
      </c>
      <c r="DX11" s="55">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s="55">
        <f>IF('Final Calculation Sheet'!$Z$11="","",'Final Calculation Sheet'!$Z$11)</f>
        <v/>
      </c>
      <c r="EG11">
        <f>IF(EF11="","",COUNTIFS(EF$4:EF$40,"&lt;"&amp;EF11,EF$4:EF$40,"&lt;&gt;"&amp;"")+COUNTIF(EF$4:EF11,EF11))</f>
        <v/>
      </c>
      <c r="EH11" s="55">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s="55">
        <f>IF('Final Calculation Sheet'!$AC$11="","",'Final Calculation Sheet'!$AC$11)</f>
        <v/>
      </c>
      <c r="EV11">
        <f>IF(EU11="","",COUNTIFS(EU$4:EU$40,"&lt;"&amp;EU11,EU$4:EU$40,"&lt;&gt;"&amp;"")+COUNTIF(EU$4:EU11,EU11))</f>
        <v/>
      </c>
      <c r="EW11" s="55">
        <f>IF(ROW()-3&gt;COUNTIF(EU$4:EU$40,"&lt;&gt;"&amp;""),"",INDEX(EU$4:EU$40,MATCH(ROW()-3,EV$4:EV$40,0)))</f>
        <v/>
      </c>
      <c r="EX11">
        <f>EX10+IF(AND(EW11&lt;&gt;"",COUNTIF(EW$4:EW11,EW11)=1),1,0)</f>
        <v/>
      </c>
      <c r="EY11" s="55">
        <f>IF(ROW()-3&gt;MAX(EX$4:EX$40),"",INDEX(EW$4:EW$40,MATCH(ROW()-3,EX$4:EX$40,0)))</f>
        <v/>
      </c>
      <c r="EZ11" s="55">
        <f>IF('Final Calculation Sheet'!$AD$11="","",'Final Calculation Sheet'!$AD$11)</f>
        <v/>
      </c>
      <c r="FA11">
        <f>IF(EZ11="","",COUNTIFS(EZ$4:EZ$40,"&lt;"&amp;EZ11,EZ$4:EZ$40,"&lt;&gt;"&amp;"")+COUNTIF(EZ$4:EZ11,EZ11))</f>
        <v/>
      </c>
      <c r="FB11" s="55">
        <f>IF(ROW()-3&gt;COUNTIF(EZ$4:EZ$40,"&lt;&gt;"&amp;""),"",INDEX(EZ$4:EZ$40,MATCH(ROW()-3,FA$4:FA$40,0)))</f>
        <v/>
      </c>
      <c r="FC11">
        <f>FC10+IF(AND(FB11&lt;&gt;"",COUNTIF(FB$4:FB11,FB11)=1),1,0)</f>
        <v/>
      </c>
      <c r="FD11" s="55">
        <f>IF(ROW()-3&gt;MAX(FC$4:FC$40),"",INDEX(FB$4:FB$40,MATCH(ROW()-3,FC$4:FC$40,0)))</f>
        <v/>
      </c>
      <c r="FE11">
        <f>IF('Final Calculation Sheet'!$AF$11="","",'Final Calculation Sheet'!$AF$11)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s="141">
        <f>IF('Final Calculation Sheet'!$AG$11="","",'Final Calculation Sheet'!$AG$11)</f>
        <v/>
      </c>
      <c r="FK11">
        <f>IF(FJ11="","",COUNTIFS(FJ$4:FJ$40,"&lt;"&amp;FJ11,FJ$4:FJ$40,"&lt;&gt;"&amp;"")+COUNTIF(FJ$4:FJ11,FJ11))</f>
        <v/>
      </c>
      <c r="FL11" s="141">
        <f>IF(ROW()-3&gt;COUNTIF(FJ$4:FJ$40,"&lt;&gt;"&amp;""),"",INDEX(FJ$4:FJ$40,MATCH(ROW()-3,FK$4:FK$40,0)))</f>
        <v/>
      </c>
      <c r="FM11">
        <f>FM10+IF(AND(FL11&lt;&gt;"",COUNTIF(FL$4:FL11,FL11)=1),1,0)</f>
        <v/>
      </c>
      <c r="FN11">
        <f>IF(ROW()-3&gt;MAX(FM$4:FM$40),"",INDEX(FL$4:FL$40,MATCH(ROW()-3,FM$4:FM$40,0)))</f>
        <v/>
      </c>
      <c r="FO11">
        <f>IF('Final Calculation Sheet'!$AH$11="","",'Final Calculation Sheet'!$AH$11)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c r="FY11">
        <f>IF(COUNTIF('Live Search'!BM$10:BO$10,0)+COUNTIF('Live Search'!BQ$10:CU$10,0)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1">
        <f>IF($Y$11="",FALSE,SUMPRODUCT(('Final Calculation Sheet'!$B$4:$B$40=$Y$11)*($FY$6:$FY$42=1))&gt;0)</f>
        <v/>
      </c>
      <c r="GA11">
        <f>$GA$10+--($FZ$11)</f>
        <v/>
      </c>
      <c r="GB11">
        <f>IF(ROW()-3&gt;MAX($GA$4:$GA$40),"",INDEX($Y$4:$Y$40,MATCH(ROW()-3,$GA$4:$GA$40,0)))</f>
        <v/>
      </c>
      <c r="GC11">
        <f>IF(COUNTIF('Live Search'!BM$10:BM$10,0)+COUNTIF('Live Search'!BO$10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D11">
        <f>IF($O$11="",FALSE,SUMPRODUCT(('Final Calculation Sheet'!$F$4:$F$40=$O$11)*($GC$6:$GC$42=1))&gt;0)</f>
        <v/>
      </c>
      <c r="GE11">
        <f>$GE$10+--($GD11)</f>
        <v/>
      </c>
      <c r="GF11">
        <f>IF(ROW()-3&gt;MAX($GE$4:$GE$40),"",INDEX($O$4:$O$40,MATCH(ROW()-3,$GE$4:$GE$40,0)))</f>
        <v/>
      </c>
      <c r="GG11">
        <f>IF(COUNTIF('Live Search'!BM$10:BN$10,0)+COUNTIF('Live Search'!BP$10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H11">
        <f>IF($T$11="",FALSE,SUMPRODUCT(('Final Calculation Sheet'!$G$4:$G$40=$T$11)*($GG$6:$GG$42=1))&gt;0)</f>
        <v/>
      </c>
      <c r="GI11">
        <f>$GI$10+--($GH11)</f>
        <v/>
      </c>
      <c r="GJ11">
        <f>IF(ROW()-3&gt;MAX($GI$4:$GI$40),"",INDEX($T$4:$T$40,MATCH(ROW()-3,$GI$4:$GI$40,0)))</f>
        <v/>
      </c>
      <c r="GK11">
        <f>IF(COUNTIF('Live Search'!BM$10:BP$10,0)+COUNTIF('Live Search'!BR$10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L11">
        <f>IF($AD$11="",FALSE,SUMPRODUCT(('Final Calculation Sheet'!$D$4:$D$40=$AD$11)*($GK$6:$GK$42=1))&gt;0)</f>
        <v/>
      </c>
      <c r="GM11">
        <f>$GM$10+--($GL11)</f>
        <v/>
      </c>
      <c r="GN11">
        <f>IF(ROW()-3&gt;MAX($GM$4:$GM$40),"",INDEX($AD$4:$AD$40,MATCH(ROW()-3,$GM$4:$GM$40,0)))</f>
        <v/>
      </c>
      <c r="GO11">
        <f>IF(COUNTIF('Live Search'!BM$10:BQ$10,0)+COUNTIF('Live Search'!BS$10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P11">
        <f>IF($AI$11="",FALSE,SUMPRODUCT(('Final Calculation Sheet'!$A$4:$A$40=$AI$11)*($GO$6:$GO$42=1))&gt;0)</f>
        <v/>
      </c>
      <c r="GQ11">
        <f>$GQ$10+--($GP11)</f>
        <v/>
      </c>
      <c r="GR11">
        <f>IF(ROW()-3&gt;MAX($GQ$4:$GQ$40),"",INDEX($AI$4:$AI$40,MATCH(ROW()-3,$GQ$4:$GQ$40,0)))</f>
        <v/>
      </c>
      <c r="GS11">
        <f>IF(COUNTIF('Live Search'!BM$10:BR$10,0)+COUNTIF('Live Search'!BT$10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T11">
        <f>IF($AN$11="",FALSE,SUMPRODUCT(('Final Calculation Sheet'!$E$4:$E$40=$AN$11)*($GS$6:$GS$42=1))&gt;0)</f>
        <v/>
      </c>
      <c r="GU11">
        <f>$GU$10+--($GT11)</f>
        <v/>
      </c>
      <c r="GV11">
        <f>IF(ROW()-3&gt;MAX($GU$4:$GU$40),"",INDEX($AN$4:$AN$40,MATCH(ROW()-3,$GU$4:$GU$40,0)))</f>
        <v/>
      </c>
      <c r="GW11">
        <f>IF(COUNTIF('Live Search'!BM$10:BS$10,0)+COUNTIF('Live Search'!BU$10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GX11">
        <f>IF($AS$11="",FALSE,SUMPRODUCT(('Final Calculation Sheet'!$C$4:$C$40=$AS$11)*($GW$6:$GW$42=1))&gt;0)</f>
        <v/>
      </c>
      <c r="GY11">
        <f>$GY$10+--($GX11)</f>
        <v/>
      </c>
      <c r="GZ11">
        <f>IF(ROW()-3&gt;MAX($GY$4:$GY$40),"",INDEX($AS$4:$AS$40,MATCH(ROW()-3,$GY$4:$GY$40,0)))</f>
        <v/>
      </c>
      <c r="HA11">
        <f>IF(COUNTIF('Live Search'!BM$10:BT$10,0)+COUNTIF('Live Search'!BV$10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B11">
        <f>IF($AX$11="",FALSE,SUMPRODUCT(('Final Calculation Sheet'!$H$4:$H$40=$AX$11)*($HA$6:$HA$42=1))&gt;0)</f>
        <v/>
      </c>
      <c r="HC11">
        <f>$HC$10+--($HB11)</f>
        <v/>
      </c>
      <c r="HD11">
        <f>IF(ROW()-3&gt;MAX($HC$4:$HC$40),"",INDEX($AX$4:$AX$40,MATCH(ROW()-3,$HC$4:$HC$40,0)))</f>
        <v/>
      </c>
      <c r="HE11">
        <f>IF(COUNTIF('Live Search'!BM$10:BU$10,0)+COUNTIF('Live Search'!BW$10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F11">
        <f>IF($BC$11="",FALSE,SUMPRODUCT(('Final Calculation Sheet'!$I$4:$I$40=$BC$11)*($HE$6:$HE$42=1))&gt;0)</f>
        <v/>
      </c>
      <c r="HG11">
        <f>$HG$10+--($HF11)</f>
        <v/>
      </c>
      <c r="HH11">
        <f>IF(ROW()-3&gt;MAX($HG$4:$HG$40),"",INDEX($BC$4:$BC$40,MATCH(ROW()-3,$HG$4:$HG$40,0)))</f>
        <v/>
      </c>
      <c r="HI11">
        <f>IF(COUNTIF('Live Search'!BM$10:BV$10,0)+COUNTIF('Live Search'!BX$10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J11">
        <f>IF($BH$11="",FALSE,SUMPRODUCT(('Final Calculation Sheet'!$J$4:$J$40=$BH$11)*($HI$6:$HI$42=1))&gt;0)</f>
        <v/>
      </c>
      <c r="HK11">
        <f>$HK$10+--($HJ11)</f>
        <v/>
      </c>
      <c r="HL11">
        <f>IF(ROW()-3&gt;MAX($HK$4:$HK$40),"",INDEX($BH$4:$BH$40,MATCH(ROW()-3,$HK$4:$HK$40,0)))</f>
        <v/>
      </c>
      <c r="HM11">
        <f>IF(COUNTIF('Live Search'!BM$10:BW$10,0)+COUNTIF('Live Search'!BY$10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N11">
        <f>IF($BM$11="",FALSE,SUMPRODUCT(('Final Calculation Sheet'!$K$4:$K$40=$BM$11)*($HM$6:$HM$42=1))&gt;0)</f>
        <v/>
      </c>
      <c r="HO11">
        <f>$HO$10+--($HN11)</f>
        <v/>
      </c>
      <c r="HP11">
        <f>IF(ROW()-3&gt;MAX($HO$4:$HO$40),"",INDEX($BM$4:$BM$40,MATCH(ROW()-3,$HO$4:$HO$40,0)))</f>
        <v/>
      </c>
      <c r="HQ11">
        <f>IF(COUNTIF('Live Search'!BM$10:BX$10,0)+COUNTIF('Live Search'!BZ$10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R11">
        <f>IF($BR$11="",FALSE,SUMPRODUCT(('Final Calculation Sheet'!$L$4:$L$40=$BR$11)*($HQ$6:$HQ$42=1))&gt;0)</f>
        <v/>
      </c>
      <c r="HS11">
        <f>$HS$10+--($HR11)</f>
        <v/>
      </c>
      <c r="HT11">
        <f>IF(ROW()-3&gt;MAX($HS$4:$HS$40),"",INDEX($BR$4:$BR$40,MATCH(ROW()-3,$HS$4:$HS$40,0)))</f>
        <v/>
      </c>
      <c r="HU11">
        <f>IF(COUNTIF('Live Search'!BM$10:BY$10,0)+COUNTIF('Live Search'!CA$10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V11">
        <f>IF($BW$11="",FALSE,SUMPRODUCT(('Final Calculation Sheet'!$M$4:$M$40=$BW$11)*($HU$6:$HU$42=1))&gt;0)</f>
        <v/>
      </c>
      <c r="HW11">
        <f>$HW$10+--($HV11)</f>
        <v/>
      </c>
      <c r="HX11">
        <f>IF(ROW()-3&gt;MAX($HW$4:$HW$40),"",INDEX($BW$4:$BW$40,MATCH(ROW()-3,$HW$4:$HW$40,0)))</f>
        <v/>
      </c>
      <c r="HY11">
        <f>IF(COUNTIF('Live Search'!BM$10:BZ$10,0)+COUNTIF('Live Search'!CB$10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HZ11">
        <f>IF($CB$11="",FALSE,SUMPRODUCT(('Final Calculation Sheet'!$N$4:$N$40=$CB$11)*($HY$6:$HY$42=1))&gt;0)</f>
        <v/>
      </c>
      <c r="IA11">
        <f>$IA$10+--($HZ11)</f>
        <v/>
      </c>
      <c r="IB11">
        <f>IF(ROW()-3&gt;MAX($IA$4:$IA$40),"",INDEX($CB$4:$CB$40,MATCH(ROW()-3,$IA$4:$IA$40,0)))</f>
        <v/>
      </c>
      <c r="IC11">
        <f>IF(COUNTIF('Live Search'!BM$10:CA$10,0)+COUNTIF('Live Search'!CC$10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D11">
        <f>IF($CG$11="",FALSE,SUMPRODUCT(('Final Calculation Sheet'!$O$4:$O$40=$CG$11)*($IC$6:$IC$42=1))&gt;0)</f>
        <v/>
      </c>
      <c r="IE11">
        <f>$IE$10+--($ID11)</f>
        <v/>
      </c>
      <c r="IF11">
        <f>IF(ROW()-3&gt;MAX($IE$4:$IE$40),"",INDEX($CG$4:$CG$40,MATCH(ROW()-3,$IE$4:$IE$40,0)))</f>
        <v/>
      </c>
      <c r="IG11">
        <f>IF(COUNTIF('Live Search'!BM$10:CB$10,0)+COUNTIF('Live Search'!CD$10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H11">
        <f>IF($CL$11="",FALSE,SUMPRODUCT(('Final Calculation Sheet'!$P$4:$P$40=$CL$11)*($IG$6:$IG$42=1))&gt;0)</f>
        <v/>
      </c>
      <c r="II11">
        <f>$II$10+--($IH11)</f>
        <v/>
      </c>
      <c r="IJ11">
        <f>IF(ROW()-3&gt;MAX($II$4:$II$40),"",INDEX($CL$4:$CL$40,MATCH(ROW()-3,$II$4:$II$40,0)))</f>
        <v/>
      </c>
      <c r="IK11">
        <f>IF(COUNTIF('Live Search'!BM$10:CC$10,0)+COUNTIF('Live Search'!CE$10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L11">
        <f>IF($CQ$11="",FALSE,SUMPRODUCT(('Final Calculation Sheet'!$Q$4:$Q$40=$CQ$11)*($IK$6:$IK$42=1))&gt;0)</f>
        <v/>
      </c>
      <c r="IM11">
        <f>$IM$10+--($IL11)</f>
        <v/>
      </c>
      <c r="IN11">
        <f>IF(ROW()-3&gt;MAX($IM$4:$IM$40),"",INDEX($CQ$4:$CQ$40,MATCH(ROW()-3,$IM$4:$IM$40,0)))</f>
        <v/>
      </c>
      <c r="IO11">
        <f>IF(COUNTIF('Live Search'!BM$10:CD$10,0)+COUNTIF('Live Search'!CF$10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P11">
        <f>IF($CV$11="",FALSE,SUMPRODUCT(('Final Calculation Sheet'!$R$4:$R$40=$CV$11)*($IO$6:$IO$42=1))&gt;0)</f>
        <v/>
      </c>
      <c r="IQ11">
        <f>$IQ$10+--($IP11)</f>
        <v/>
      </c>
      <c r="IR11">
        <f>IF(ROW()-3&gt;MAX($IQ$4:$IQ$40),"",INDEX($CV$4:$CV$40,MATCH(ROW()-3,$IQ$4:$IQ$40,0)))</f>
        <v/>
      </c>
      <c r="IS11">
        <f>IF(COUNTIF('Live Search'!BM$10:CE$10,0)+COUNTIF('Live Search'!CG$10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T11">
        <f>IF($DA$11="",FALSE,SUMPRODUCT(('Final Calculation Sheet'!$S$4:$S$40=$DA$11)*($IS$6:$IS$42=1))&gt;0)</f>
        <v/>
      </c>
      <c r="IU11">
        <f>$IU$10+--($IT11)</f>
        <v/>
      </c>
      <c r="IV11">
        <f>IF(ROW()-3&gt;MAX($IU$4:$IU$40),"",INDEX($DA$4:$DA$40,MATCH(ROW()-3,$IU$4:$IU$40,0)))</f>
        <v/>
      </c>
      <c r="IW11">
        <f>IF(COUNTIF('Live Search'!BM$10:CF$10,0)+COUNTIF('Live Search'!CH$10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IX11">
        <f>IF($DF$11="",FALSE,SUMPRODUCT(('Final Calculation Sheet'!$T$4:$T$40=$DF$11)*($IW$6:$IW$42=1))&gt;0)</f>
        <v/>
      </c>
      <c r="IY11">
        <f>$IY$10+--($IX11)</f>
        <v/>
      </c>
      <c r="IZ11">
        <f>IF(ROW()-3&gt;MAX($IY$4:$IY$40),"",INDEX($DF$4:$DF$40,MATCH(ROW()-3,$IY$4:$IY$40,0)))</f>
        <v/>
      </c>
      <c r="JA11">
        <f>IF(COUNTIF('Live Search'!BM$10:CG$10,0)+COUNTIF('Live Search'!CI$10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B11">
        <f>IF($DK$11="",FALSE,SUMPRODUCT(('Final Calculation Sheet'!$U$4:$U$40=$DK$11)*($JA$6:$JA$42=1))&gt;0)</f>
        <v/>
      </c>
      <c r="JC11">
        <f>$JC$10+--($JB11)</f>
        <v/>
      </c>
      <c r="JD11">
        <f>IF(ROW()-3&gt;MAX($JC$4:$JC$40),"",INDEX($DK$4:$DK$40,MATCH(ROW()-3,$JC$4:$JC$40,0)))</f>
        <v/>
      </c>
      <c r="JE11">
        <f>IF(COUNTIF('Live Search'!BM$10:CH$10,0)+COUNTIF('Live Search'!CJ$10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F11">
        <f>IF($DP$11="",FALSE,SUMPRODUCT(('Final Calculation Sheet'!$V$4:$V$40=$DP$11)*($JE$6:$JE$42=1))&gt;0)</f>
        <v/>
      </c>
      <c r="JG11">
        <f>$JG$10+--($JF11)</f>
        <v/>
      </c>
      <c r="JH11">
        <f>IF(ROW()-3&gt;MAX($JG$4:$JG$40),"",INDEX($DP$4:$DP$40,MATCH(ROW()-3,$JG$4:$JG$40,0)))</f>
        <v/>
      </c>
      <c r="JI11">
        <f>IF(COUNTIF('Live Search'!BM$10:CI$10,0)+COUNTIF('Live Search'!CK$10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J11">
        <f>IF($DU$11="",FALSE,SUMPRODUCT(('Final Calculation Sheet'!$W$4:$W$40=$DU$11)*($JI$6:$JI$42=1))&gt;0)</f>
        <v/>
      </c>
      <c r="JK11">
        <f>$JK$10+--($JJ11)</f>
        <v/>
      </c>
      <c r="JL11">
        <f>IF(ROW()-3&gt;MAX($JK$4:$JK$40),"",INDEX($DU$4:$DU$40,MATCH(ROW()-3,$JK$4:$JK$40,0)))</f>
        <v/>
      </c>
      <c r="JM11">
        <f>IF(COUNTIF('Live Search'!BM$10:CJ$10,0)+COUNTIF('Live Search'!CL$10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N11">
        <f>IF($DZ$11="",FALSE,SUMPRODUCT(('Final Calculation Sheet'!$X$4:$X$40=$DZ$11)*($JM$6:$JM$42=1))&gt;0)</f>
        <v/>
      </c>
      <c r="JO11">
        <f>$JO$10+--($JN11)</f>
        <v/>
      </c>
      <c r="JP11">
        <f>IF(ROW()-3&gt;MAX($JO$4:$JO$40),"",INDEX($DZ$4:$DZ$40,MATCH(ROW()-3,$JO$4:$JO$40,0)))</f>
        <v/>
      </c>
      <c r="JQ11">
        <f>IF(COUNTIF('Live Search'!BM$10:CK$10,0)+COUNTIF('Live Search'!C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R11">
        <f>IF($EE$11="",FALSE,SUMPRODUCT(('Final Calculation Sheet'!$Y$4:$Y$40=$EE$11)*($JQ$6:$JQ$42=1))&gt;0)</f>
        <v/>
      </c>
      <c r="JS11">
        <f>$JS$10+--($JR11)</f>
        <v/>
      </c>
      <c r="JT11">
        <f>IF(ROW()-3&gt;MAX($JS$4:$JS$40),"",INDEX($EE$4:$EE$40,MATCH(ROW()-3,$JS$4:$JS$40,0)))</f>
        <v/>
      </c>
      <c r="JU11">
        <f>IF(COUNTIF('Live Search'!BM$10:CL$10,0)+COUNTIF('Live Search'!CN$10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V11">
        <f>IF($EJ$11="",FALSE,SUMPRODUCT(('Final Calculation Sheet'!$Z$4:$Z$40=$EJ$11)*($JU$6:$JU$42=1))&gt;0)</f>
        <v/>
      </c>
      <c r="JW11">
        <f>$JW$10+--($JV11)</f>
        <v/>
      </c>
      <c r="JX11">
        <f>IF(ROW()-3&gt;MAX($JW$4:$JW$40),"",INDEX($EJ$4:$EJ$40,MATCH(ROW()-3,$JW$4:$JW$40,0)))</f>
        <v/>
      </c>
      <c r="JY11">
        <f>IF(COUNTIF('Live Search'!BM$10:CM$10,0)+COUNTIF('Live Search'!CO$10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JZ11">
        <f>IF($EO$11="",FALSE,SUMPRODUCT(('Final Calculation Sheet'!$AA$4:$AA$40=$EO$11)*($JY$6:$JY$42=1))&gt;0)</f>
        <v/>
      </c>
      <c r="KA11">
        <f>$KA$10+--($JZ11)</f>
        <v/>
      </c>
      <c r="KB11">
        <f>IF(ROW()-3&gt;MAX($KA$4:$KA$40),"",INDEX($EO$4:$EO$40,MATCH(ROW()-3,$KA$4:$KA$40,0)))</f>
        <v/>
      </c>
      <c r="KC11">
        <f>IF(COUNTIF('Live Search'!BM$10:CN$10,0)+COUNTIF('Live Search'!CP$10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D11">
        <f>IF($ET$11="",FALSE,SUMPRODUCT(('Final Calculation Sheet'!$AB$4:$AB$40=$ET$11)*($KC$6:$KC$42=1))&gt;0)</f>
        <v/>
      </c>
      <c r="KE11">
        <f>$KE$10+--($KD11)</f>
        <v/>
      </c>
      <c r="KF11">
        <f>IF(ROW()-3&gt;MAX($KE$4:$KE$40),"",INDEX($ET$4:$ET$40,MATCH(ROW()-3,$KE$4:$KE$40,0)))</f>
        <v/>
      </c>
      <c r="KG11">
        <f>IF(COUNTIF('Live Search'!BM$10:CO$10,0)+COUNTIF('Live Search'!CQ$10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H11">
        <f>IF($EY$11="",FALSE,SUMPRODUCT(('Final Calculation Sheet'!$AC$4:$AC$40=$EY$11)*($KG$6:$KG$42=1))&gt;0)</f>
        <v/>
      </c>
      <c r="KI11">
        <f>$KI$10+--($KH11)</f>
        <v/>
      </c>
      <c r="KJ11">
        <f>IF(ROW()-3&gt;MAX($KI$4:$KI$40),"",INDEX($EY$4:$EY$40,MATCH(ROW()-3,$KI$4:$KI$40,0)))</f>
        <v/>
      </c>
      <c r="KK11">
        <f>IF(COUNTIF('Live Search'!BM$10:CP$10,0)+COUNTIF('Live Search'!CR$10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L11">
        <f>IF($FD$11="",FALSE,SUMPRODUCT(('Final Calculation Sheet'!$AD$4:$AD$40=$FD$11)*($KK$6:$KK$42=1))&gt;0)</f>
        <v/>
      </c>
      <c r="KM11">
        <f>$KM$10+--($KL11)</f>
        <v/>
      </c>
      <c r="KN11">
        <f>IF(ROW()-3&gt;MAX($KM$4:$KM$40),"",INDEX($FD$4:$FD$40,MATCH(ROW()-3,$KM$4:$KM$40,0)))</f>
        <v/>
      </c>
      <c r="KO11">
        <f>IF(COUNTIF('Live Search'!BM$10:CT$10,0)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P11">
        <f>IF($FX$11="",FALSE,SUMPRODUCT((IF('Final Calculation Sheet'!$AD$4:$AD$40&lt;=5,"SETTLED","OUTSTANDING")=$FX$11)*($KO$6:$KO$42=1))&gt;0)</f>
        <v/>
      </c>
      <c r="KQ11">
        <f>$KQ$10+--($KP11)</f>
        <v/>
      </c>
      <c r="KR11">
        <f>IF(ROW()-3&gt;MAX($KQ$4:$KQ$40),"",INDEX($FX$4:$FX$40,MATCH(ROW()-3,$KQ$4:$KQ$40,0)))</f>
        <v/>
      </c>
      <c r="KS11">
        <f>IF(COUNTIF('Live Search'!BM$10:CQ$10,0)+COUNTIF('Live Search'!CS$10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T11">
        <f>IF($FI$11="",FALSE,SUMPRODUCT(('Final Calculation Sheet'!$AF$4:$AF$40=$FI$11)*($KS$6:$KS$42=1))&gt;0)</f>
        <v/>
      </c>
      <c r="KU11">
        <f>$KU$10+--($KT11)</f>
        <v/>
      </c>
      <c r="KV11">
        <f>IF(ROW()-3&gt;MAX($KU$4:$KU$40),"",INDEX($FI$4:$FI$40,MATCH(ROW()-3,$KU$4:$KU$40,0)))</f>
        <v/>
      </c>
      <c r="KW11">
        <f>IF(COUNTIF('Live Search'!BM$10:CR$10,0)+COUNTIF('Live Search'!CT$10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KX11">
        <f>IF($FN$11="",FALSE,SUMPRODUCT(('Final Calculation Sheet'!$AG$4:$AG$40=$FN$11)*($KW$6:$KW$42=1))&gt;0)</f>
        <v/>
      </c>
      <c r="KY11">
        <f>$KY$10+--($KX11)</f>
        <v/>
      </c>
      <c r="KZ11">
        <f>IF(ROW()-3&gt;MAX($KY$4:$KY$40),"",INDEX($FN$4:$FN$40,MATCH(ROW()-3,$KY$4:$KY$40,0)))</f>
        <v/>
      </c>
      <c r="LA11">
        <f>IF(COUNTIF('Live Search'!BM$10:CS$10,0)+COUNTIF('Live Search'!CU$10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LB11">
        <f>IF($FS$11="",FALSE,SUMPRODUCT(('Final Calculation Sheet'!$AH$4:$AH$40=$FS$11)*($LA$6:$LA$42=1))&gt;0)</f>
        <v/>
      </c>
      <c r="LC11">
        <f>$LC$10+--($LB11)</f>
        <v/>
      </c>
      <c r="LD11">
        <f>IF(ROW()-3&gt;MAX($LC$4:$LC$40),"",INDEX($FS$4:$FS$40,MATCH(ROW()-3,$LC$4:$LC$40,0)))</f>
        <v/>
      </c>
      <c r="LE11">
        <f>IF(COUNTIF('Buyer Groups'!DH64:EN64,0)&gt;0,0,1)</f>
        <v/>
      </c>
      <c r="LF11">
        <f>IF($O$11="",FALSE,SUMPRODUCT(('Final Calculation Sheet'!$F$4:$F$40=$O$11)*($LE$6:$LE$42=1))&gt;0)</f>
        <v/>
      </c>
      <c r="LG11">
        <f>$LG$10+--($LF11)</f>
        <v/>
      </c>
      <c r="LH11">
        <f>IF(ROW()-3&gt;MAX($LG$4:$LG$40),"",INDEX($O$4:$O$40,MATCH(ROW()-3,$LG$4:$LG$40,0)))</f>
        <v/>
      </c>
      <c r="LI11">
        <f>IF(COUNTIF('Buyer Groups'!DG64:DG64,0)+COUNTIF('Buyer Groups'!DI64:EN64,0)&gt;0,0,1)</f>
        <v/>
      </c>
      <c r="LJ11">
        <f>IF($T$11="",FALSE,SUMPRODUCT(('Final Calculation Sheet'!$G$4:$G$40=$T$11)*($LI$6:$LI$42=1))&gt;0)</f>
        <v/>
      </c>
      <c r="LK11">
        <f>$LK$10+--($LJ11)</f>
        <v/>
      </c>
      <c r="LL11">
        <f>IF(ROW()-3&gt;MAX($LK$4:$LK$40),"",INDEX($T$4:$T$40,MATCH(ROW()-3,$LK$4:$LK$40,0)))</f>
        <v/>
      </c>
      <c r="LM11">
        <f>IF(COUNTIF('Buyer Groups'!DG64:DH64,0)+COUNTIF('Buyer Groups'!DJ64:EN64,0)&gt;0,0,1)</f>
        <v/>
      </c>
      <c r="LN11">
        <f>IF($Y$11="",FALSE,SUMPRODUCT(('Final Calculation Sheet'!$B$4:$B$40=$Y$11)*($LM$6:$LM$42=1))&gt;0)</f>
        <v/>
      </c>
      <c r="LO11">
        <f>$LO$10+--($LN11)</f>
        <v/>
      </c>
      <c r="LP11">
        <f>IF(ROW()-3&gt;MAX($LO$4:$LO$40),"",INDEX($Y$4:$Y$40,MATCH(ROW()-3,$LO$4:$LO$40,0)))</f>
        <v/>
      </c>
      <c r="LQ11">
        <f>IF(COUNTIF('Buyer Groups'!DG64:DI64,0)+COUNTIF('Buyer Groups'!DK64:EN64,0)&gt;0,0,1)</f>
        <v/>
      </c>
      <c r="LR11">
        <f>IF($AD$11="",FALSE,SUMPRODUCT(('Final Calculation Sheet'!$D$4:$D$40=$AD$11)*($LQ$6:$LQ$42=1))&gt;0)</f>
        <v/>
      </c>
      <c r="LS11">
        <f>$LS$10+--($LR11)</f>
        <v/>
      </c>
      <c r="LT11">
        <f>IF(ROW()-3&gt;MAX($LS$4:$LS$40),"",INDEX($AD$4:$AD$40,MATCH(ROW()-3,$LS$4:$LS$40,0)))</f>
        <v/>
      </c>
      <c r="LU11">
        <f>IF(COUNTIF('Buyer Groups'!DG64:DJ64,0)+COUNTIF('Buyer Groups'!DL64:EN64,0)&gt;0,0,1)</f>
        <v/>
      </c>
      <c r="LV11">
        <f>IF($AI$11="",FALSE,SUMPRODUCT(('Final Calculation Sheet'!$A$4:$A$40=$AI$11)*($LU$6:$LU$42=1))&gt;0)</f>
        <v/>
      </c>
      <c r="LW11">
        <f>$LW$10+--($LV11)</f>
        <v/>
      </c>
      <c r="LX11">
        <f>IF(ROW()-3&gt;MAX($LW$4:$LW$40),"",INDEX($AI$4:$AI$40,MATCH(ROW()-3,$LW$4:$LW$40,0)))</f>
        <v/>
      </c>
      <c r="LY11">
        <f>IF(COUNTIF('Buyer Groups'!DG64:DK64,0)+COUNTIF('Buyer Groups'!DM64:EN64,0)&gt;0,0,1)</f>
        <v/>
      </c>
      <c r="LZ11">
        <f>IF($AN$11="",FALSE,SUMPRODUCT(('Final Calculation Sheet'!$E$4:$E$40=$AN$11)*($LY$6:$LY$42=1))&gt;0)</f>
        <v/>
      </c>
      <c r="MA11">
        <f>$MA$10+--($LZ11)</f>
        <v/>
      </c>
      <c r="MB11">
        <f>IF(ROW()-3&gt;MAX($MA$4:$MA$40),"",INDEX($AN$4:$AN$40,MATCH(ROW()-3,$MA$4:$MA$40,0)))</f>
        <v/>
      </c>
      <c r="MC11">
        <f>IF(COUNTIF('Buyer Groups'!DG64:DL64,0)+COUNTIF('Buyer Groups'!DN64:EN64,0)&gt;0,0,1)</f>
        <v/>
      </c>
      <c r="MD11">
        <f>IF($AS$11="",FALSE,SUMPRODUCT(('Final Calculation Sheet'!$C$4:$C$40=$AS$11)*($MC$6:$MC$42=1))&gt;0)</f>
        <v/>
      </c>
      <c r="ME11">
        <f>$ME$10+--($MD11)</f>
        <v/>
      </c>
      <c r="MF11">
        <f>IF(ROW()-3&gt;MAX($ME$4:$ME$40),"",INDEX($AS$4:$AS$40,MATCH(ROW()-3,$ME$4:$ME$40,0)))</f>
        <v/>
      </c>
      <c r="MG11">
        <f>IF(COUNTIF('Buyer Groups'!DG64:DM64,0)+COUNTIF('Buyer Groups'!DO64:EN64,0)&gt;0,0,1)</f>
        <v/>
      </c>
      <c r="MH11">
        <f>IF($AX$11="",FALSE,SUMPRODUCT(('Final Calculation Sheet'!$H$4:$H$40=$AX$11)*($MG$6:$MG$42=1))&gt;0)</f>
        <v/>
      </c>
      <c r="MI11">
        <f>$MI$10+--($MH11)</f>
        <v/>
      </c>
      <c r="MJ11">
        <f>IF(ROW()-3&gt;MAX($MI$4:$MI$40),"",INDEX($AX$4:$AX$40,MATCH(ROW()-3,$MI$4:$MI$40,0)))</f>
        <v/>
      </c>
      <c r="MK11">
        <f>IF(COUNTIF('Buyer Groups'!DG64:DN64,0)+COUNTIF('Buyer Groups'!DP64:EN64,0)&gt;0,0,1)</f>
        <v/>
      </c>
      <c r="ML11">
        <f>IF($BC$11="",FALSE,SUMPRODUCT(('Final Calculation Sheet'!$I$4:$I$40=$BC$11)*($MK$6:$MK$42=1))&gt;0)</f>
        <v/>
      </c>
      <c r="MM11">
        <f>$MM$10+--($ML11)</f>
        <v/>
      </c>
      <c r="MN11">
        <f>IF(ROW()-3&gt;MAX($MM$4:$MM$40),"",INDEX($BC$4:$BC$40,MATCH(ROW()-3,$MM$4:$MM$40,0)))</f>
        <v/>
      </c>
      <c r="MO11">
        <f>IF(COUNTIF('Buyer Groups'!DG64:DO64,0)+COUNTIF('Buyer Groups'!DQ64:EN64,0)&gt;0,0,1)</f>
        <v/>
      </c>
      <c r="MP11">
        <f>IF($BH$11="",FALSE,SUMPRODUCT(('Final Calculation Sheet'!$J$4:$J$40=$BH$11)*($MO$6:$MO$42=1))&gt;0)</f>
        <v/>
      </c>
      <c r="MQ11">
        <f>$MQ$10+--($MP11)</f>
        <v/>
      </c>
      <c r="MR11">
        <f>IF(ROW()-3&gt;MAX($MQ$4:$MQ$40),"",INDEX($BH$4:$BH$40,MATCH(ROW()-3,$MQ$4:$MQ$40,0)))</f>
        <v/>
      </c>
      <c r="MS11">
        <f>IF(COUNTIF('Buyer Groups'!DG64:DP64,0)+COUNTIF('Buyer Groups'!DR64:EN64,0)&gt;0,0,1)</f>
        <v/>
      </c>
      <c r="MT11">
        <f>IF($BM$11="",FALSE,SUMPRODUCT(('Final Calculation Sheet'!$K$4:$K$40=$BM$11)*($MS$6:$MS$42=1))&gt;0)</f>
        <v/>
      </c>
      <c r="MU11">
        <f>$MU$10+--($MT11)</f>
        <v/>
      </c>
      <c r="MV11">
        <f>IF(ROW()-3&gt;MAX($MU$4:$MU$40),"",INDEX($BM$4:$BM$40,MATCH(ROW()-3,$MU$4:$MU$40,0)))</f>
        <v/>
      </c>
      <c r="MW11">
        <f>IF(COUNTIF('Buyer Groups'!DG64:DQ64,0)+COUNTIF('Buyer Groups'!DS64:EN64,0)&gt;0,0,1)</f>
        <v/>
      </c>
      <c r="MX11">
        <f>IF($BR$11="",FALSE,SUMPRODUCT(('Final Calculation Sheet'!$L$4:$L$40=$BR$11)*($MW$6:$MW$42=1))&gt;0)</f>
        <v/>
      </c>
      <c r="MY11">
        <f>$MY$10+--($MX11)</f>
        <v/>
      </c>
      <c r="MZ11">
        <f>IF(ROW()-3&gt;MAX($MY$4:$MY$40),"",INDEX($BR$4:$BR$40,MATCH(ROW()-3,$MY$4:$MY$40,0)))</f>
        <v/>
      </c>
      <c r="NA11">
        <f>IF(COUNTIF('Buyer Groups'!DG64:DR64,0)+COUNTIF('Buyer Groups'!DT64:EN64,0)&gt;0,0,1)</f>
        <v/>
      </c>
      <c r="NB11">
        <f>IF($BW$11="",FALSE,SUMPRODUCT(('Final Calculation Sheet'!$M$4:$M$40=$BW$11)*($NA$6:$NA$42=1))&gt;0)</f>
        <v/>
      </c>
      <c r="NC11">
        <f>$NC$10+--($NB11)</f>
        <v/>
      </c>
      <c r="ND11">
        <f>IF(ROW()-3&gt;MAX($NC$4:$NC$40),"",INDEX($BW$4:$BW$40,MATCH(ROW()-3,$NC$4:$NC$40,0)))</f>
        <v/>
      </c>
      <c r="NE11">
        <f>IF(COUNTIF('Buyer Groups'!DG64:DS64,0)+COUNTIF('Buyer Groups'!DU64:EN64,0)&gt;0,0,1)</f>
        <v/>
      </c>
      <c r="NF11">
        <f>IF($CB$11="",FALSE,SUMPRODUCT(('Final Calculation Sheet'!$N$4:$N$40=$CB$11)*($NE$6:$NE$42=1))&gt;0)</f>
        <v/>
      </c>
      <c r="NG11">
        <f>$NG$10+--($NF11)</f>
        <v/>
      </c>
      <c r="NH11">
        <f>IF(ROW()-3&gt;MAX($NG$4:$NG$40),"",INDEX($CB$4:$CB$40,MATCH(ROW()-3,$NG$4:$NG$40,0)))</f>
        <v/>
      </c>
      <c r="NI11">
        <f>IF(COUNTIF('Buyer Groups'!DG64:DT64,0)+COUNTIF('Buyer Groups'!DV64:EN64,0)&gt;0,0,1)</f>
        <v/>
      </c>
      <c r="NJ11">
        <f>IF($CG$11="",FALSE,SUMPRODUCT(('Final Calculation Sheet'!$O$4:$O$40=$CG$11)*($NI$6:$NI$42=1))&gt;0)</f>
        <v/>
      </c>
      <c r="NK11">
        <f>$NK$10+--($NJ11)</f>
        <v/>
      </c>
      <c r="NL11">
        <f>IF(ROW()-3&gt;MAX($NK$4:$NK$40),"",INDEX($CG$4:$CG$40,MATCH(ROW()-3,$NK$4:$NK$40,0)))</f>
        <v/>
      </c>
      <c r="NM11">
        <f>IF(COUNTIF('Buyer Groups'!DG64:DU64,0)+COUNTIF('Buyer Groups'!DW64:EN64,0)&gt;0,0,1)</f>
        <v/>
      </c>
      <c r="NN11">
        <f>IF($CL$11="",FALSE,SUMPRODUCT(('Final Calculation Sheet'!$P$4:$P$40=$CL$11)*($NM$6:$NM$42=1))&gt;0)</f>
        <v/>
      </c>
      <c r="NO11">
        <f>$NO$10+--($NN11)</f>
        <v/>
      </c>
      <c r="NP11">
        <f>IF(ROW()-3&gt;MAX($NO$4:$NO$40),"",INDEX($CL$4:$CL$40,MATCH(ROW()-3,$NO$4:$NO$40,0)))</f>
        <v/>
      </c>
      <c r="NQ11">
        <f>IF(COUNTIF('Buyer Groups'!DG64:DV64,0)+COUNTIF('Buyer Groups'!DX64:EN64,0)&gt;0,0,1)</f>
        <v/>
      </c>
      <c r="NR11">
        <f>IF($CQ$11="",FALSE,SUMPRODUCT(('Final Calculation Sheet'!$Q$4:$Q$40=$CQ$11)*($NQ$6:$NQ$42=1))&gt;0)</f>
        <v/>
      </c>
      <c r="NS11">
        <f>$NS$10+--($NR11)</f>
        <v/>
      </c>
      <c r="NT11">
        <f>IF(ROW()-3&gt;MAX($NS$4:$NS$40),"",INDEX($CQ$4:$CQ$40,MATCH(ROW()-3,$NS$4:$NS$40,0)))</f>
        <v/>
      </c>
      <c r="NU11">
        <f>IF(COUNTIF('Buyer Groups'!DG64:DW64,0)+COUNTIF('Buyer Groups'!DY64:EN64,0)&gt;0,0,1)</f>
        <v/>
      </c>
      <c r="NV11">
        <f>IF($CV$11="",FALSE,SUMPRODUCT(('Final Calculation Sheet'!$R$4:$R$40=$CV$11)*($NU$6:$NU$42=1))&gt;0)</f>
        <v/>
      </c>
      <c r="NW11">
        <f>$NW$10+--($NV11)</f>
        <v/>
      </c>
      <c r="NX11">
        <f>IF(ROW()-3&gt;MAX($NW$4:$NW$40),"",INDEX($CV$4:$CV$40,MATCH(ROW()-3,$NW$4:$NW$40,0)))</f>
        <v/>
      </c>
      <c r="NY11">
        <f>IF(COUNTIF('Buyer Groups'!DG64:DX64,0)+COUNTIF('Buyer Groups'!DZ64:EN64,0)&gt;0,0,1)</f>
        <v/>
      </c>
      <c r="NZ11">
        <f>IF($DA$11="",FALSE,SUMPRODUCT(('Final Calculation Sheet'!$S$4:$S$40=$DA$11)*($NY$6:$NY$42=1))&gt;0)</f>
        <v/>
      </c>
      <c r="OA11">
        <f>$OA$10+--($NZ11)</f>
        <v/>
      </c>
      <c r="OB11">
        <f>IF(ROW()-3&gt;MAX($OA$4:$OA$40),"",INDEX($DA$4:$DA$40,MATCH(ROW()-3,$OA$4:$OA$40,0)))</f>
        <v/>
      </c>
      <c r="OC11">
        <f>IF(COUNTIF('Buyer Groups'!DG64:DY64,0)+COUNTIF('Buyer Groups'!EA64:EN64,0)&gt;0,0,1)</f>
        <v/>
      </c>
      <c r="OD11">
        <f>IF($DF$11="",FALSE,SUMPRODUCT(('Final Calculation Sheet'!$T$4:$T$40=$DF$11)*($OC$6:$OC$42=1))&gt;0)</f>
        <v/>
      </c>
      <c r="OE11">
        <f>$OE$10+--($OD11)</f>
        <v/>
      </c>
      <c r="OF11">
        <f>IF(ROW()-3&gt;MAX($OE$4:$OE$40),"",INDEX($DF$4:$DF$40,MATCH(ROW()-3,$OE$4:$OE$40,0)))</f>
        <v/>
      </c>
      <c r="OG11">
        <f>IF(COUNTIF('Buyer Groups'!DG64:DZ64,0)+COUNTIF('Buyer Groups'!EB64:EN64,0)&gt;0,0,1)</f>
        <v/>
      </c>
      <c r="OH11">
        <f>IF($DK$11="",FALSE,SUMPRODUCT(('Final Calculation Sheet'!$U$4:$U$40=$DK$11)*($OG$6:$OG$42=1))&gt;0)</f>
        <v/>
      </c>
      <c r="OI11">
        <f>$OI$10+--($OH11)</f>
        <v/>
      </c>
      <c r="OJ11">
        <f>IF(ROW()-3&gt;MAX($OI$4:$OI$40),"",INDEX($DK$4:$DK$40,MATCH(ROW()-3,$OI$4:$OI$40,0)))</f>
        <v/>
      </c>
      <c r="OK11">
        <f>IF(COUNTIF('Buyer Groups'!DG64:EA64,0)+COUNTIF('Buyer Groups'!EC64:EN64,0)&gt;0,0,1)</f>
        <v/>
      </c>
      <c r="OL11">
        <f>IF($DP$11="",FALSE,SUMPRODUCT(('Final Calculation Sheet'!$V$4:$V$40=$DP$11)*($OK$6:$OK$42=1))&gt;0)</f>
        <v/>
      </c>
      <c r="OM11">
        <f>$OM$10+--($OL11)</f>
        <v/>
      </c>
      <c r="ON11">
        <f>IF(ROW()-3&gt;MAX($OM$4:$OM$40),"",INDEX($DP$4:$DP$40,MATCH(ROW()-3,$OM$4:$OM$40,0)))</f>
        <v/>
      </c>
      <c r="OO11">
        <f>IF(COUNTIF('Buyer Groups'!DG64:EB64,0)+COUNTIF('Buyer Groups'!ED64:EN64,0)&gt;0,0,1)</f>
        <v/>
      </c>
      <c r="OP11">
        <f>IF($DU$11="",FALSE,SUMPRODUCT(('Final Calculation Sheet'!$W$4:$W$40=$DU$11)*($OO$6:$OO$42=1))&gt;0)</f>
        <v/>
      </c>
      <c r="OQ11">
        <f>$OQ$10+--($OP11)</f>
        <v/>
      </c>
      <c r="OR11">
        <f>IF(ROW()-3&gt;MAX($OQ$4:$OQ$40),"",INDEX($DU$4:$DU$40,MATCH(ROW()-3,$OQ$4:$OQ$40,0)))</f>
        <v/>
      </c>
      <c r="OS11">
        <f>IF(COUNTIF('Buyer Groups'!DG64:EC64,0)+COUNTIF('Buyer Groups'!EE64:EN64,0)&gt;0,0,1)</f>
        <v/>
      </c>
      <c r="OT11">
        <f>IF($DZ$11="",FALSE,SUMPRODUCT(('Final Calculation Sheet'!$X$4:$X$40=$DZ$11)*($OS$6:$OS$42=1))&gt;0)</f>
        <v/>
      </c>
      <c r="OU11">
        <f>$OU$10+--($OT11)</f>
        <v/>
      </c>
      <c r="OV11">
        <f>IF(ROW()-3&gt;MAX($OU$4:$OU$40),"",INDEX($DZ$4:$DZ$40,MATCH(ROW()-3,$OU$4:$OU$40,0)))</f>
        <v/>
      </c>
      <c r="OW11">
        <f>IF(COUNTIF('Buyer Groups'!DG64:ED64,0)+COUNTIF('Buyer Groups'!EF64:EN64,0)&gt;0,0,1)</f>
        <v/>
      </c>
      <c r="OX11">
        <f>IF($EE$11="",FALSE,SUMPRODUCT(('Final Calculation Sheet'!$Y$4:$Y$40=$EE$11)*($OW$6:$OW$42=1))&gt;0)</f>
        <v/>
      </c>
      <c r="OY11">
        <f>$OY$10+--($OX11)</f>
        <v/>
      </c>
      <c r="OZ11">
        <f>IF(ROW()-3&gt;MAX($OY$4:$OY$40),"",INDEX($EE$4:$EE$40,MATCH(ROW()-3,$OY$4:$OY$40,0)))</f>
        <v/>
      </c>
      <c r="PA11">
        <f>IF(COUNTIF('Buyer Groups'!DG64:EE64,0)+COUNTIF('Buyer Groups'!EG64:EN64,0)&gt;0,0,1)</f>
        <v/>
      </c>
      <c r="PB11">
        <f>IF($EJ$11="",FALSE,SUMPRODUCT(('Final Calculation Sheet'!$Z$4:$Z$40=$EJ$11)*($PA$6:$PA$42=1))&gt;0)</f>
        <v/>
      </c>
      <c r="PC11">
        <f>$PC$10+--($PB11)</f>
        <v/>
      </c>
      <c r="PD11">
        <f>IF(ROW()-3&gt;MAX($PC$4:$PC$40),"",INDEX($EJ$4:$EJ$40,MATCH(ROW()-3,$PC$4:$PC$40,0)))</f>
        <v/>
      </c>
      <c r="PE11">
        <f>IF(COUNTIF('Buyer Groups'!DG64:EF64,0)+COUNTIF('Buyer Groups'!EH64:EN64,0)&gt;0,0,1)</f>
        <v/>
      </c>
      <c r="PF11">
        <f>IF($EO$11="",FALSE,SUMPRODUCT(('Final Calculation Sheet'!$AA$4:$AA$40=$EO$11)*($PE$6:$PE$42=1))&gt;0)</f>
        <v/>
      </c>
      <c r="PG11">
        <f>$PG$10+--($PF11)</f>
        <v/>
      </c>
      <c r="PH11">
        <f>IF(ROW()-3&gt;MAX($PG$4:$PG$40),"",INDEX($EO$4:$EO$40,MATCH(ROW()-3,$PG$4:$PG$40,0)))</f>
        <v/>
      </c>
      <c r="PI11">
        <f>IF(COUNTIF('Buyer Groups'!DG64:EG64,0)+COUNTIF('Buyer Groups'!EI64:EN64,0)&gt;0,0,1)</f>
        <v/>
      </c>
      <c r="PJ11">
        <f>IF($ET$11="",FALSE,SUMPRODUCT(('Final Calculation Sheet'!$AB$4:$AB$40=$ET$11)*($PI$6:$PI$42=1))&gt;0)</f>
        <v/>
      </c>
      <c r="PK11">
        <f>$PK$10+--($PJ11)</f>
        <v/>
      </c>
      <c r="PL11">
        <f>IF(ROW()-3&gt;MAX($PK$4:$PK$40),"",INDEX($ET$4:$ET$40,MATCH(ROW()-3,$PK$4:$PK$40,0)))</f>
        <v/>
      </c>
      <c r="PM11">
        <f>IF(COUNTIF('Buyer Groups'!DG64:EH64,0)+COUNTIF('Buyer Groups'!EJ64:EN64,0)&gt;0,0,1)</f>
        <v/>
      </c>
      <c r="PN11">
        <f>IF($EY$11="",FALSE,SUMPRODUCT(('Final Calculation Sheet'!$AC$4:$AC$40=$EY$11)*($PM$6:$PM$42=1))&gt;0)</f>
        <v/>
      </c>
      <c r="PO11">
        <f>$PO$10+--($PN11)</f>
        <v/>
      </c>
      <c r="PP11">
        <f>IF(ROW()-3&gt;MAX($PO$4:$PO$40),"",INDEX($EY$4:$EY$40,MATCH(ROW()-3,$PO$4:$PO$40,0)))</f>
        <v/>
      </c>
      <c r="PQ11">
        <f>IF(COUNTIF('Buyer Groups'!DG64:EI64,0)+COUNTIF('Buyer Groups'!EK64:EN64,0)&gt;0,0,1)</f>
        <v/>
      </c>
      <c r="PR11">
        <f>IF($FD$11="",FALSE,SUMPRODUCT(('Final Calculation Sheet'!$AD$4:$AD$40=$FD$11)*($PQ$6:$PQ$42=1))&gt;0)</f>
        <v/>
      </c>
      <c r="PS11">
        <f>$PS$10+--($PR11)</f>
        <v/>
      </c>
      <c r="PT11">
        <f>IF(ROW()-3&gt;MAX($PS$4:$PS$40),"",INDEX($FD$4:$FD$40,MATCH(ROW()-3,$PS$4:$PS$40,0)))</f>
        <v/>
      </c>
      <c r="PU11">
        <f>IF(COUNTIF('Buyer Groups'!DG64:EJ64,0)+COUNTIF('Buyer Groups'!EL64:EN64,0)&gt;0,0,1)</f>
        <v/>
      </c>
      <c r="PV11">
        <f>IF($FX$11="",FALSE,SUMPRODUCT((IF('Final Calculation Sheet'!$AD$4:$AD$40&lt;=5,"SETTLED","OUTSTANDING")=$FX$11)*($PU$6:$PU$42=1))&gt;0)</f>
        <v/>
      </c>
      <c r="PW11">
        <f>$PW$10+--($PV11)</f>
        <v/>
      </c>
      <c r="PX11">
        <f>IF(ROW()-3&gt;MAX($PW$4:$PW$40),"",INDEX($FX$4:$FX$40,MATCH(ROW()-3,$PW$4:$PW$40,0)))</f>
        <v/>
      </c>
      <c r="PY11">
        <f>IF(COUNTIF('Buyer Groups'!DG64:EK64,0)+COUNTIF('Buyer Groups'!EM64:EN64,0)&gt;0,0,1)</f>
        <v/>
      </c>
      <c r="PZ11">
        <f>IF($FI$11="",FALSE,SUMPRODUCT(('Final Calculation Sheet'!$AF$4:$AF$40=$FI$11)*($PY$6:$PY$42=1))&gt;0)</f>
        <v/>
      </c>
      <c r="QA11">
        <f>$QA$10+--($PZ11)</f>
        <v/>
      </c>
      <c r="QB11">
        <f>IF(ROW()-3&gt;MAX($QA$4:$QA$40),"",INDEX($FI$4:$FI$40,MATCH(ROW()-3,$QA$4:$QA$40,0)))</f>
        <v/>
      </c>
      <c r="QC11">
        <f>IF(COUNTIF('Buyer Groups'!DG64:EL64,0)+COUNTIF('Buyer Groups'!EN64:EN64,0)&gt;0,0,1)</f>
        <v/>
      </c>
      <c r="QD11">
        <f>IF($FN$11="",FALSE,SUMPRODUCT(('Final Calculation Sheet'!$AG$4:$AG$40=$FN$11)*($QC$6:$QC$42=1))&gt;0)</f>
        <v/>
      </c>
      <c r="QE11">
        <f>$QE$10+--($QD11)</f>
        <v/>
      </c>
      <c r="QF11">
        <f>IF(ROW()-3&gt;MAX($QE$4:$QE$40),"",INDEX($FN$4:$FN$40,MATCH(ROW()-3,$QE$4:$QE$40,0)))</f>
        <v/>
      </c>
      <c r="QG11">
        <f>IF(COUNTIF('Buyer Groups'!DG64:EM64,0)&gt;0,0,1)</f>
        <v/>
      </c>
      <c r="QH11">
        <f>IF($FS$11="",FALSE,SUMPRODUCT(('Final Calculation Sheet'!$AH$4:$AH$40=$FS$11)*($QG$6:$QG$42=1))&gt;0)</f>
        <v/>
      </c>
      <c r="QI11">
        <f>$QI$10+--($QH11)</f>
        <v/>
      </c>
      <c r="QJ11">
        <f>IF(ROW()-3&gt;MAX($QI$4:$QI$40),"",INDEX($FS$4:$FS$40,MATCH(ROW()-3,$QI$4:$QI$40,0)))</f>
        <v/>
      </c>
      <c r="QK11" t="str">
        <f>IF('Final Calculation Sheet'!$AH$11="","",'Final Calculation Sheet'!$AH$11)</f>
      </c>
      <c r="QL11" t="str">
        <f>IF(QK11="","",COUNTIFS(QK$4:QK$40,"&lt;"&amp;QK11,QK$4:QK$40,"&lt;&gt;"&amp;"")+COUNTIF(QK$4:QK11,QK11))</f>
      </c>
      <c r="QM11" t="str">
        <f>IF(ROW()-3&gt;COUNTIF(QK$4:QK$40,"&lt;&gt;"&amp;""),"",INDEX(QK$4:QK$40,MATCH(ROW()-3,QL$4:QL$40,0)))</f>
      </c>
      <c r="QN11" t="str">
        <f>=QN10+F(AND(QM11&lt;&gt;"",COUNTIF(QM$4:QM11,QM11)=1),1,0)</f>
      </c>
      <c r="QO11" t="str">
        <f>IF(ROW()-3&gt;MAX(QN$4:QN$40),"",INDEX(QM$4:QM$40,MATCH(ROW()-3,QN$4:QN$40,0)))</f>
      </c>
      <c r="QP11" t="str">
        <f>IF(COUNTIF('Final Calculation Sheet'!$AM11:$BS11,0)&gt;0,0,1)</f>
      </c>
      <c r="QQ11" t="str">
        <f>IF($AI$11="",FALSE,SUMPRODUCT(('Final Calculation Sheet'!$A$4:$A$40=$AI$11)*($QP$4:$QP$40=1))&gt;0)</f>
      </c>
      <c r="QR11" t="str">
        <f>=$QR10+--($QQ11)</f>
      </c>
      <c r="QS11" t="str">
        <f>IF(ROW()-3&gt;MAX($QR$4:$QR$40),"",INDEX($AI$4:$AI$40,MATCH(ROW()-3,$QR$4:$QR$40,0)))</f>
      </c>
      <c r="QT11" t="str">
        <f>IF(COUNTIF('Final Calculation Sheet'!$AL11:$AL11,0)+COUNTIF('Final Calculation Sheet'!$AN11:$BS11,0)&gt;0,0,1)</f>
      </c>
      <c r="QU11" t="str">
        <f>IF($Y$11="",FALSE,SUMPRODUCT(('Final Calculation Sheet'!$B$4:$B$40=$Y$11)*($QT$4:$QT$40=1))&gt;0)</f>
      </c>
      <c r="QV11" t="str">
        <f>=$QV10+--($QU11)</f>
      </c>
      <c r="QW11" t="str">
        <f>IF(ROW()-3&gt;MAX($QV$4:$QV$40),"",INDEX($Y$4:$Y$40,MATCH(ROW()-3,$QV$4:$QV$40,0)))</f>
      </c>
      <c r="QX11" t="str">
        <f>IF(COUNTIF('Final Calculation Sheet'!$AL11:$AM11,0)+COUNTIF('Final Calculation Sheet'!$AO11:$BS11,0)&gt;0,0,1)</f>
      </c>
      <c r="QY11" t="str">
        <f>IF($AS$11="",FALSE,SUMPRODUCT(('Final Calculation Sheet'!$C$4:$C$40=$AS$11)*($QX$4:$QX$40=1))&gt;0)</f>
      </c>
      <c r="QZ11" t="str">
        <f>=$QZ10+--($QY11)</f>
      </c>
      <c r="RA11" t="str">
        <f>IF(ROW()-3&gt;MAX($QZ$4:$QZ$40),"",INDEX($AS$4:$AS$40,MATCH(ROW()-3,$QZ$4:$QZ$40,0)))</f>
      </c>
      <c r="RB11" t="str">
        <f>IF(COUNTIF('Final Calculation Sheet'!$AL11:$AN11,0)+COUNTIF('Final Calculation Sheet'!$AP11:$BS11,0)&gt;0,0,1)</f>
      </c>
      <c r="RC11" t="str">
        <f>IF($AD$11="",FALSE,SUMPRODUCT(('Final Calculation Sheet'!$D$4:$D$40=$AD$11)*($RB$4:$RB$40=1))&gt;0)</f>
      </c>
      <c r="RD11" t="str">
        <f>=$RD10+--($RC11)</f>
      </c>
      <c r="RE11" t="str">
        <f>IF(ROW()-3&gt;MAX($RD$4:$RD$40),"",INDEX($AD$4:$AD$40,MATCH(ROW()-3,$RD$4:$RD$40,0)))</f>
      </c>
      <c r="RF11" t="str">
        <f>IF(COUNTIF('Final Calculation Sheet'!$AL11:$AO11,0)+COUNTIF('Final Calculation Sheet'!$AQ11:$BS11,0)&gt;0,0,1)</f>
      </c>
      <c r="RG11" t="str">
        <f>IF($AN$11="",FALSE,SUMPRODUCT(('Final Calculation Sheet'!$E$4:$E$40=$AN$11)*($RF$4:$RF$40=1))&gt;0)</f>
      </c>
      <c r="RH11" t="str">
        <f>=$RH10+--($RG11)</f>
      </c>
      <c r="RI11" t="str">
        <f>IF(ROW()-3&gt;MAX($RH$4:$RH$40),"",INDEX($AN$4:$AN$40,MATCH(ROW()-3,$RH$4:$RH$40,0)))</f>
      </c>
      <c r="RJ11" t="str">
        <f>IF(COUNTIF('Final Calculation Sheet'!$AL11:$AP11,0)+COUNTIF('Final Calculation Sheet'!$AR11:$BS11,0)&gt;0,0,1)</f>
      </c>
      <c r="RK11" t="str">
        <f>IF($O$11="",FALSE,SUMPRODUCT(('Final Calculation Sheet'!$F$4:$F$40=$O$11)*($RJ$4:$RJ$40=1))&gt;0)</f>
      </c>
      <c r="RL11" t="str">
        <f>=$RL10+--($RK11)</f>
      </c>
      <c r="RM11" t="str">
        <f>IF(ROW()-3&gt;MAX($RL$4:$RL$40),"",INDEX($O$4:$O$40,MATCH(ROW()-3,$RL$4:$RL$40,0)))</f>
      </c>
      <c r="RN11" t="str">
        <f>IF(COUNTIF('Final Calculation Sheet'!$AL11:$AQ11,0)+COUNTIF('Final Calculation Sheet'!$AS11:$BS11,0)&gt;0,0,1)</f>
      </c>
      <c r="RO11" t="str">
        <f>IF($T$11="",FALSE,SUMPRODUCT(('Final Calculation Sheet'!$G$4:$G$40=$T$11)*($RN$4:$RN$40=1))&gt;0)</f>
      </c>
      <c r="RP11" t="str">
        <f>=$RP10+--($RO11)</f>
      </c>
      <c r="RQ11" t="str">
        <f>IF(ROW()-3&gt;MAX($RP$4:$RP$40),"",INDEX($T$4:$T$40,MATCH(ROW()-3,$RP$4:$RP$40,0)))</f>
      </c>
      <c r="RR11" t="str">
        <f>IF(COUNTIF('Final Calculation Sheet'!$AL11:$AR11,0)+COUNTIF('Final Calculation Sheet'!$AT11:$BS11,0)&gt;0,0,1)</f>
      </c>
      <c r="RS11" t="str">
        <f>IF($AX$11="",FALSE,SUMPRODUCT(('Final Calculation Sheet'!$H$4:$H$40=$AX$11)*($RR$4:$RR$40=1))&gt;0)</f>
      </c>
      <c r="RT11" t="str">
        <f>=$RT10+--($RS11)</f>
      </c>
      <c r="RU11" t="str">
        <f>IF(ROW()-3&gt;MAX($RT$4:$RT$40),"",INDEX($AX$4:$AX$40,MATCH(ROW()-3,$RT$4:$RT$40,0)))</f>
      </c>
      <c r="RV11" t="str">
        <f>IF(COUNTIF('Final Calculation Sheet'!$AL11:$AS11,0)+COUNTIF('Final Calculation Sheet'!$AU11:$BS11,0)&gt;0,0,1)</f>
      </c>
      <c r="RW11" t="str">
        <f>IF($BC$11="",FALSE,SUMPRODUCT(('Final Calculation Sheet'!$I$4:$I$40=$BC$11)*($RV$4:$RV$40=1))&gt;0)</f>
      </c>
      <c r="RX11" t="str">
        <f>=$RX10+--($RW11)</f>
      </c>
      <c r="RY11" t="str">
        <f>IF(ROW()-3&gt;MAX($RX$4:$RX$40),"",INDEX($BC$4:$BC$40,MATCH(ROW()-3,$RX$4:$RX$40,0)))</f>
      </c>
      <c r="RZ11" t="str">
        <f>IF(COUNTIF('Final Calculation Sheet'!$AL11:$AT11,0)+COUNTIF('Final Calculation Sheet'!$AV11:$BS11,0)&gt;0,0,1)</f>
      </c>
      <c r="SA11" t="str">
        <f>IF($BH$11="",FALSE,SUMPRODUCT(('Final Calculation Sheet'!$J$4:$J$40=$BH$11)*($RZ$4:$RZ$40=1))&gt;0)</f>
      </c>
      <c r="SB11" t="str">
        <f>=$SB10+--($SA11)</f>
      </c>
      <c r="SC11" t="str">
        <f>IF(ROW()-3&gt;MAX($SB$4:$SB$40),"",INDEX($BH$4:$BH$40,MATCH(ROW()-3,$SB$4:$SB$40,0)))</f>
      </c>
      <c r="SD11" t="str">
        <f>IF(COUNTIF('Final Calculation Sheet'!$AL11:$AU11,0)+COUNTIF('Final Calculation Sheet'!$AW11:$BS11,0)&gt;0,0,1)</f>
      </c>
      <c r="SE11" t="str">
        <f>IF($BM$11="",FALSE,SUMPRODUCT(('Final Calculation Sheet'!$K$4:$K$40=$BM$11)*($SD$4:$SD$40=1))&gt;0)</f>
      </c>
      <c r="SF11" t="str">
        <f>=$SF10+--($SE11)</f>
      </c>
      <c r="SG11" t="str">
        <f>IF(ROW()-3&gt;MAX($SF$4:$SF$40),"",INDEX($BM$4:$BM$40,MATCH(ROW()-3,$SF$4:$SF$40,0)))</f>
      </c>
      <c r="SH11" t="str">
        <f>IF(COUNTIF('Final Calculation Sheet'!$AL11:$AV11,0)+COUNTIF('Final Calculation Sheet'!$AX11:$BS11,0)&gt;0,0,1)</f>
      </c>
      <c r="SI11" t="str">
        <f>IF($BR$11="",FALSE,SUMPRODUCT(('Final Calculation Sheet'!$L$4:$L$40=$BR$11)*($SH$4:$SH$40=1))&gt;0)</f>
      </c>
      <c r="SJ11" t="str">
        <f>=$SJ10+--($SI11)</f>
      </c>
      <c r="SK11" t="str">
        <f>IF(ROW()-3&gt;MAX($SJ$4:$SJ$40),"",INDEX($BR$4:$BR$40,MATCH(ROW()-3,$SJ$4:$SJ$40,0)))</f>
      </c>
      <c r="SL11" t="str">
        <f>IF(COUNTIF('Final Calculation Sheet'!$AL11:$AW11,0)+COUNTIF('Final Calculation Sheet'!$AY11:$BS11,0)&gt;0,0,1)</f>
      </c>
      <c r="SM11" t="str">
        <f>IF($BW$11="",FALSE,SUMPRODUCT(('Final Calculation Sheet'!$M$4:$M$40=$BW$11)*($SL$4:$SL$40=1))&gt;0)</f>
      </c>
      <c r="SN11" t="str">
        <f>=$SN10+--($SM11)</f>
      </c>
      <c r="SO11" t="str">
        <f>IF(ROW()-3&gt;MAX($SN$4:$SN$40),"",INDEX($BW$4:$BW$40,MATCH(ROW()-3,$SN$4:$SN$40,0)))</f>
      </c>
      <c r="SP11" t="str">
        <f>IF(COUNTIF('Final Calculation Sheet'!$AL11:$AX11,0)+COUNTIF('Final Calculation Sheet'!$AZ11:$BS11,0)&gt;0,0,1)</f>
      </c>
      <c r="SQ11" t="str">
        <f>IF($CB$11="",FALSE,SUMPRODUCT(('Final Calculation Sheet'!$N$4:$N$40=$CB$11)*($SP$4:$SP$40=1))&gt;0)</f>
      </c>
      <c r="SR11" t="str">
        <f>=$SR10+--($SQ11)</f>
      </c>
      <c r="SS11" t="str">
        <f>IF(ROW()-3&gt;MAX($SR$4:$SR$40),"",INDEX($CB$4:$CB$40,MATCH(ROW()-3,$SR$4:$SR$40,0)))</f>
      </c>
      <c r="ST11" t="str">
        <f>IF(COUNTIF('Final Calculation Sheet'!$AL11:$AY11,0)+COUNTIF('Final Calculation Sheet'!$BA11:$BS11,0)&gt;0,0,1)</f>
      </c>
      <c r="SU11" t="str">
        <f>IF($CG$11="",FALSE,SUMPRODUCT(('Final Calculation Sheet'!$O$4:$O$40=$CG$11)*($ST$4:$ST$40=1))&gt;0)</f>
      </c>
      <c r="SV11" t="str">
        <f>=$SV10+--($SU11)</f>
      </c>
      <c r="SW11" t="str">
        <f>IF(ROW()-3&gt;MAX($SV$4:$SV$40),"",INDEX($CG$4:$CG$40,MATCH(ROW()-3,$SV$4:$SV$40,0)))</f>
      </c>
      <c r="SX11" t="str">
        <f>IF(COUNTIF('Final Calculation Sheet'!$AL11:$AZ11,0)+COUNTIF('Final Calculation Sheet'!$BB11:$BS11,0)&gt;0,0,1)</f>
      </c>
      <c r="SY11" t="str">
        <f>IF($CL$11="",FALSE,SUMPRODUCT(('Final Calculation Sheet'!$P$4:$P$40=$CL$11)*($SX$4:$SX$40=1))&gt;0)</f>
      </c>
      <c r="SZ11" t="str">
        <f>=$SZ10+--($SY11)</f>
      </c>
      <c r="TA11" t="str">
        <f>IF(ROW()-3&gt;MAX($SZ$4:$SZ$40),"",INDEX($CL$4:$CL$40,MATCH(ROW()-3,$SZ$4:$SZ$40,0)))</f>
      </c>
      <c r="TB11" t="str">
        <f>IF(COUNTIF('Final Calculation Sheet'!$AL11:$BA11,0)+COUNTIF('Final Calculation Sheet'!$BC11:$BS11,0)&gt;0,0,1)</f>
      </c>
      <c r="TC11" t="str">
        <f>IF($CQ$11="",FALSE,SUMPRODUCT(('Final Calculation Sheet'!$Q$4:$Q$40=$CQ$11)*($TB$4:$TB$40=1))&gt;0)</f>
      </c>
      <c r="TD11" t="str">
        <f>=$TD10+--($TC11)</f>
      </c>
      <c r="TE11" t="str">
        <f>IF(ROW()-3&gt;MAX($TD$4:$TD$40),"",INDEX($CQ$4:$CQ$40,MATCH(ROW()-3,$TD$4:$TD$40,0)))</f>
      </c>
      <c r="TF11" t="str">
        <f>IF(COUNTIF('Final Calculation Sheet'!$AL11:$BB11,0)+COUNTIF('Final Calculation Sheet'!$BD11:$BS11,0)&gt;0,0,1)</f>
      </c>
      <c r="TG11" t="str">
        <f>IF($CV$11="",FALSE,SUMPRODUCT(('Final Calculation Sheet'!$R$4:$R$40=$CV$11)*($TF$4:$TF$40=1))&gt;0)</f>
      </c>
      <c r="TH11" t="str">
        <f>=$TH10+--($TG11)</f>
      </c>
      <c r="TI11" t="str">
        <f>IF(ROW()-3&gt;MAX($TH$4:$TH$40),"",INDEX($CV$4:$CV$40,MATCH(ROW()-3,$TH$4:$TH$40,0)))</f>
      </c>
      <c r="TJ11" t="str">
        <f>IF(COUNTIF('Final Calculation Sheet'!$AL11:$BC11,0)+COUNTIF('Final Calculation Sheet'!$BE11:$BS11,0)&gt;0,0,1)</f>
      </c>
      <c r="TK11" t="str">
        <f>IF($DA$11="",FALSE,SUMPRODUCT(('Final Calculation Sheet'!$S$4:$S$40=$DA$11)*($TJ$4:$TJ$40=1))&gt;0)</f>
      </c>
      <c r="TL11" t="str">
        <f>=$TL10+--($TK11)</f>
      </c>
      <c r="TM11" t="str">
        <f>IF(ROW()-3&gt;MAX($TL$4:$TL$40),"",INDEX($DA$4:$DA$40,MATCH(ROW()-3,$TL$4:$TL$40,0)))</f>
      </c>
      <c r="TN11" t="str">
        <f>IF(COUNTIF('Final Calculation Sheet'!$AL11:$BD11,0)+COUNTIF('Final Calculation Sheet'!$BF11:$BS11,0)&gt;0,0,1)</f>
      </c>
      <c r="TO11" t="str">
        <f>IF($DF$11="",FALSE,SUMPRODUCT(('Final Calculation Sheet'!$T$4:$T$40=$DF$11)*($TN$4:$TN$40=1))&gt;0)</f>
      </c>
      <c r="TP11" t="str">
        <f>=$TP10+--($TO11)</f>
      </c>
      <c r="TQ11" t="str">
        <f>IF(ROW()-3&gt;MAX($TP$4:$TP$40),"",INDEX($DF$4:$DF$40,MATCH(ROW()-3,$TP$4:$TP$40,0)))</f>
      </c>
      <c r="TR11" t="str">
        <f>IF(COUNTIF('Final Calculation Sheet'!$AL11:$BE11,0)+COUNTIF('Final Calculation Sheet'!$BG11:$BS11,0)&gt;0,0,1)</f>
      </c>
      <c r="TS11" t="str">
        <f>IF($DK$11="",FALSE,SUMPRODUCT(('Final Calculation Sheet'!$U$4:$U$40=$DK$11)*($TR$4:$TR$40=1))&gt;0)</f>
      </c>
      <c r="TT11" t="str">
        <f>=$TT10+--($TS11)</f>
      </c>
      <c r="TU11" t="str">
        <f>IF(ROW()-3&gt;MAX($TT$4:$TT$40),"",INDEX($DK$4:$DK$40,MATCH(ROW()-3,$TT$4:$TT$40,0)))</f>
      </c>
      <c r="TV11" t="str">
        <f>IF(COUNTIF('Final Calculation Sheet'!$AL11:$BF11,0)+COUNTIF('Final Calculation Sheet'!$BH11:$BS11,0)&gt;0,0,1)</f>
      </c>
      <c r="TW11" t="str">
        <f>IF($DP$11="",FALSE,SUMPRODUCT(('Final Calculation Sheet'!$V$4:$V$40=$DP$11)*($TV$4:$TV$40=1))&gt;0)</f>
      </c>
      <c r="TX11" t="str">
        <f>=$TX10+--($TW11)</f>
      </c>
      <c r="TY11" t="str">
        <f>IF(ROW()-3&gt;MAX($TX$4:$TX$40),"",INDEX($DP$4:$DP$40,MATCH(ROW()-3,$TX$4:$TX$40,0)))</f>
      </c>
      <c r="TZ11" t="str">
        <f>IF(COUNTIF('Final Calculation Sheet'!$AL11:$BG11,0)+COUNTIF('Final Calculation Sheet'!$BI11:$BS11,0)&gt;0,0,1)</f>
      </c>
      <c r="UA11" t="str">
        <f>IF($DU$11="",FALSE,SUMPRODUCT(('Final Calculation Sheet'!$W$4:$W$40=$DU$11)*($TZ$4:$TZ$40=1))&gt;0)</f>
      </c>
      <c r="UB11" t="str">
        <f>=$UB10+--($UA11)</f>
      </c>
      <c r="UC11" t="str">
        <f>IF(ROW()-3&gt;MAX($UB$4:$UB$40),"",INDEX($DU$4:$DU$40,MATCH(ROW()-3,$UB$4:$UB$40,0)))</f>
      </c>
      <c r="UD11" t="str">
        <f>IF(COUNTIF('Final Calculation Sheet'!$AL11:$BH11,0)+COUNTIF('Final Calculation Sheet'!$BJ11:$BS11,0)&gt;0,0,1)</f>
      </c>
      <c r="UE11" t="str">
        <f>IF($DZ$11="",FALSE,SUMPRODUCT(('Final Calculation Sheet'!$X$4:$X$40=$DZ$11)*($UD$4:$UD$40=1))&gt;0)</f>
      </c>
      <c r="UF11" t="str">
        <f>=$UF10+--($UE11)</f>
      </c>
      <c r="UG11" t="str">
        <f>IF(ROW()-3&gt;MAX($UF$4:$UF$40),"",INDEX($DZ$4:$DZ$40,MATCH(ROW()-3,$UF$4:$UF$40,0)))</f>
      </c>
      <c r="UH11" t="str">
        <f>IF(COUNTIF('Final Calculation Sheet'!$AL11:$BI11,0)+COUNTIF('Final Calculation Sheet'!$BK11:$BS11,0)&gt;0,0,1)</f>
      </c>
      <c r="UI11" t="str">
        <f>IF($EE$11="",FALSE,SUMPRODUCT(('Final Calculation Sheet'!$Y$4:$Y$40=$EE$11)*($UH$4:$UH$40=1))&gt;0)</f>
      </c>
      <c r="UJ11" t="str">
        <f>=$UJ10+--($UI11)</f>
      </c>
      <c r="UK11" t="str">
        <f>IF(ROW()-3&gt;MAX($UJ$4:$UJ$40),"",INDEX($EE$4:$EE$40,MATCH(ROW()-3,$UJ$4:$UJ$40,0)))</f>
      </c>
      <c r="UL11" t="str">
        <f>IF(COUNTIF('Final Calculation Sheet'!$AL11:$BJ11,0)+COUNTIF('Final Calculation Sheet'!$BL11:$BS11,0)&gt;0,0,1)</f>
      </c>
      <c r="UM11" t="str">
        <f>IF($EJ$11="",FALSE,SUMPRODUCT(('Final Calculation Sheet'!$Z$4:$Z$40=$EJ$11)*($UL$4:$UL$40=1))&gt;0)</f>
      </c>
      <c r="UN11" t="str">
        <f>=$UN10+--($UM11)</f>
      </c>
      <c r="UO11" t="str">
        <f>IF(ROW()-3&gt;MAX($UN$4:$UN$40),"",INDEX($EJ$4:$EJ$40,MATCH(ROW()-3,$UN$4:$UN$40,0)))</f>
      </c>
      <c r="UP11" t="str">
        <f>IF(COUNTIF('Final Calculation Sheet'!$AL11:$BK11,0)+COUNTIF('Final Calculation Sheet'!$BM11:$BS11,0)&gt;0,0,1)</f>
      </c>
      <c r="UQ11" t="str">
        <f>IF($EO$11="",FALSE,SUMPRODUCT(('Final Calculation Sheet'!$AA$4:$AA$40=$EO$11)*($UP$4:$UP$40=1))&gt;0)</f>
      </c>
      <c r="UR11" t="str">
        <f>=$UR10+--($UQ11)</f>
      </c>
      <c r="US11" t="str">
        <f>IF(ROW()-3&gt;MAX($UR$4:$UR$40),"",INDEX($EO$4:$EO$40,MATCH(ROW()-3,$UR$4:$UR$40,0)))</f>
      </c>
      <c r="UT11" t="str">
        <f>IF(COUNTIF('Final Calculation Sheet'!$AL11:$BL11,0)+COUNTIF('Final Calculation Sheet'!$BN11:$BS11,0)&gt;0,0,1)</f>
      </c>
      <c r="UU11" t="str">
        <f>IF($ET$11="",FALSE,SUMPRODUCT(('Final Calculation Sheet'!$AB$4:$AB$40=$ET$11)*($UT$4:$UT$40=1))&gt;0)</f>
      </c>
      <c r="UV11" t="str">
        <f>=$UV10+--($UU11)</f>
      </c>
      <c r="UW11" t="str">
        <f>IF(ROW()-3&gt;MAX($UV$4:$UV$40),"",INDEX($ET$4:$ET$40,MATCH(ROW()-3,$UV$4:$UV$40,0)))</f>
      </c>
      <c r="UX11" t="str">
        <f>IF(COUNTIF('Final Calculation Sheet'!$AL11:$BM11,0)+COUNTIF('Final Calculation Sheet'!$BO11:$BS11,0)&gt;0,0,1)</f>
      </c>
      <c r="UY11" t="str">
        <f>IF($EY$11="",FALSE,SUMPRODUCT(('Final Calculation Sheet'!$AC$4:$AC$40=$EY$11)*($UX$4:$UX$40=1))&gt;0)</f>
      </c>
      <c r="UZ11" t="str">
        <f>=$UZ10+--($UY11)</f>
      </c>
      <c r="VA11" t="str">
        <f>IF(ROW()-3&gt;MAX($UZ$4:$UZ$40),"",INDEX($EY$4:$EY$40,MATCH(ROW()-3,$UZ$4:$UZ$40,0)))</f>
      </c>
      <c r="VB11" t="str">
        <f>IF(COUNTIF('Final Calculation Sheet'!$AL11:$BN11,0)+COUNTIF('Final Calculation Sheet'!$BP11:$BS11,0)&gt;0,0,1)</f>
      </c>
      <c r="VC11" t="str">
        <f>IF($FD$11="",FALSE,SUMPRODUCT(('Final Calculation Sheet'!$AD$4:$AD$40=$FD$11)*($VB$4:$VB$40=1))&gt;0)</f>
      </c>
      <c r="VD11" t="str">
        <f>=$VD10+--($VC11)</f>
      </c>
      <c r="VE11" t="str">
        <f>IF(ROW()-3&gt;MAX($VD$4:$VD$40),"",INDEX($FD$4:$FD$40,MATCH(ROW()-3,$VD$4:$VD$40,0)))</f>
      </c>
      <c r="VF11" t="str">
        <f>IF(COUNTIF('Final Calculation Sheet'!$AL11:$BO11,0)+COUNTIF('Final Calculation Sheet'!$BQ11:$BS11,0)&gt;0,0,1)</f>
      </c>
      <c r="VG11" t="str">
        <f>IF($FI$11="",FALSE,SUMPRODUCT(('Final Calculation Sheet'!$AE$4:$AE$40=$FI$11)*($VF$4:$VF$40=1))&gt;0)</f>
      </c>
      <c r="VH11" t="str">
        <f>=$VH10+--($VG11)</f>
      </c>
      <c r="VI11" t="str">
        <f>IF(ROW()-3&gt;MAX($VH$4:$VH$40),"",INDEX($FI$4:$FI$40,MATCH(ROW()-3,$VH$4:$VH$40,0)))</f>
      </c>
      <c r="VJ11" t="str">
        <f>IF(COUNTIF('Final Calculation Sheet'!$AL11:$BP11,0)+COUNTIF('Final Calculation Sheet'!$BR11:$BS11,0)&gt;0,0,1)</f>
      </c>
      <c r="VK11" t="str">
        <f>IF($FN$11="",FALSE,SUMPRODUCT(('Final Calculation Sheet'!$AF$4:$AF$40=$FN$11)*($VJ$4:$VJ$40=1))&gt;0)</f>
      </c>
      <c r="VL11" t="str">
        <f>=$VL10+--($VK11)</f>
      </c>
      <c r="VM11" t="str">
        <f>IF(ROW()-3&gt;MAX($VL$4:$VL$40),"",INDEX($FN$4:$FN$40,MATCH(ROW()-3,$VL$4:$VL$40,0)))</f>
      </c>
      <c r="VN11" t="str">
        <f>IF(COUNTIF('Final Calculation Sheet'!$AL11:$BQ11,0)+COUNTIF('Final Calculation Sheet'!$BS11:$BS11,0)&gt;0,0,1)</f>
      </c>
      <c r="VO11" t="str">
        <f>IF($FS$11="",FALSE,SUMPRODUCT(('Final Calculation Sheet'!$AG$4:$AG$40=$FS$11)*($VN$4:$VN$40=1))&gt;0)</f>
      </c>
      <c r="VP11" t="str">
        <f>=$VP10+--($VO11)</f>
      </c>
      <c r="VQ11" t="str">
        <f>IF(ROW()-3&gt;MAX($VP$4:$VP$40),"",INDEX($FS$4:$FS$40,MATCH(ROW()-3,$VP$4:$VP$40,0)))</f>
      </c>
      <c r="VR11" t="str">
        <f>IF(COUNTIF('Final Calculation Sheet'!$AL11:$BR11,0)&gt;0,0,1)</f>
      </c>
      <c r="VS11" t="str">
        <f>IF($QO$11="",FALSE,SUMPRODUCT(('Final Calculation Sheet'!$AH$4:$AH$40=$QO$11)*($VR$4:$VR$40=1))&gt;0)</f>
      </c>
      <c r="VT11" t="str">
        <f>=$VT10+--($VS11)</f>
      </c>
      <c r="VU11" t="str">
        <f>IF(ROW()-3&gt;MAX($VT$4:$VT$40),"",INDEX($QO$4:$QO$40,MATCH(ROW()-3,$VT$4:$VT$40,0)))</f>
      </c>
    </row>
    <row r="12">
      <c r="A12">
        <f>IF(IFERROR('Final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IF(IFERROR('Final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s="55">
        <f>IF('Final Calculation Sheet'!$C$12="","",'Final Calculation Sheet'!$C$12)</f>
        <v/>
      </c>
      <c r="AP12">
        <f>IF(AO12="","",COUNTIFS(AO$4:AO$40,"&lt;"&amp;AO12,AO$4:AO$40,"&lt;&gt;"&amp;"")+COUNTIF(AO$4:AO12,AO12))</f>
        <v/>
      </c>
      <c r="AQ12" s="55">
        <f>IF(ROW()-3&gt;COUNTIF(AO$4:AO$40,"&lt;&gt;"&amp;""),"",INDEX(AO$4:AO$40,MATCH(ROW()-3,AP$4:AP$40,0)))</f>
        <v/>
      </c>
      <c r="AR12">
        <f>AR11+IF(AND(AQ12&lt;&gt;"",COUNTIF(AQ$4:AQ12,AQ12)=1),1,0)</f>
        <v/>
      </c>
      <c r="AS12" s="55">
        <f>IF(ROW()-3&gt;MAX(AR$4:AR$40),"",INDEX(AQ$4:AQ$40,MATCH(ROW()-3,AR$4:AR$40,0)))</f>
        <v/>
      </c>
      <c r="AT12" s="55">
        <f>IF('Final Calculation Sheet'!$H$12="","",'Final Calculation Sheet'!$H$12)</f>
        <v/>
      </c>
      <c r="AU12">
        <f>IF(AT12="","",COUNTIFS(AT$4:AT$40,"&lt;"&amp;AT12,AT$4:AT$40,"&lt;&gt;"&amp;"")+COUNTIF(AT$4:AT12,AT12))</f>
        <v/>
      </c>
      <c r="AV12" s="55">
        <f>IF(ROW()-3&gt;COUNTIF(AT$4:AT$40,"&lt;&gt;"&amp;""),"",INDEX(AT$4:AT$40,MATCH(ROW()-3,AU$4:AU$40,0)))</f>
        <v/>
      </c>
      <c r="AW12">
        <f>AW11+IF(AND(AV12&lt;&gt;"",COUNTIF(AV$4:AV12,AV12)=1),1,0)</f>
        <v/>
      </c>
      <c r="AX12" s="55">
        <f>IF(ROW()-3&gt;MAX(AW$4:AW$40),"",INDEX(AV$4:AV$40,MATCH(ROW()-3,AW$4:AW$40,0)))</f>
        <v/>
      </c>
      <c r="AY12" s="55">
        <f>IF('Final Calculation Sheet'!$I$12="","",'Final Calculation Sheet'!$I$12)</f>
        <v/>
      </c>
      <c r="AZ12">
        <f>IF(AY12="","",COUNTIFS(AY$4:AY$40,"&lt;"&amp;AY12,AY$4:AY$40,"&lt;&gt;"&amp;"")+COUNTIF(AY$4:AY12,AY12))</f>
        <v/>
      </c>
      <c r="BA12" s="55">
        <f>IF(ROW()-3&gt;COUNTIF(AY$4:AY$40,"&lt;&gt;"&amp;""),"",INDEX(AY$4:AY$40,MATCH(ROW()-3,AZ$4:AZ$40,0)))</f>
        <v/>
      </c>
      <c r="BB12">
        <f>BB11+IF(AND(BA12&lt;&gt;"",COUNTIF(BA$4:BA12,BA12)=1),1,0)</f>
        <v/>
      </c>
      <c r="BC12" s="55">
        <f>IF(ROW()-3&gt;MAX(BB$4:BB$40),"",INDEX(BA$4:BA$40,MATCH(ROW()-3,BB$4:BB$40,0)))</f>
        <v/>
      </c>
      <c r="BD12" s="55">
        <f>IF('Final Calculation Sheet'!$J$12="","",'Final Calculation Sheet'!$J$12)</f>
        <v/>
      </c>
      <c r="BE12">
        <f>IF(BD12="","",COUNTIFS(BD$4:BD$40,"&lt;"&amp;BD12,BD$4:BD$40,"&lt;&gt;"&amp;"")+COUNTIF(BD$4:BD12,BD12))</f>
        <v/>
      </c>
      <c r="BF12" s="55">
        <f>IF(ROW()-3&gt;COUNTIF(BD$4:BD$40,"&lt;&gt;"&amp;""),"",INDEX(BD$4:BD$40,MATCH(ROW()-3,BE$4:BE$40,0)))</f>
        <v/>
      </c>
      <c r="BG12">
        <f>BG11+IF(AND(BF12&lt;&gt;"",COUNTIF(BF$4:BF12,BF12)=1),1,0)</f>
        <v/>
      </c>
      <c r="BH12" s="55">
        <f>IF(ROW()-3&gt;MAX(BG$4:BG$40),"",INDEX(BF$4:BF$40,MATCH(ROW()-3,BG$4:BG$40,0)))</f>
        <v/>
      </c>
      <c r="BI12" s="55">
        <f>IF('Final Calculation Sheet'!$K$12="","",'Final Calculation Sheet'!$K$12)</f>
        <v/>
      </c>
      <c r="BJ12">
        <f>IF(BI12="","",COUNTIFS(BI$4:BI$40,"&lt;"&amp;BI12,BI$4:BI$40,"&lt;&gt;"&amp;"")+COUNTIF(BI$4:BI12,BI12))</f>
        <v/>
      </c>
      <c r="BK12" s="55">
        <f>IF(ROW()-3&gt;COUNTIF(BI$4:BI$40,"&lt;&gt;"&amp;""),"",INDEX(BI$4:BI$40,MATCH(ROW()-3,BJ$4:BJ$40,0)))</f>
        <v/>
      </c>
      <c r="BL12">
        <f>BL11+IF(AND(BK12&lt;&gt;"",COUNTIF(BK$4:BK12,BK12)=1),1,0)</f>
        <v/>
      </c>
      <c r="BM12" s="55">
        <f>IF(ROW()-3&gt;MAX(BL$4:BL$40),"",INDEX(BK$4:BK$40,MATCH(ROW()-3,BL$4:BL$40,0)))</f>
        <v/>
      </c>
      <c r="BN12" s="55">
        <f>IF('Final Calculation Sheet'!$L$12="","",'Final Calculation Sheet'!$L$12)</f>
        <v/>
      </c>
      <c r="BO12">
        <f>IF(BN12="","",COUNTIFS(BN$4:BN$40,"&lt;"&amp;BN12,BN$4:BN$40,"&lt;&gt;"&amp;"")+COUNTIF(BN$4:BN12,BN12))</f>
        <v/>
      </c>
      <c r="BP12" s="55">
        <f>IF(ROW()-3&gt;COUNTIF(BN$4:BN$40,"&lt;&gt;"&amp;""),"",INDEX(BN$4:BN$40,MATCH(ROW()-3,BO$4:BO$40,0)))</f>
        <v/>
      </c>
      <c r="BQ12">
        <f>BQ11+IF(AND(BP12&lt;&gt;"",COUNTIF(BP$4:BP12,BP12)=1),1,0)</f>
        <v/>
      </c>
      <c r="BR12" s="55">
        <f>IF(ROW()-3&gt;MAX(BQ$4:BQ$40),"",INDEX(BP$4:BP$40,MATCH(ROW()-3,BQ$4:BQ$40,0)))</f>
        <v/>
      </c>
      <c r="BS12" s="55">
        <f>IF('Final Calculation Sheet'!$M$12="","",'Final Calculation Sheet'!$M$12)</f>
        <v/>
      </c>
      <c r="BT12">
        <f>IF(BS12="","",COUNTIFS(BS$4:BS$40,"&lt;"&amp;BS12,BS$4:BS$40,"&lt;&gt;"&amp;"")+COUNTIF(BS$4:BS12,BS12))</f>
        <v/>
      </c>
      <c r="BU12" s="55">
        <f>IF(ROW()-3&gt;COUNTIF(BS$4:BS$40,"&lt;&gt;"&amp;""),"",INDEX(BS$4:BS$40,MATCH(ROW()-3,BT$4:BT$40,0)))</f>
        <v/>
      </c>
      <c r="BV12">
        <f>BV11+IF(AND(BU12&lt;&gt;"",COUNTIF(BU$4:BU12,BU12)=1),1,0)</f>
        <v/>
      </c>
      <c r="BW12" s="55">
        <f>IF(ROW()-3&gt;MAX(BV$4:BV$40),"",INDEX(BU$4:BU$40,MATCH(ROW()-3,BV$4:BV$40,0)))</f>
        <v/>
      </c>
      <c r="BX12" s="138">
        <f>IF('Final Calculation Sheet'!$N$12="","",'Final Calculation Sheet'!$N$12)</f>
        <v/>
      </c>
      <c r="BY12">
        <f>IF(BX12="","",COUNTIFS(BX$4:BX$40,"&lt;"&amp;BX12,BX$4:BX$40,"&lt;&gt;"&amp;"")+COUNTIF(BX$4:BX12,BX12))</f>
        <v/>
      </c>
      <c r="BZ12" s="138">
        <f>IF(ROW()-3&gt;COUNTIF(BX$4:BX$40,"&lt;&gt;"&amp;""),"",INDEX(BX$4:BX$40,MATCH(ROW()-3,BY$4:BY$40,0)))</f>
        <v/>
      </c>
      <c r="CA12">
        <f>CA11+IF(AND(BZ12&lt;&gt;"",COUNTIF(BZ$4:BZ12,BZ12)=1),1,0)</f>
        <v/>
      </c>
      <c r="CB12" s="138">
        <f>IF(ROW()-3&gt;MAX(CA$4:CA$40),"",INDEX(BZ$4:BZ$40,MATCH(ROW()-3,CA$4:CA$40,0)))</f>
        <v/>
      </c>
      <c r="CC12" s="55">
        <f>IF('Final Calculation Sheet'!$O$12="","",'Final Calculation Sheet'!$O$12)</f>
        <v/>
      </c>
      <c r="CD12">
        <f>IF(CC12="","",COUNTIFS(CC$4:CC$40,"&lt;"&amp;CC12,CC$4:CC$40,"&lt;&gt;"&amp;"")+COUNTIF(CC$4:CC12,CC12))</f>
        <v/>
      </c>
      <c r="CE12" s="55">
        <f>IF(ROW()-3&gt;COUNTIF(CC$4:CC$40,"&lt;&gt;"&amp;""),"",INDEX(CC$4:CC$40,MATCH(ROW()-3,CD$4:CD$40,0)))</f>
        <v/>
      </c>
      <c r="CF12">
        <f>CF11+IF(AND(CE12&lt;&gt;"",COUNTIF(CE$4:CE12,CE12)=1),1,0)</f>
        <v/>
      </c>
      <c r="CG12" s="55">
        <f>IF(ROW()-3&gt;MAX(CF$4:CF$40),"",INDEX(CE$4:CE$40,MATCH(ROW()-3,CF$4:CF$40,0)))</f>
        <v/>
      </c>
      <c r="CH12" s="55">
        <f>IF('Final Calculation Sheet'!$P$12="","",'Final Calculation Sheet'!$P$12)</f>
        <v/>
      </c>
      <c r="CI12">
        <f>IF(CH12="","",COUNTIFS(CH$4:CH$40,"&lt;"&amp;CH12,CH$4:CH$40,"&lt;&gt;"&amp;"")+COUNTIF(CH$4:CH12,CH12))</f>
        <v/>
      </c>
      <c r="CJ12" s="55">
        <f>IF(ROW()-3&gt;COUNTIF(CH$4:CH$40,"&lt;&gt;"&amp;""),"",INDEX(CH$4:CH$40,MATCH(ROW()-3,CI$4:CI$40,0)))</f>
        <v/>
      </c>
      <c r="CK12">
        <f>CK11+IF(AND(CJ12&lt;&gt;"",COUNTIF(CJ$4:CJ12,CJ12)=1),1,0)</f>
        <v/>
      </c>
      <c r="CL12" s="55">
        <f>IF(ROW()-3&gt;MAX(CK$4:CK$40),"",INDEX(CJ$4:CJ$40,MATCH(ROW()-3,CK$4:CK$40,0)))</f>
        <v/>
      </c>
      <c r="CM12" s="139">
        <f>IF('Final Calculation Sheet'!$Q$12="","",'Final Calculation Sheet'!$Q$12)</f>
        <v/>
      </c>
      <c r="CN12">
        <f>IF(CM12="","",COUNTIFS(CM$4:CM$40,"&lt;"&amp;CM12,CM$4:CM$40,"&lt;&gt;"&amp;"")+COUNTIF(CM$4:CM12,CM12))</f>
        <v/>
      </c>
      <c r="CO12" s="139">
        <f>IF(ROW()-3&gt;COUNTIF(CM$4:CM$40,"&lt;&gt;"&amp;""),"",INDEX(CM$4:CM$40,MATCH(ROW()-3,CN$4:CN$40,0)))</f>
        <v/>
      </c>
      <c r="CP12">
        <f>CP11+IF(AND(CO12&lt;&gt;"",COUNTIF(CO$4:CO12,CO12)=1),1,0)</f>
        <v/>
      </c>
      <c r="CQ12">
        <f>IF(ROW()-3&gt;MAX(CP$4:CP$40),"",INDEX(CO$4:CO$40,MATCH(ROW()-3,CP$4:CP$40,0)))</f>
        <v/>
      </c>
      <c r="CR12" s="55">
        <f>IF('Final Calculation Sheet'!$R$12="","",'Final Calculation Sheet'!$R$12)</f>
        <v/>
      </c>
      <c r="CS12">
        <f>IF(CR12="","",COUNTIFS(CR$4:CR$40,"&lt;"&amp;CR12,CR$4:CR$40,"&lt;&gt;"&amp;"")+COUNTIF(CR$4:CR12,CR12))</f>
        <v/>
      </c>
      <c r="CT12" s="55">
        <f>IF(ROW()-3&gt;COUNTIF(CR$4:CR$40,"&lt;&gt;"&amp;""),"",INDEX(CR$4:CR$40,MATCH(ROW()-3,CS$4:CS$40,0)))</f>
        <v/>
      </c>
      <c r="CU12">
        <f>CU11+IF(AND(CT12&lt;&gt;"",COUNTIF(CT$4:CT12,CT12)=1),1,0)</f>
        <v/>
      </c>
      <c r="CV12">
        <f>IF(ROW()-3&gt;MAX(CU$4:CU$40),"",INDEX(CT$4:CT$40,MATCH(ROW()-3,CU$4:CU$40,0)))</f>
        <v/>
      </c>
      <c r="CW12" s="55">
        <f>IF('Final Calculation Sheet'!$S$12="","",'Final Calculation Sheet'!$S$12)</f>
        <v/>
      </c>
      <c r="CX12">
        <f>IF(CW12="","",COUNTIFS(CW$4:CW$40,"&lt;"&amp;CW12,CW$4:CW$40,"&lt;&gt;"&amp;"")+COUNTIF(CW$4:CW12,CW12))</f>
        <v/>
      </c>
      <c r="CY12" s="55">
        <f>IF(ROW()-3&gt;COUNTIF(CW$4:CW$40,"&lt;&gt;"&amp;""),"",INDEX(CW$4:CW$40,MATCH(ROW()-3,CX$4:CX$40,0)))</f>
        <v/>
      </c>
      <c r="CZ12">
        <f>CZ11+IF(AND(CY12&lt;&gt;"",COUNTIF(CY$4:CY12,CY12)=1),1,0)</f>
        <v/>
      </c>
      <c r="DA12" s="55">
        <f>IF(ROW()-3&gt;MAX(CZ$4:CZ$40),"",INDEX(CY$4:CY$40,MATCH(ROW()-3,CZ$4:CZ$40,0)))</f>
        <v/>
      </c>
      <c r="DB12" s="55">
        <f>IF('Final Calculation Sheet'!$T$12="","",'Final Calculation Sheet'!$T$12)</f>
        <v/>
      </c>
      <c r="DC12">
        <f>IF(DB12="","",COUNTIFS(DB$4:DB$40,"&lt;"&amp;DB12,DB$4:DB$40,"&lt;&gt;"&amp;"")+COUNTIF(DB$4:DB12,DB12))</f>
        <v/>
      </c>
      <c r="DD12" s="55">
        <f>IF(ROW()-3&gt;COUNTIF(DB$4:DB$40,"&lt;&gt;"&amp;""),"",INDEX(DB$4:DB$40,MATCH(ROW()-3,DC$4:DC$40,0)))</f>
        <v/>
      </c>
      <c r="DE12">
        <f>DE11+IF(AND(DD12&lt;&gt;"",COUNTIF(DD$4:DD12,DD12)=1),1,0)</f>
        <v/>
      </c>
      <c r="DF12" s="55">
        <f>IF(ROW()-3&gt;MAX(DE$4:DE$40),"",INDEX(DD$4:DD$40,MATCH(ROW()-3,DE$4:DE$40,0)))</f>
        <v/>
      </c>
      <c r="DG12" s="140">
        <f>IF('Final Calculation Sheet'!$U$12="","",'Final Calculation Sheet'!$U$12)</f>
        <v/>
      </c>
      <c r="DH12">
        <f>IF(DG12="","",COUNTIFS(DG$4:DG$40,"&lt;"&amp;DG12,DG$4:DG$40,"&lt;&gt;"&amp;"")+COUNTIF(DG$4:DG12,DG12))</f>
        <v/>
      </c>
      <c r="DI12" s="140">
        <f>IF(ROW()-3&gt;COUNTIF(DG$4:DG$40,"&lt;&gt;"&amp;""),"",INDEX(DG$4:DG$40,MATCH(ROW()-3,DH$4:DH$40,0)))</f>
        <v/>
      </c>
      <c r="DJ12">
        <f>DJ11+IF(AND(DI12&lt;&gt;"",COUNTIF(DI$4:DI12,DI12)=1),1,0)</f>
        <v/>
      </c>
      <c r="DK12" s="140">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s="55">
        <f>IF('Final Calculation Sheet'!$W$12="","",'Final Calculation Sheet'!$W$12)</f>
        <v/>
      </c>
      <c r="DR12">
        <f>IF(DQ12="","",COUNTIFS(DQ$4:DQ$40,"&lt;"&amp;DQ12,DQ$4:DQ$40,"&lt;&gt;"&amp;"")+COUNTIF(DQ$4:DQ12,DQ12))</f>
        <v/>
      </c>
      <c r="DS12" s="55">
        <f>IF(ROW()-3&gt;COUNTIF(DQ$4:DQ$40,"&lt;&gt;"&amp;""),"",INDEX(DQ$4:DQ$40,MATCH(ROW()-3,DR$4:DR$40,0)))</f>
        <v/>
      </c>
      <c r="DT12">
        <f>DT11+IF(AND(DS12&lt;&gt;"",COUNTIF(DS$4:DS12,DS12)=1),1,0)</f>
        <v/>
      </c>
      <c r="DU12" s="55">
        <f>IF(ROW()-3&gt;MAX(DT$4:DT$40),"",INDEX(DS$4:DS$40,MATCH(ROW()-3,DT$4:DT$40,0)))</f>
        <v/>
      </c>
      <c r="DV12" s="55">
        <f>IF('Final Calculation Sheet'!$X$12="","",'Final Calculation Sheet'!$X$12)</f>
        <v/>
      </c>
      <c r="DW12">
        <f>IF(DV12="","",COUNTIFS(DV$4:DV$40,"&lt;"&amp;DV12,DV$4:DV$40,"&lt;&gt;"&amp;"")+COUNTIF(DV$4:DV12,DV12))</f>
        <v/>
      </c>
      <c r="DX12" s="55">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s="55">
        <f>IF('Final Calculation Sheet'!$Z$12="","",'Final Calculation Sheet'!$Z$12)</f>
        <v/>
      </c>
      <c r="EG12">
        <f>IF(EF12="","",COUNTIFS(EF$4:EF$40,"&lt;"&amp;EF12,EF$4:EF$40,"&lt;&gt;"&amp;"")+COUNTIF(EF$4:EF12,EF12))</f>
        <v/>
      </c>
      <c r="EH12" s="55">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s="55">
        <f>IF('Final Calculation Sheet'!$AC$12="","",'Final Calculation Sheet'!$AC$12)</f>
        <v/>
      </c>
      <c r="EV12">
        <f>IF(EU12="","",COUNTIFS(EU$4:EU$40,"&lt;"&amp;EU12,EU$4:EU$40,"&lt;&gt;"&amp;"")+COUNTIF(EU$4:EU12,EU12))</f>
        <v/>
      </c>
      <c r="EW12" s="55">
        <f>IF(ROW()-3&gt;COUNTIF(EU$4:EU$40,"&lt;&gt;"&amp;""),"",INDEX(EU$4:EU$40,MATCH(ROW()-3,EV$4:EV$40,0)))</f>
        <v/>
      </c>
      <c r="EX12">
        <f>EX11+IF(AND(EW12&lt;&gt;"",COUNTIF(EW$4:EW12,EW12)=1),1,0)</f>
        <v/>
      </c>
      <c r="EY12" s="55">
        <f>IF(ROW()-3&gt;MAX(EX$4:EX$40),"",INDEX(EW$4:EW$40,MATCH(ROW()-3,EX$4:EX$40,0)))</f>
        <v/>
      </c>
      <c r="EZ12" s="55">
        <f>IF('Final Calculation Sheet'!$AD$12="","",'Final Calculation Sheet'!$AD$12)</f>
        <v/>
      </c>
      <c r="FA12">
        <f>IF(EZ12="","",COUNTIFS(EZ$4:EZ$40,"&lt;"&amp;EZ12,EZ$4:EZ$40,"&lt;&gt;"&amp;"")+COUNTIF(EZ$4:EZ12,EZ12))</f>
        <v/>
      </c>
      <c r="FB12" s="55">
        <f>IF(ROW()-3&gt;COUNTIF(EZ$4:EZ$40,"&lt;&gt;"&amp;""),"",INDEX(EZ$4:EZ$40,MATCH(ROW()-3,FA$4:FA$40,0)))</f>
        <v/>
      </c>
      <c r="FC12">
        <f>FC11+IF(AND(FB12&lt;&gt;"",COUNTIF(FB$4:FB12,FB12)=1),1,0)</f>
        <v/>
      </c>
      <c r="FD12" s="55">
        <f>IF(ROW()-3&gt;MAX(FC$4:FC$40),"",INDEX(FB$4:FB$40,MATCH(ROW()-3,FC$4:FC$40,0)))</f>
        <v/>
      </c>
      <c r="FE12">
        <f>IF('Final Calculation Sheet'!$AF$12="","",'Final Calculation Sheet'!$AF$12)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s="141">
        <f>IF('Final Calculation Sheet'!$AG$12="","",'Final Calculation Sheet'!$AG$12)</f>
        <v/>
      </c>
      <c r="FK12">
        <f>IF(FJ12="","",COUNTIFS(FJ$4:FJ$40,"&lt;"&amp;FJ12,FJ$4:FJ$40,"&lt;&gt;"&amp;"")+COUNTIF(FJ$4:FJ12,FJ12))</f>
        <v/>
      </c>
      <c r="FL12" s="141">
        <f>IF(ROW()-3&gt;COUNTIF(FJ$4:FJ$40,"&lt;&gt;"&amp;""),"",INDEX(FJ$4:FJ$40,MATCH(ROW()-3,FK$4:FK$40,0)))</f>
        <v/>
      </c>
      <c r="FM12">
        <f>FM11+IF(AND(FL12&lt;&gt;"",COUNTIF(FL$4:FL12,FL12)=1),1,0)</f>
        <v/>
      </c>
      <c r="FN12">
        <f>IF(ROW()-3&gt;MAX(FM$4:FM$40),"",INDEX(FL$4:FL$40,MATCH(ROW()-3,FM$4:FM$40,0)))</f>
        <v/>
      </c>
      <c r="FO12">
        <f>IF('Final Calculation Sheet'!$AH$12="","",'Final Calculation Sheet'!$AH$12)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c r="FY12">
        <f>IF(COUNTIF('Live Search'!BM$11:BO$11,0)+COUNTIF('Live Search'!BQ$11:CU$11,0)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2">
        <f>IF($Y$12="",FALSE,SUMPRODUCT(('Final Calculation Sheet'!$B$4:$B$40=$Y$12)*($FY$6:$FY$42=1))&gt;0)</f>
        <v/>
      </c>
      <c r="GA12">
        <f>$GA$11+--($FZ$12)</f>
        <v/>
      </c>
      <c r="GB12">
        <f>IF(ROW()-3&gt;MAX($GA$4:$GA$40),"",INDEX($Y$4:$Y$40,MATCH(ROW()-3,$GA$4:$GA$40,0)))</f>
        <v/>
      </c>
      <c r="GC12">
        <f>IF(COUNTIF('Live Search'!BM$11:BM$11,0)+COUNTIF('Live Search'!BO$11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D12">
        <f>IF($O$12="",FALSE,SUMPRODUCT(('Final Calculation Sheet'!$F$4:$F$40=$O$12)*($GC$6:$GC$42=1))&gt;0)</f>
        <v/>
      </c>
      <c r="GE12">
        <f>$GE$11+--($GD12)</f>
        <v/>
      </c>
      <c r="GF12">
        <f>IF(ROW()-3&gt;MAX($GE$4:$GE$40),"",INDEX($O$4:$O$40,MATCH(ROW()-3,$GE$4:$GE$40,0)))</f>
        <v/>
      </c>
      <c r="GG12">
        <f>IF(COUNTIF('Live Search'!BM$11:BN$11,0)+COUNTIF('Live Search'!BP$11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H12">
        <f>IF($T$12="",FALSE,SUMPRODUCT(('Final Calculation Sheet'!$G$4:$G$40=$T$12)*($GG$6:$GG$42=1))&gt;0)</f>
        <v/>
      </c>
      <c r="GI12">
        <f>$GI$11+--($GH12)</f>
        <v/>
      </c>
      <c r="GJ12">
        <f>IF(ROW()-3&gt;MAX($GI$4:$GI$40),"",INDEX($T$4:$T$40,MATCH(ROW()-3,$GI$4:$GI$40,0)))</f>
        <v/>
      </c>
      <c r="GK12">
        <f>IF(COUNTIF('Live Search'!BM$11:BP$11,0)+COUNTIF('Live Search'!BR$11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L12">
        <f>IF($AD$12="",FALSE,SUMPRODUCT(('Final Calculation Sheet'!$D$4:$D$40=$AD$12)*($GK$6:$GK$42=1))&gt;0)</f>
        <v/>
      </c>
      <c r="GM12">
        <f>$GM$11+--($GL12)</f>
        <v/>
      </c>
      <c r="GN12">
        <f>IF(ROW()-3&gt;MAX($GM$4:$GM$40),"",INDEX($AD$4:$AD$40,MATCH(ROW()-3,$GM$4:$GM$40,0)))</f>
        <v/>
      </c>
      <c r="GO12">
        <f>IF(COUNTIF('Live Search'!BM$11:BQ$11,0)+COUNTIF('Live Search'!BS$11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P12">
        <f>IF($AI$12="",FALSE,SUMPRODUCT(('Final Calculation Sheet'!$A$4:$A$40=$AI$12)*($GO$6:$GO$42=1))&gt;0)</f>
        <v/>
      </c>
      <c r="GQ12">
        <f>$GQ$11+--($GP12)</f>
        <v/>
      </c>
      <c r="GR12">
        <f>IF(ROW()-3&gt;MAX($GQ$4:$GQ$40),"",INDEX($AI$4:$AI$40,MATCH(ROW()-3,$GQ$4:$GQ$40,0)))</f>
        <v/>
      </c>
      <c r="GS12">
        <f>IF(COUNTIF('Live Search'!BM$11:BR$11,0)+COUNTIF('Live Search'!BT$11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T12">
        <f>IF($AN$12="",FALSE,SUMPRODUCT(('Final Calculation Sheet'!$E$4:$E$40=$AN$12)*($GS$6:$GS$42=1))&gt;0)</f>
        <v/>
      </c>
      <c r="GU12">
        <f>$GU$11+--($GT12)</f>
        <v/>
      </c>
      <c r="GV12">
        <f>IF(ROW()-3&gt;MAX($GU$4:$GU$40),"",INDEX($AN$4:$AN$40,MATCH(ROW()-3,$GU$4:$GU$40,0)))</f>
        <v/>
      </c>
      <c r="GW12">
        <f>IF(COUNTIF('Live Search'!BM$11:BS$11,0)+COUNTIF('Live Search'!BU$11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GX12">
        <f>IF($AS$12="",FALSE,SUMPRODUCT(('Final Calculation Sheet'!$C$4:$C$40=$AS$12)*($GW$6:$GW$42=1))&gt;0)</f>
        <v/>
      </c>
      <c r="GY12">
        <f>$GY$11+--($GX12)</f>
        <v/>
      </c>
      <c r="GZ12">
        <f>IF(ROW()-3&gt;MAX($GY$4:$GY$40),"",INDEX($AS$4:$AS$40,MATCH(ROW()-3,$GY$4:$GY$40,0)))</f>
        <v/>
      </c>
      <c r="HA12">
        <f>IF(COUNTIF('Live Search'!BM$11:BT$11,0)+COUNTIF('Live Search'!BV$11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B12">
        <f>IF($AX$12="",FALSE,SUMPRODUCT(('Final Calculation Sheet'!$H$4:$H$40=$AX$12)*($HA$6:$HA$42=1))&gt;0)</f>
        <v/>
      </c>
      <c r="HC12">
        <f>$HC$11+--($HB12)</f>
        <v/>
      </c>
      <c r="HD12">
        <f>IF(ROW()-3&gt;MAX($HC$4:$HC$40),"",INDEX($AX$4:$AX$40,MATCH(ROW()-3,$HC$4:$HC$40,0)))</f>
        <v/>
      </c>
      <c r="HE12">
        <f>IF(COUNTIF('Live Search'!BM$11:BU$11,0)+COUNTIF('Live Search'!BW$11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F12">
        <f>IF($BC$12="",FALSE,SUMPRODUCT(('Final Calculation Sheet'!$I$4:$I$40=$BC$12)*($HE$6:$HE$42=1))&gt;0)</f>
        <v/>
      </c>
      <c r="HG12">
        <f>$HG$11+--($HF12)</f>
        <v/>
      </c>
      <c r="HH12">
        <f>IF(ROW()-3&gt;MAX($HG$4:$HG$40),"",INDEX($BC$4:$BC$40,MATCH(ROW()-3,$HG$4:$HG$40,0)))</f>
        <v/>
      </c>
      <c r="HI12">
        <f>IF(COUNTIF('Live Search'!BM$11:BV$11,0)+COUNTIF('Live Search'!BX$11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J12">
        <f>IF($BH$12="",FALSE,SUMPRODUCT(('Final Calculation Sheet'!$J$4:$J$40=$BH$12)*($HI$6:$HI$42=1))&gt;0)</f>
        <v/>
      </c>
      <c r="HK12">
        <f>$HK$11+--($HJ12)</f>
        <v/>
      </c>
      <c r="HL12">
        <f>IF(ROW()-3&gt;MAX($HK$4:$HK$40),"",INDEX($BH$4:$BH$40,MATCH(ROW()-3,$HK$4:$HK$40,0)))</f>
        <v/>
      </c>
      <c r="HM12">
        <f>IF(COUNTIF('Live Search'!BM$11:BW$11,0)+COUNTIF('Live Search'!BY$11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N12">
        <f>IF($BM$12="",FALSE,SUMPRODUCT(('Final Calculation Sheet'!$K$4:$K$40=$BM$12)*($HM$6:$HM$42=1))&gt;0)</f>
        <v/>
      </c>
      <c r="HO12">
        <f>$HO$11+--($HN12)</f>
        <v/>
      </c>
      <c r="HP12">
        <f>IF(ROW()-3&gt;MAX($HO$4:$HO$40),"",INDEX($BM$4:$BM$40,MATCH(ROW()-3,$HO$4:$HO$40,0)))</f>
        <v/>
      </c>
      <c r="HQ12">
        <f>IF(COUNTIF('Live Search'!BM$11:BX$11,0)+COUNTIF('Live Search'!BZ$11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R12">
        <f>IF($BR$12="",FALSE,SUMPRODUCT(('Final Calculation Sheet'!$L$4:$L$40=$BR$12)*($HQ$6:$HQ$42=1))&gt;0)</f>
        <v/>
      </c>
      <c r="HS12">
        <f>$HS$11+--($HR12)</f>
        <v/>
      </c>
      <c r="HT12">
        <f>IF(ROW()-3&gt;MAX($HS$4:$HS$40),"",INDEX($BR$4:$BR$40,MATCH(ROW()-3,$HS$4:$HS$40,0)))</f>
        <v/>
      </c>
      <c r="HU12">
        <f>IF(COUNTIF('Live Search'!BM$11:BY$11,0)+COUNTIF('Live Search'!CA$11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V12">
        <f>IF($BW$12="",FALSE,SUMPRODUCT(('Final Calculation Sheet'!$M$4:$M$40=$BW$12)*($HU$6:$HU$42=1))&gt;0)</f>
        <v/>
      </c>
      <c r="HW12">
        <f>$HW$11+--($HV12)</f>
        <v/>
      </c>
      <c r="HX12">
        <f>IF(ROW()-3&gt;MAX($HW$4:$HW$40),"",INDEX($BW$4:$BW$40,MATCH(ROW()-3,$HW$4:$HW$40,0)))</f>
        <v/>
      </c>
      <c r="HY12">
        <f>IF(COUNTIF('Live Search'!BM$11:BZ$11,0)+COUNTIF('Live Search'!CB$11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HZ12">
        <f>IF($CB$12="",FALSE,SUMPRODUCT(('Final Calculation Sheet'!$N$4:$N$40=$CB$12)*($HY$6:$HY$42=1))&gt;0)</f>
        <v/>
      </c>
      <c r="IA12">
        <f>$IA$11+--($HZ12)</f>
        <v/>
      </c>
      <c r="IB12">
        <f>IF(ROW()-3&gt;MAX($IA$4:$IA$40),"",INDEX($CB$4:$CB$40,MATCH(ROW()-3,$IA$4:$IA$40,0)))</f>
        <v/>
      </c>
      <c r="IC12">
        <f>IF(COUNTIF('Live Search'!BM$11:CA$11,0)+COUNTIF('Live Search'!CC$11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D12">
        <f>IF($CG$12="",FALSE,SUMPRODUCT(('Final Calculation Sheet'!$O$4:$O$40=$CG$12)*($IC$6:$IC$42=1))&gt;0)</f>
        <v/>
      </c>
      <c r="IE12">
        <f>$IE$11+--($ID12)</f>
        <v/>
      </c>
      <c r="IF12">
        <f>IF(ROW()-3&gt;MAX($IE$4:$IE$40),"",INDEX($CG$4:$CG$40,MATCH(ROW()-3,$IE$4:$IE$40,0)))</f>
        <v/>
      </c>
      <c r="IG12">
        <f>IF(COUNTIF('Live Search'!BM$11:CB$11,0)+COUNTIF('Live Search'!CD$11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H12">
        <f>IF($CL$12="",FALSE,SUMPRODUCT(('Final Calculation Sheet'!$P$4:$P$40=$CL$12)*($IG$6:$IG$42=1))&gt;0)</f>
        <v/>
      </c>
      <c r="II12">
        <f>$II$11+--($IH12)</f>
        <v/>
      </c>
      <c r="IJ12">
        <f>IF(ROW()-3&gt;MAX($II$4:$II$40),"",INDEX($CL$4:$CL$40,MATCH(ROW()-3,$II$4:$II$40,0)))</f>
        <v/>
      </c>
      <c r="IK12">
        <f>IF(COUNTIF('Live Search'!BM$11:CC$11,0)+COUNTIF('Live Search'!CE$11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L12">
        <f>IF($CQ$12="",FALSE,SUMPRODUCT(('Final Calculation Sheet'!$Q$4:$Q$40=$CQ$12)*($IK$6:$IK$42=1))&gt;0)</f>
        <v/>
      </c>
      <c r="IM12">
        <f>$IM$11+--($IL12)</f>
        <v/>
      </c>
      <c r="IN12">
        <f>IF(ROW()-3&gt;MAX($IM$4:$IM$40),"",INDEX($CQ$4:$CQ$40,MATCH(ROW()-3,$IM$4:$IM$40,0)))</f>
        <v/>
      </c>
      <c r="IO12">
        <f>IF(COUNTIF('Live Search'!BM$11:CD$11,0)+COUNTIF('Live Search'!CF$11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P12">
        <f>IF($CV$12="",FALSE,SUMPRODUCT(('Final Calculation Sheet'!$R$4:$R$40=$CV$12)*($IO$6:$IO$42=1))&gt;0)</f>
        <v/>
      </c>
      <c r="IQ12">
        <f>$IQ$11+--($IP12)</f>
        <v/>
      </c>
      <c r="IR12">
        <f>IF(ROW()-3&gt;MAX($IQ$4:$IQ$40),"",INDEX($CV$4:$CV$40,MATCH(ROW()-3,$IQ$4:$IQ$40,0)))</f>
        <v/>
      </c>
      <c r="IS12">
        <f>IF(COUNTIF('Live Search'!BM$11:CE$11,0)+COUNTIF('Live Search'!CG$11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T12">
        <f>IF($DA$12="",FALSE,SUMPRODUCT(('Final Calculation Sheet'!$S$4:$S$40=$DA$12)*($IS$6:$IS$42=1))&gt;0)</f>
        <v/>
      </c>
      <c r="IU12">
        <f>$IU$11+--($IT12)</f>
        <v/>
      </c>
      <c r="IV12">
        <f>IF(ROW()-3&gt;MAX($IU$4:$IU$40),"",INDEX($DA$4:$DA$40,MATCH(ROW()-3,$IU$4:$IU$40,0)))</f>
        <v/>
      </c>
      <c r="IW12">
        <f>IF(COUNTIF('Live Search'!BM$11:CF$11,0)+COUNTIF('Live Search'!CH$11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IX12">
        <f>IF($DF$12="",FALSE,SUMPRODUCT(('Final Calculation Sheet'!$T$4:$T$40=$DF$12)*($IW$6:$IW$42=1))&gt;0)</f>
        <v/>
      </c>
      <c r="IY12">
        <f>$IY$11+--($IX12)</f>
        <v/>
      </c>
      <c r="IZ12">
        <f>IF(ROW()-3&gt;MAX($IY$4:$IY$40),"",INDEX($DF$4:$DF$40,MATCH(ROW()-3,$IY$4:$IY$40,0)))</f>
        <v/>
      </c>
      <c r="JA12">
        <f>IF(COUNTIF('Live Search'!BM$11:CG$11,0)+COUNTIF('Live Search'!CI$11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B12">
        <f>IF($DK$12="",FALSE,SUMPRODUCT(('Final Calculation Sheet'!$U$4:$U$40=$DK$12)*($JA$6:$JA$42=1))&gt;0)</f>
        <v/>
      </c>
      <c r="JC12">
        <f>$JC$11+--($JB12)</f>
        <v/>
      </c>
      <c r="JD12">
        <f>IF(ROW()-3&gt;MAX($JC$4:$JC$40),"",INDEX($DK$4:$DK$40,MATCH(ROW()-3,$JC$4:$JC$40,0)))</f>
        <v/>
      </c>
      <c r="JE12">
        <f>IF(COUNTIF('Live Search'!BM$11:CH$11,0)+COUNTIF('Live Search'!CJ$11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F12">
        <f>IF($DP$12="",FALSE,SUMPRODUCT(('Final Calculation Sheet'!$V$4:$V$40=$DP$12)*($JE$6:$JE$42=1))&gt;0)</f>
        <v/>
      </c>
      <c r="JG12">
        <f>$JG$11+--($JF12)</f>
        <v/>
      </c>
      <c r="JH12">
        <f>IF(ROW()-3&gt;MAX($JG$4:$JG$40),"",INDEX($DP$4:$DP$40,MATCH(ROW()-3,$JG$4:$JG$40,0)))</f>
        <v/>
      </c>
      <c r="JI12">
        <f>IF(COUNTIF('Live Search'!BM$11:CI$11,0)+COUNTIF('Live Search'!CK$11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J12">
        <f>IF($DU$12="",FALSE,SUMPRODUCT(('Final Calculation Sheet'!$W$4:$W$40=$DU$12)*($JI$6:$JI$42=1))&gt;0)</f>
        <v/>
      </c>
      <c r="JK12">
        <f>$JK$11+--($JJ12)</f>
        <v/>
      </c>
      <c r="JL12">
        <f>IF(ROW()-3&gt;MAX($JK$4:$JK$40),"",INDEX($DU$4:$DU$40,MATCH(ROW()-3,$JK$4:$JK$40,0)))</f>
        <v/>
      </c>
      <c r="JM12">
        <f>IF(COUNTIF('Live Search'!BM$11:CJ$11,0)+COUNTIF('Live Search'!CL$11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N12">
        <f>IF($DZ$12="",FALSE,SUMPRODUCT(('Final Calculation Sheet'!$X$4:$X$40=$DZ$12)*($JM$6:$JM$42=1))&gt;0)</f>
        <v/>
      </c>
      <c r="JO12">
        <f>$JO$11+--($JN12)</f>
        <v/>
      </c>
      <c r="JP12">
        <f>IF(ROW()-3&gt;MAX($JO$4:$JO$40),"",INDEX($DZ$4:$DZ$40,MATCH(ROW()-3,$JO$4:$JO$40,0)))</f>
        <v/>
      </c>
      <c r="JQ12">
        <f>IF(COUNTIF('Live Search'!BM$11:CK$11,0)+COUNTIF('Live Search'!C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R12">
        <f>IF($EE$12="",FALSE,SUMPRODUCT(('Final Calculation Sheet'!$Y$4:$Y$40=$EE$12)*($JQ$6:$JQ$42=1))&gt;0)</f>
        <v/>
      </c>
      <c r="JS12">
        <f>$JS$11+--($JR12)</f>
        <v/>
      </c>
      <c r="JT12">
        <f>IF(ROW()-3&gt;MAX($JS$4:$JS$40),"",INDEX($EE$4:$EE$40,MATCH(ROW()-3,$JS$4:$JS$40,0)))</f>
        <v/>
      </c>
      <c r="JU12">
        <f>IF(COUNTIF('Live Search'!BM$11:CL$11,0)+COUNTIF('Live Search'!CN$11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V12">
        <f>IF($EJ$12="",FALSE,SUMPRODUCT(('Final Calculation Sheet'!$Z$4:$Z$40=$EJ$12)*($JU$6:$JU$42=1))&gt;0)</f>
        <v/>
      </c>
      <c r="JW12">
        <f>$JW$11+--($JV12)</f>
        <v/>
      </c>
      <c r="JX12">
        <f>IF(ROW()-3&gt;MAX($JW$4:$JW$40),"",INDEX($EJ$4:$EJ$40,MATCH(ROW()-3,$JW$4:$JW$40,0)))</f>
        <v/>
      </c>
      <c r="JY12">
        <f>IF(COUNTIF('Live Search'!BM$11:CM$11,0)+COUNTIF('Live Search'!CO$11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JZ12">
        <f>IF($EO$12="",FALSE,SUMPRODUCT(('Final Calculation Sheet'!$AA$4:$AA$40=$EO$12)*($JY$6:$JY$42=1))&gt;0)</f>
        <v/>
      </c>
      <c r="KA12">
        <f>$KA$11+--($JZ12)</f>
        <v/>
      </c>
      <c r="KB12">
        <f>IF(ROW()-3&gt;MAX($KA$4:$KA$40),"",INDEX($EO$4:$EO$40,MATCH(ROW()-3,$KA$4:$KA$40,0)))</f>
        <v/>
      </c>
      <c r="KC12">
        <f>IF(COUNTIF('Live Search'!BM$11:CN$11,0)+COUNTIF('Live Search'!CP$11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D12">
        <f>IF($ET$12="",FALSE,SUMPRODUCT(('Final Calculation Sheet'!$AB$4:$AB$40=$ET$12)*($KC$6:$KC$42=1))&gt;0)</f>
        <v/>
      </c>
      <c r="KE12">
        <f>$KE$11+--($KD12)</f>
        <v/>
      </c>
      <c r="KF12">
        <f>IF(ROW()-3&gt;MAX($KE$4:$KE$40),"",INDEX($ET$4:$ET$40,MATCH(ROW()-3,$KE$4:$KE$40,0)))</f>
        <v/>
      </c>
      <c r="KG12">
        <f>IF(COUNTIF('Live Search'!BM$11:CO$11,0)+COUNTIF('Live Search'!CQ$11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H12">
        <f>IF($EY$12="",FALSE,SUMPRODUCT(('Final Calculation Sheet'!$AC$4:$AC$40=$EY$12)*($KG$6:$KG$42=1))&gt;0)</f>
        <v/>
      </c>
      <c r="KI12">
        <f>$KI$11+--($KH12)</f>
        <v/>
      </c>
      <c r="KJ12">
        <f>IF(ROW()-3&gt;MAX($KI$4:$KI$40),"",INDEX($EY$4:$EY$40,MATCH(ROW()-3,$KI$4:$KI$40,0)))</f>
        <v/>
      </c>
      <c r="KK12">
        <f>IF(COUNTIF('Live Search'!BM$11:CP$11,0)+COUNTIF('Live Search'!CR$11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L12">
        <f>IF($FD$12="",FALSE,SUMPRODUCT(('Final Calculation Sheet'!$AD$4:$AD$40=$FD$12)*($KK$6:$KK$42=1))&gt;0)</f>
        <v/>
      </c>
      <c r="KM12">
        <f>$KM$11+--($KL12)</f>
        <v/>
      </c>
      <c r="KN12">
        <f>IF(ROW()-3&gt;MAX($KM$4:$KM$40),"",INDEX($FD$4:$FD$40,MATCH(ROW()-3,$KM$4:$KM$40,0)))</f>
        <v/>
      </c>
      <c r="KO12">
        <f>IF(COUNTIF('Live Search'!BM$11:CT$11,0)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P12">
        <f>IF($FX$12="",FALSE,SUMPRODUCT((IF('Final Calculation Sheet'!$AD$4:$AD$40&lt;=5,"SETTLED","OUTSTANDING")=$FX$12)*($KO$6:$KO$42=1))&gt;0)</f>
        <v/>
      </c>
      <c r="KQ12">
        <f>$KQ$11+--($KP12)</f>
        <v/>
      </c>
      <c r="KR12">
        <f>IF(ROW()-3&gt;MAX($KQ$4:$KQ$40),"",INDEX($FX$4:$FX$40,MATCH(ROW()-3,$KQ$4:$KQ$40,0)))</f>
        <v/>
      </c>
      <c r="KS12">
        <f>IF(COUNTIF('Live Search'!BM$11:CQ$11,0)+COUNTIF('Live Search'!CS$11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T12">
        <f>IF($FI$12="",FALSE,SUMPRODUCT(('Final Calculation Sheet'!$AF$4:$AF$40=$FI$12)*($KS$6:$KS$42=1))&gt;0)</f>
        <v/>
      </c>
      <c r="KU12">
        <f>$KU$11+--($KT12)</f>
        <v/>
      </c>
      <c r="KV12">
        <f>IF(ROW()-3&gt;MAX($KU$4:$KU$40),"",INDEX($FI$4:$FI$40,MATCH(ROW()-3,$KU$4:$KU$40,0)))</f>
        <v/>
      </c>
      <c r="KW12">
        <f>IF(COUNTIF('Live Search'!BM$11:CR$11,0)+COUNTIF('Live Search'!CT$11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KX12">
        <f>IF($FN$12="",FALSE,SUMPRODUCT(('Final Calculation Sheet'!$AG$4:$AG$40=$FN$12)*($KW$6:$KW$42=1))&gt;0)</f>
        <v/>
      </c>
      <c r="KY12">
        <f>$KY$11+--($KX12)</f>
        <v/>
      </c>
      <c r="KZ12">
        <f>IF(ROW()-3&gt;MAX($KY$4:$KY$40),"",INDEX($FN$4:$FN$40,MATCH(ROW()-3,$KY$4:$KY$40,0)))</f>
        <v/>
      </c>
      <c r="LA12">
        <f>IF(COUNTIF('Live Search'!BM$11:CS$11,0)+COUNTIF('Live Search'!CU$11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LB12">
        <f>IF($FS$12="",FALSE,SUMPRODUCT(('Final Calculation Sheet'!$AH$4:$AH$40=$FS$12)*($LA$6:$LA$42=1))&gt;0)</f>
        <v/>
      </c>
      <c r="LC12">
        <f>$LC$11+--($LB12)</f>
        <v/>
      </c>
      <c r="LD12">
        <f>IF(ROW()-3&gt;MAX($LC$4:$LC$40),"",INDEX($FS$4:$FS$40,MATCH(ROW()-3,$LC$4:$LC$40,0)))</f>
        <v/>
      </c>
      <c r="LE12">
        <f>IF(COUNTIF('Buyer Groups'!DH65:EN65,0)&gt;0,0,1)</f>
        <v/>
      </c>
      <c r="LF12">
        <f>IF($O$12="",FALSE,SUMPRODUCT(('Final Calculation Sheet'!$F$4:$F$40=$O$12)*($LE$6:$LE$42=1))&gt;0)</f>
        <v/>
      </c>
      <c r="LG12">
        <f>$LG$11+--($LF12)</f>
        <v/>
      </c>
      <c r="LH12">
        <f>IF(ROW()-3&gt;MAX($LG$4:$LG$40),"",INDEX($O$4:$O$40,MATCH(ROW()-3,$LG$4:$LG$40,0)))</f>
        <v/>
      </c>
      <c r="LI12">
        <f>IF(COUNTIF('Buyer Groups'!DG65:DG65,0)+COUNTIF('Buyer Groups'!DI65:EN65,0)&gt;0,0,1)</f>
        <v/>
      </c>
      <c r="LJ12">
        <f>IF($T$12="",FALSE,SUMPRODUCT(('Final Calculation Sheet'!$G$4:$G$40=$T$12)*($LI$6:$LI$42=1))&gt;0)</f>
        <v/>
      </c>
      <c r="LK12">
        <f>$LK$11+--($LJ12)</f>
        <v/>
      </c>
      <c r="LL12">
        <f>IF(ROW()-3&gt;MAX($LK$4:$LK$40),"",INDEX($T$4:$T$40,MATCH(ROW()-3,$LK$4:$LK$40,0)))</f>
        <v/>
      </c>
      <c r="LM12">
        <f>IF(COUNTIF('Buyer Groups'!DG65:DH65,0)+COUNTIF('Buyer Groups'!DJ65:EN65,0)&gt;0,0,1)</f>
        <v/>
      </c>
      <c r="LN12">
        <f>IF($Y$12="",FALSE,SUMPRODUCT(('Final Calculation Sheet'!$B$4:$B$40=$Y$12)*($LM$6:$LM$42=1))&gt;0)</f>
        <v/>
      </c>
      <c r="LO12">
        <f>$LO$11+--($LN12)</f>
        <v/>
      </c>
      <c r="LP12">
        <f>IF(ROW()-3&gt;MAX($LO$4:$LO$40),"",INDEX($Y$4:$Y$40,MATCH(ROW()-3,$LO$4:$LO$40,0)))</f>
        <v/>
      </c>
      <c r="LQ12">
        <f>IF(COUNTIF('Buyer Groups'!DG65:DI65,0)+COUNTIF('Buyer Groups'!DK65:EN65,0)&gt;0,0,1)</f>
        <v/>
      </c>
      <c r="LR12">
        <f>IF($AD$12="",FALSE,SUMPRODUCT(('Final Calculation Sheet'!$D$4:$D$40=$AD$12)*($LQ$6:$LQ$42=1))&gt;0)</f>
        <v/>
      </c>
      <c r="LS12">
        <f>$LS$11+--($LR12)</f>
        <v/>
      </c>
      <c r="LT12">
        <f>IF(ROW()-3&gt;MAX($LS$4:$LS$40),"",INDEX($AD$4:$AD$40,MATCH(ROW()-3,$LS$4:$LS$40,0)))</f>
        <v/>
      </c>
      <c r="LU12">
        <f>IF(COUNTIF('Buyer Groups'!DG65:DJ65,0)+COUNTIF('Buyer Groups'!DL65:EN65,0)&gt;0,0,1)</f>
        <v/>
      </c>
      <c r="LV12">
        <f>IF($AI$12="",FALSE,SUMPRODUCT(('Final Calculation Sheet'!$A$4:$A$40=$AI$12)*($LU$6:$LU$42=1))&gt;0)</f>
        <v/>
      </c>
      <c r="LW12">
        <f>$LW$11+--($LV12)</f>
        <v/>
      </c>
      <c r="LX12">
        <f>IF(ROW()-3&gt;MAX($LW$4:$LW$40),"",INDEX($AI$4:$AI$40,MATCH(ROW()-3,$LW$4:$LW$40,0)))</f>
        <v/>
      </c>
      <c r="LY12">
        <f>IF(COUNTIF('Buyer Groups'!DG65:DK65,0)+COUNTIF('Buyer Groups'!DM65:EN65,0)&gt;0,0,1)</f>
        <v/>
      </c>
      <c r="LZ12">
        <f>IF($AN$12="",FALSE,SUMPRODUCT(('Final Calculation Sheet'!$E$4:$E$40=$AN$12)*($LY$6:$LY$42=1))&gt;0)</f>
        <v/>
      </c>
      <c r="MA12">
        <f>$MA$11+--($LZ12)</f>
        <v/>
      </c>
      <c r="MB12">
        <f>IF(ROW()-3&gt;MAX($MA$4:$MA$40),"",INDEX($AN$4:$AN$40,MATCH(ROW()-3,$MA$4:$MA$40,0)))</f>
        <v/>
      </c>
      <c r="MC12">
        <f>IF(COUNTIF('Buyer Groups'!DG65:DL65,0)+COUNTIF('Buyer Groups'!DN65:EN65,0)&gt;0,0,1)</f>
        <v/>
      </c>
      <c r="MD12">
        <f>IF($AS$12="",FALSE,SUMPRODUCT(('Final Calculation Sheet'!$C$4:$C$40=$AS$12)*($MC$6:$MC$42=1))&gt;0)</f>
        <v/>
      </c>
      <c r="ME12">
        <f>$ME$11+--($MD12)</f>
        <v/>
      </c>
      <c r="MF12">
        <f>IF(ROW()-3&gt;MAX($ME$4:$ME$40),"",INDEX($AS$4:$AS$40,MATCH(ROW()-3,$ME$4:$ME$40,0)))</f>
        <v/>
      </c>
      <c r="MG12">
        <f>IF(COUNTIF('Buyer Groups'!DG65:DM65,0)+COUNTIF('Buyer Groups'!DO65:EN65,0)&gt;0,0,1)</f>
        <v/>
      </c>
      <c r="MH12">
        <f>IF($AX$12="",FALSE,SUMPRODUCT(('Final Calculation Sheet'!$H$4:$H$40=$AX$12)*($MG$6:$MG$42=1))&gt;0)</f>
        <v/>
      </c>
      <c r="MI12">
        <f>$MI$11+--($MH12)</f>
        <v/>
      </c>
      <c r="MJ12">
        <f>IF(ROW()-3&gt;MAX($MI$4:$MI$40),"",INDEX($AX$4:$AX$40,MATCH(ROW()-3,$MI$4:$MI$40,0)))</f>
        <v/>
      </c>
      <c r="MK12">
        <f>IF(COUNTIF('Buyer Groups'!DG65:DN65,0)+COUNTIF('Buyer Groups'!DP65:EN65,0)&gt;0,0,1)</f>
        <v/>
      </c>
      <c r="ML12">
        <f>IF($BC$12="",FALSE,SUMPRODUCT(('Final Calculation Sheet'!$I$4:$I$40=$BC$12)*($MK$6:$MK$42=1))&gt;0)</f>
        <v/>
      </c>
      <c r="MM12">
        <f>$MM$11+--($ML12)</f>
        <v/>
      </c>
      <c r="MN12">
        <f>IF(ROW()-3&gt;MAX($MM$4:$MM$40),"",INDEX($BC$4:$BC$40,MATCH(ROW()-3,$MM$4:$MM$40,0)))</f>
        <v/>
      </c>
      <c r="MO12">
        <f>IF(COUNTIF('Buyer Groups'!DG65:DO65,0)+COUNTIF('Buyer Groups'!DQ65:EN65,0)&gt;0,0,1)</f>
        <v/>
      </c>
      <c r="MP12">
        <f>IF($BH$12="",FALSE,SUMPRODUCT(('Final Calculation Sheet'!$J$4:$J$40=$BH$12)*($MO$6:$MO$42=1))&gt;0)</f>
        <v/>
      </c>
      <c r="MQ12">
        <f>$MQ$11+--($MP12)</f>
        <v/>
      </c>
      <c r="MR12">
        <f>IF(ROW()-3&gt;MAX($MQ$4:$MQ$40),"",INDEX($BH$4:$BH$40,MATCH(ROW()-3,$MQ$4:$MQ$40,0)))</f>
        <v/>
      </c>
      <c r="MS12">
        <f>IF(COUNTIF('Buyer Groups'!DG65:DP65,0)+COUNTIF('Buyer Groups'!DR65:EN65,0)&gt;0,0,1)</f>
        <v/>
      </c>
      <c r="MT12">
        <f>IF($BM$12="",FALSE,SUMPRODUCT(('Final Calculation Sheet'!$K$4:$K$40=$BM$12)*($MS$6:$MS$42=1))&gt;0)</f>
        <v/>
      </c>
      <c r="MU12">
        <f>$MU$11+--($MT12)</f>
        <v/>
      </c>
      <c r="MV12">
        <f>IF(ROW()-3&gt;MAX($MU$4:$MU$40),"",INDEX($BM$4:$BM$40,MATCH(ROW()-3,$MU$4:$MU$40,0)))</f>
        <v/>
      </c>
      <c r="MW12">
        <f>IF(COUNTIF('Buyer Groups'!DG65:DQ65,0)+COUNTIF('Buyer Groups'!DS65:EN65,0)&gt;0,0,1)</f>
        <v/>
      </c>
      <c r="MX12">
        <f>IF($BR$12="",FALSE,SUMPRODUCT(('Final Calculation Sheet'!$L$4:$L$40=$BR$12)*($MW$6:$MW$42=1))&gt;0)</f>
        <v/>
      </c>
      <c r="MY12">
        <f>$MY$11+--($MX12)</f>
        <v/>
      </c>
      <c r="MZ12">
        <f>IF(ROW()-3&gt;MAX($MY$4:$MY$40),"",INDEX($BR$4:$BR$40,MATCH(ROW()-3,$MY$4:$MY$40,0)))</f>
        <v/>
      </c>
      <c r="NA12">
        <f>IF(COUNTIF('Buyer Groups'!DG65:DR65,0)+COUNTIF('Buyer Groups'!DT65:EN65,0)&gt;0,0,1)</f>
        <v/>
      </c>
      <c r="NB12">
        <f>IF($BW$12="",FALSE,SUMPRODUCT(('Final Calculation Sheet'!$M$4:$M$40=$BW$12)*($NA$6:$NA$42=1))&gt;0)</f>
        <v/>
      </c>
      <c r="NC12">
        <f>$NC$11+--($NB12)</f>
        <v/>
      </c>
      <c r="ND12">
        <f>IF(ROW()-3&gt;MAX($NC$4:$NC$40),"",INDEX($BW$4:$BW$40,MATCH(ROW()-3,$NC$4:$NC$40,0)))</f>
        <v/>
      </c>
      <c r="NE12">
        <f>IF(COUNTIF('Buyer Groups'!DG65:DS65,0)+COUNTIF('Buyer Groups'!DU65:EN65,0)&gt;0,0,1)</f>
        <v/>
      </c>
      <c r="NF12">
        <f>IF($CB$12="",FALSE,SUMPRODUCT(('Final Calculation Sheet'!$N$4:$N$40=$CB$12)*($NE$6:$NE$42=1))&gt;0)</f>
        <v/>
      </c>
      <c r="NG12">
        <f>$NG$11+--($NF12)</f>
        <v/>
      </c>
      <c r="NH12">
        <f>IF(ROW()-3&gt;MAX($NG$4:$NG$40),"",INDEX($CB$4:$CB$40,MATCH(ROW()-3,$NG$4:$NG$40,0)))</f>
        <v/>
      </c>
      <c r="NI12">
        <f>IF(COUNTIF('Buyer Groups'!DG65:DT65,0)+COUNTIF('Buyer Groups'!DV65:EN65,0)&gt;0,0,1)</f>
        <v/>
      </c>
      <c r="NJ12">
        <f>IF($CG$12="",FALSE,SUMPRODUCT(('Final Calculation Sheet'!$O$4:$O$40=$CG$12)*($NI$6:$NI$42=1))&gt;0)</f>
        <v/>
      </c>
      <c r="NK12">
        <f>$NK$11+--($NJ12)</f>
        <v/>
      </c>
      <c r="NL12">
        <f>IF(ROW()-3&gt;MAX($NK$4:$NK$40),"",INDEX($CG$4:$CG$40,MATCH(ROW()-3,$NK$4:$NK$40,0)))</f>
        <v/>
      </c>
      <c r="NM12">
        <f>IF(COUNTIF('Buyer Groups'!DG65:DU65,0)+COUNTIF('Buyer Groups'!DW65:EN65,0)&gt;0,0,1)</f>
        <v/>
      </c>
      <c r="NN12">
        <f>IF($CL$12="",FALSE,SUMPRODUCT(('Final Calculation Sheet'!$P$4:$P$40=$CL$12)*($NM$6:$NM$42=1))&gt;0)</f>
        <v/>
      </c>
      <c r="NO12">
        <f>$NO$11+--($NN12)</f>
        <v/>
      </c>
      <c r="NP12">
        <f>IF(ROW()-3&gt;MAX($NO$4:$NO$40),"",INDEX($CL$4:$CL$40,MATCH(ROW()-3,$NO$4:$NO$40,0)))</f>
        <v/>
      </c>
      <c r="NQ12">
        <f>IF(COUNTIF('Buyer Groups'!DG65:DV65,0)+COUNTIF('Buyer Groups'!DX65:EN65,0)&gt;0,0,1)</f>
        <v/>
      </c>
      <c r="NR12">
        <f>IF($CQ$12="",FALSE,SUMPRODUCT(('Final Calculation Sheet'!$Q$4:$Q$40=$CQ$12)*($NQ$6:$NQ$42=1))&gt;0)</f>
        <v/>
      </c>
      <c r="NS12">
        <f>$NS$11+--($NR12)</f>
        <v/>
      </c>
      <c r="NT12">
        <f>IF(ROW()-3&gt;MAX($NS$4:$NS$40),"",INDEX($CQ$4:$CQ$40,MATCH(ROW()-3,$NS$4:$NS$40,0)))</f>
        <v/>
      </c>
      <c r="NU12">
        <f>IF(COUNTIF('Buyer Groups'!DG65:DW65,0)+COUNTIF('Buyer Groups'!DY65:EN65,0)&gt;0,0,1)</f>
        <v/>
      </c>
      <c r="NV12">
        <f>IF($CV$12="",FALSE,SUMPRODUCT(('Final Calculation Sheet'!$R$4:$R$40=$CV$12)*($NU$6:$NU$42=1))&gt;0)</f>
        <v/>
      </c>
      <c r="NW12">
        <f>$NW$11+--($NV12)</f>
        <v/>
      </c>
      <c r="NX12">
        <f>IF(ROW()-3&gt;MAX($NW$4:$NW$40),"",INDEX($CV$4:$CV$40,MATCH(ROW()-3,$NW$4:$NW$40,0)))</f>
        <v/>
      </c>
      <c r="NY12">
        <f>IF(COUNTIF('Buyer Groups'!DG65:DX65,0)+COUNTIF('Buyer Groups'!DZ65:EN65,0)&gt;0,0,1)</f>
        <v/>
      </c>
      <c r="NZ12">
        <f>IF($DA$12="",FALSE,SUMPRODUCT(('Final Calculation Sheet'!$S$4:$S$40=$DA$12)*($NY$6:$NY$42=1))&gt;0)</f>
        <v/>
      </c>
      <c r="OA12">
        <f>$OA$11+--($NZ12)</f>
        <v/>
      </c>
      <c r="OB12">
        <f>IF(ROW()-3&gt;MAX($OA$4:$OA$40),"",INDEX($DA$4:$DA$40,MATCH(ROW()-3,$OA$4:$OA$40,0)))</f>
        <v/>
      </c>
      <c r="OC12">
        <f>IF(COUNTIF('Buyer Groups'!DG65:DY65,0)+COUNTIF('Buyer Groups'!EA65:EN65,0)&gt;0,0,1)</f>
        <v/>
      </c>
      <c r="OD12">
        <f>IF($DF$12="",FALSE,SUMPRODUCT(('Final Calculation Sheet'!$T$4:$T$40=$DF$12)*($OC$6:$OC$42=1))&gt;0)</f>
        <v/>
      </c>
      <c r="OE12">
        <f>$OE$11+--($OD12)</f>
        <v/>
      </c>
      <c r="OF12">
        <f>IF(ROW()-3&gt;MAX($OE$4:$OE$40),"",INDEX($DF$4:$DF$40,MATCH(ROW()-3,$OE$4:$OE$40,0)))</f>
        <v/>
      </c>
      <c r="OG12">
        <f>IF(COUNTIF('Buyer Groups'!DG65:DZ65,0)+COUNTIF('Buyer Groups'!EB65:EN65,0)&gt;0,0,1)</f>
        <v/>
      </c>
      <c r="OH12">
        <f>IF($DK$12="",FALSE,SUMPRODUCT(('Final Calculation Sheet'!$U$4:$U$40=$DK$12)*($OG$6:$OG$42=1))&gt;0)</f>
        <v/>
      </c>
      <c r="OI12">
        <f>$OI$11+--($OH12)</f>
        <v/>
      </c>
      <c r="OJ12">
        <f>IF(ROW()-3&gt;MAX($OI$4:$OI$40),"",INDEX($DK$4:$DK$40,MATCH(ROW()-3,$OI$4:$OI$40,0)))</f>
        <v/>
      </c>
      <c r="OK12">
        <f>IF(COUNTIF('Buyer Groups'!DG65:EA65,0)+COUNTIF('Buyer Groups'!EC65:EN65,0)&gt;0,0,1)</f>
        <v/>
      </c>
      <c r="OL12">
        <f>IF($DP$12="",FALSE,SUMPRODUCT(('Final Calculation Sheet'!$V$4:$V$40=$DP$12)*($OK$6:$OK$42=1))&gt;0)</f>
        <v/>
      </c>
      <c r="OM12">
        <f>$OM$11+--($OL12)</f>
        <v/>
      </c>
      <c r="ON12">
        <f>IF(ROW()-3&gt;MAX($OM$4:$OM$40),"",INDEX($DP$4:$DP$40,MATCH(ROW()-3,$OM$4:$OM$40,0)))</f>
        <v/>
      </c>
      <c r="OO12">
        <f>IF(COUNTIF('Buyer Groups'!DG65:EB65,0)+COUNTIF('Buyer Groups'!ED65:EN65,0)&gt;0,0,1)</f>
        <v/>
      </c>
      <c r="OP12">
        <f>IF($DU$12="",FALSE,SUMPRODUCT(('Final Calculation Sheet'!$W$4:$W$40=$DU$12)*($OO$6:$OO$42=1))&gt;0)</f>
        <v/>
      </c>
      <c r="OQ12">
        <f>$OQ$11+--($OP12)</f>
        <v/>
      </c>
      <c r="OR12">
        <f>IF(ROW()-3&gt;MAX($OQ$4:$OQ$40),"",INDEX($DU$4:$DU$40,MATCH(ROW()-3,$OQ$4:$OQ$40,0)))</f>
        <v/>
      </c>
      <c r="OS12">
        <f>IF(COUNTIF('Buyer Groups'!DG65:EC65,0)+COUNTIF('Buyer Groups'!EE65:EN65,0)&gt;0,0,1)</f>
        <v/>
      </c>
      <c r="OT12">
        <f>IF($DZ$12="",FALSE,SUMPRODUCT(('Final Calculation Sheet'!$X$4:$X$40=$DZ$12)*($OS$6:$OS$42=1))&gt;0)</f>
        <v/>
      </c>
      <c r="OU12">
        <f>$OU$11+--($OT12)</f>
        <v/>
      </c>
      <c r="OV12">
        <f>IF(ROW()-3&gt;MAX($OU$4:$OU$40),"",INDEX($DZ$4:$DZ$40,MATCH(ROW()-3,$OU$4:$OU$40,0)))</f>
        <v/>
      </c>
      <c r="OW12">
        <f>IF(COUNTIF('Buyer Groups'!DG65:ED65,0)+COUNTIF('Buyer Groups'!EF65:EN65,0)&gt;0,0,1)</f>
        <v/>
      </c>
      <c r="OX12">
        <f>IF($EE$12="",FALSE,SUMPRODUCT(('Final Calculation Sheet'!$Y$4:$Y$40=$EE$12)*($OW$6:$OW$42=1))&gt;0)</f>
        <v/>
      </c>
      <c r="OY12">
        <f>$OY$11+--($OX12)</f>
        <v/>
      </c>
      <c r="OZ12">
        <f>IF(ROW()-3&gt;MAX($OY$4:$OY$40),"",INDEX($EE$4:$EE$40,MATCH(ROW()-3,$OY$4:$OY$40,0)))</f>
        <v/>
      </c>
      <c r="PA12">
        <f>IF(COUNTIF('Buyer Groups'!DG65:EE65,0)+COUNTIF('Buyer Groups'!EG65:EN65,0)&gt;0,0,1)</f>
        <v/>
      </c>
      <c r="PB12">
        <f>IF($EJ$12="",FALSE,SUMPRODUCT(('Final Calculation Sheet'!$Z$4:$Z$40=$EJ$12)*($PA$6:$PA$42=1))&gt;0)</f>
        <v/>
      </c>
      <c r="PC12">
        <f>$PC$11+--($PB12)</f>
        <v/>
      </c>
      <c r="PD12">
        <f>IF(ROW()-3&gt;MAX($PC$4:$PC$40),"",INDEX($EJ$4:$EJ$40,MATCH(ROW()-3,$PC$4:$PC$40,0)))</f>
        <v/>
      </c>
      <c r="PE12">
        <f>IF(COUNTIF('Buyer Groups'!DG65:EF65,0)+COUNTIF('Buyer Groups'!EH65:EN65,0)&gt;0,0,1)</f>
        <v/>
      </c>
      <c r="PF12">
        <f>IF($EO$12="",FALSE,SUMPRODUCT(('Final Calculation Sheet'!$AA$4:$AA$40=$EO$12)*($PE$6:$PE$42=1))&gt;0)</f>
        <v/>
      </c>
      <c r="PG12">
        <f>$PG$11+--($PF12)</f>
        <v/>
      </c>
      <c r="PH12">
        <f>IF(ROW()-3&gt;MAX($PG$4:$PG$40),"",INDEX($EO$4:$EO$40,MATCH(ROW()-3,$PG$4:$PG$40,0)))</f>
        <v/>
      </c>
      <c r="PI12">
        <f>IF(COUNTIF('Buyer Groups'!DG65:EG65,0)+COUNTIF('Buyer Groups'!EI65:EN65,0)&gt;0,0,1)</f>
        <v/>
      </c>
      <c r="PJ12">
        <f>IF($ET$12="",FALSE,SUMPRODUCT(('Final Calculation Sheet'!$AB$4:$AB$40=$ET$12)*($PI$6:$PI$42=1))&gt;0)</f>
        <v/>
      </c>
      <c r="PK12">
        <f>$PK$11+--($PJ12)</f>
        <v/>
      </c>
      <c r="PL12">
        <f>IF(ROW()-3&gt;MAX($PK$4:$PK$40),"",INDEX($ET$4:$ET$40,MATCH(ROW()-3,$PK$4:$PK$40,0)))</f>
        <v/>
      </c>
      <c r="PM12">
        <f>IF(COUNTIF('Buyer Groups'!DG65:EH65,0)+COUNTIF('Buyer Groups'!EJ65:EN65,0)&gt;0,0,1)</f>
        <v/>
      </c>
      <c r="PN12">
        <f>IF($EY$12="",FALSE,SUMPRODUCT(('Final Calculation Sheet'!$AC$4:$AC$40=$EY$12)*($PM$6:$PM$42=1))&gt;0)</f>
        <v/>
      </c>
      <c r="PO12">
        <f>$PO$11+--($PN12)</f>
        <v/>
      </c>
      <c r="PP12">
        <f>IF(ROW()-3&gt;MAX($PO$4:$PO$40),"",INDEX($EY$4:$EY$40,MATCH(ROW()-3,$PO$4:$PO$40,0)))</f>
        <v/>
      </c>
      <c r="PQ12">
        <f>IF(COUNTIF('Buyer Groups'!DG65:EI65,0)+COUNTIF('Buyer Groups'!EK65:EN65,0)&gt;0,0,1)</f>
        <v/>
      </c>
      <c r="PR12">
        <f>IF($FD$12="",FALSE,SUMPRODUCT(('Final Calculation Sheet'!$AD$4:$AD$40=$FD$12)*($PQ$6:$PQ$42=1))&gt;0)</f>
        <v/>
      </c>
      <c r="PS12">
        <f>$PS$11+--($PR12)</f>
        <v/>
      </c>
      <c r="PT12">
        <f>IF(ROW()-3&gt;MAX($PS$4:$PS$40),"",INDEX($FD$4:$FD$40,MATCH(ROW()-3,$PS$4:$PS$40,0)))</f>
        <v/>
      </c>
      <c r="PU12">
        <f>IF(COUNTIF('Buyer Groups'!DG65:EJ65,0)+COUNTIF('Buyer Groups'!EL65:EN65,0)&gt;0,0,1)</f>
        <v/>
      </c>
      <c r="PV12">
        <f>IF($FX$12="",FALSE,SUMPRODUCT((IF('Final Calculation Sheet'!$AD$4:$AD$40&lt;=5,"SETTLED","OUTSTANDING")=$FX$12)*($PU$6:$PU$42=1))&gt;0)</f>
        <v/>
      </c>
      <c r="PW12">
        <f>$PW$11+--($PV12)</f>
        <v/>
      </c>
      <c r="PX12">
        <f>IF(ROW()-3&gt;MAX($PW$4:$PW$40),"",INDEX($FX$4:$FX$40,MATCH(ROW()-3,$PW$4:$PW$40,0)))</f>
        <v/>
      </c>
      <c r="PY12">
        <f>IF(COUNTIF('Buyer Groups'!DG65:EK65,0)+COUNTIF('Buyer Groups'!EM65:EN65,0)&gt;0,0,1)</f>
        <v/>
      </c>
      <c r="PZ12">
        <f>IF($FI$12="",FALSE,SUMPRODUCT(('Final Calculation Sheet'!$AF$4:$AF$40=$FI$12)*($PY$6:$PY$42=1))&gt;0)</f>
        <v/>
      </c>
      <c r="QA12">
        <f>$QA$11+--($PZ12)</f>
        <v/>
      </c>
      <c r="QB12">
        <f>IF(ROW()-3&gt;MAX($QA$4:$QA$40),"",INDEX($FI$4:$FI$40,MATCH(ROW()-3,$QA$4:$QA$40,0)))</f>
        <v/>
      </c>
      <c r="QC12">
        <f>IF(COUNTIF('Buyer Groups'!DG65:EL65,0)+COUNTIF('Buyer Groups'!EN65:EN65,0)&gt;0,0,1)</f>
        <v/>
      </c>
      <c r="QD12">
        <f>IF($FN$12="",FALSE,SUMPRODUCT(('Final Calculation Sheet'!$AG$4:$AG$40=$FN$12)*($QC$6:$QC$42=1))&gt;0)</f>
        <v/>
      </c>
      <c r="QE12">
        <f>$QE$11+--($QD12)</f>
        <v/>
      </c>
      <c r="QF12">
        <f>IF(ROW()-3&gt;MAX($QE$4:$QE$40),"",INDEX($FN$4:$FN$40,MATCH(ROW()-3,$QE$4:$QE$40,0)))</f>
        <v/>
      </c>
      <c r="QG12">
        <f>IF(COUNTIF('Buyer Groups'!DG65:EM65,0)&gt;0,0,1)</f>
        <v/>
      </c>
      <c r="QH12">
        <f>IF($FS$12="",FALSE,SUMPRODUCT(('Final Calculation Sheet'!$AH$4:$AH$40=$FS$12)*($QG$6:$QG$42=1))&gt;0)</f>
        <v/>
      </c>
      <c r="QI12">
        <f>$QI$11+--($QH12)</f>
        <v/>
      </c>
      <c r="QJ12">
        <f>IF(ROW()-3&gt;MAX($QI$4:$QI$40),"",INDEX($FS$4:$FS$40,MATCH(ROW()-3,$QI$4:$QI$40,0)))</f>
        <v/>
      </c>
      <c r="QK12" t="str">
        <f>IF('Final Calculation Sheet'!$AH$12="","",'Final Calculation Sheet'!$AH$12)</f>
      </c>
      <c r="QL12" t="str">
        <f>IF(QK12="","",COUNTIFS(QK$4:QK$40,"&lt;"&amp;QK12,QK$4:QK$40,"&lt;&gt;"&amp;"")+COUNTIF(QK$4:QK12,QK12))</f>
      </c>
      <c r="QM12" t="str">
        <f>IF(ROW()-3&gt;COUNTIF(QK$4:QK$40,"&lt;&gt;"&amp;""),"",INDEX(QK$4:QK$40,MATCH(ROW()-3,QL$4:QL$40,0)))</f>
      </c>
      <c r="QN12" t="str">
        <f>=QN11+F(AND(QM12&lt;&gt;"",COUNTIF(QM$4:QM12,QM12)=1),1,0)</f>
      </c>
      <c r="QO12" t="str">
        <f>IF(ROW()-3&gt;MAX(QN$4:QN$40),"",INDEX(QM$4:QM$40,MATCH(ROW()-3,QN$4:QN$40,0)))</f>
      </c>
      <c r="QP12" t="str">
        <f>IF(COUNTIF('Final Calculation Sheet'!$AM12:$BS12,0)&gt;0,0,1)</f>
      </c>
      <c r="QQ12" t="str">
        <f>IF($AI$12="",FALSE,SUMPRODUCT(('Final Calculation Sheet'!$A$4:$A$40=$AI$12)*($QP$4:$QP$40=1))&gt;0)</f>
      </c>
      <c r="QR12" t="str">
        <f>=$QR11+--($QQ12)</f>
      </c>
      <c r="QS12" t="str">
        <f>IF(ROW()-3&gt;MAX($QR$4:$QR$40),"",INDEX($AI$4:$AI$40,MATCH(ROW()-3,$QR$4:$QR$40,0)))</f>
      </c>
      <c r="QT12" t="str">
        <f>IF(COUNTIF('Final Calculation Sheet'!$AL12:$AL12,0)+COUNTIF('Final Calculation Sheet'!$AN12:$BS12,0)&gt;0,0,1)</f>
      </c>
      <c r="QU12" t="str">
        <f>IF($Y$12="",FALSE,SUMPRODUCT(('Final Calculation Sheet'!$B$4:$B$40=$Y$12)*($QT$4:$QT$40=1))&gt;0)</f>
      </c>
      <c r="QV12" t="str">
        <f>=$QV11+--($QU12)</f>
      </c>
      <c r="QW12" t="str">
        <f>IF(ROW()-3&gt;MAX($QV$4:$QV$40),"",INDEX($Y$4:$Y$40,MATCH(ROW()-3,$QV$4:$QV$40,0)))</f>
      </c>
      <c r="QX12" t="str">
        <f>IF(COUNTIF('Final Calculation Sheet'!$AL12:$AM12,0)+COUNTIF('Final Calculation Sheet'!$AO12:$BS12,0)&gt;0,0,1)</f>
      </c>
      <c r="QY12" t="str">
        <f>IF($AS$12="",FALSE,SUMPRODUCT(('Final Calculation Sheet'!$C$4:$C$40=$AS$12)*($QX$4:$QX$40=1))&gt;0)</f>
      </c>
      <c r="QZ12" t="str">
        <f>=$QZ11+--($QY12)</f>
      </c>
      <c r="RA12" t="str">
        <f>IF(ROW()-3&gt;MAX($QZ$4:$QZ$40),"",INDEX($AS$4:$AS$40,MATCH(ROW()-3,$QZ$4:$QZ$40,0)))</f>
      </c>
      <c r="RB12" t="str">
        <f>IF(COUNTIF('Final Calculation Sheet'!$AL12:$AN12,0)+COUNTIF('Final Calculation Sheet'!$AP12:$BS12,0)&gt;0,0,1)</f>
      </c>
      <c r="RC12" t="str">
        <f>IF($AD$12="",FALSE,SUMPRODUCT(('Final Calculation Sheet'!$D$4:$D$40=$AD$12)*($RB$4:$RB$40=1))&gt;0)</f>
      </c>
      <c r="RD12" t="str">
        <f>=$RD11+--($RC12)</f>
      </c>
      <c r="RE12" t="str">
        <f>IF(ROW()-3&gt;MAX($RD$4:$RD$40),"",INDEX($AD$4:$AD$40,MATCH(ROW()-3,$RD$4:$RD$40,0)))</f>
      </c>
      <c r="RF12" t="str">
        <f>IF(COUNTIF('Final Calculation Sheet'!$AL12:$AO12,0)+COUNTIF('Final Calculation Sheet'!$AQ12:$BS12,0)&gt;0,0,1)</f>
      </c>
      <c r="RG12" t="str">
        <f>IF($AN$12="",FALSE,SUMPRODUCT(('Final Calculation Sheet'!$E$4:$E$40=$AN$12)*($RF$4:$RF$40=1))&gt;0)</f>
      </c>
      <c r="RH12" t="str">
        <f>=$RH11+--($RG12)</f>
      </c>
      <c r="RI12" t="str">
        <f>IF(ROW()-3&gt;MAX($RH$4:$RH$40),"",INDEX($AN$4:$AN$40,MATCH(ROW()-3,$RH$4:$RH$40,0)))</f>
      </c>
      <c r="RJ12" t="str">
        <f>IF(COUNTIF('Final Calculation Sheet'!$AL12:$AP12,0)+COUNTIF('Final Calculation Sheet'!$AR12:$BS12,0)&gt;0,0,1)</f>
      </c>
      <c r="RK12" t="str">
        <f>IF($O$12="",FALSE,SUMPRODUCT(('Final Calculation Sheet'!$F$4:$F$40=$O$12)*($RJ$4:$RJ$40=1))&gt;0)</f>
      </c>
      <c r="RL12" t="str">
        <f>=$RL11+--($RK12)</f>
      </c>
      <c r="RM12" t="str">
        <f>IF(ROW()-3&gt;MAX($RL$4:$RL$40),"",INDEX($O$4:$O$40,MATCH(ROW()-3,$RL$4:$RL$40,0)))</f>
      </c>
      <c r="RN12" t="str">
        <f>IF(COUNTIF('Final Calculation Sheet'!$AL12:$AQ12,0)+COUNTIF('Final Calculation Sheet'!$AS12:$BS12,0)&gt;0,0,1)</f>
      </c>
      <c r="RO12" t="str">
        <f>IF($T$12="",FALSE,SUMPRODUCT(('Final Calculation Sheet'!$G$4:$G$40=$T$12)*($RN$4:$RN$40=1))&gt;0)</f>
      </c>
      <c r="RP12" t="str">
        <f>=$RP11+--($RO12)</f>
      </c>
      <c r="RQ12" t="str">
        <f>IF(ROW()-3&gt;MAX($RP$4:$RP$40),"",INDEX($T$4:$T$40,MATCH(ROW()-3,$RP$4:$RP$40,0)))</f>
      </c>
      <c r="RR12" t="str">
        <f>IF(COUNTIF('Final Calculation Sheet'!$AL12:$AR12,0)+COUNTIF('Final Calculation Sheet'!$AT12:$BS12,0)&gt;0,0,1)</f>
      </c>
      <c r="RS12" t="str">
        <f>IF($AX$12="",FALSE,SUMPRODUCT(('Final Calculation Sheet'!$H$4:$H$40=$AX$12)*($RR$4:$RR$40=1))&gt;0)</f>
      </c>
      <c r="RT12" t="str">
        <f>=$RT11+--($RS12)</f>
      </c>
      <c r="RU12" t="str">
        <f>IF(ROW()-3&gt;MAX($RT$4:$RT$40),"",INDEX($AX$4:$AX$40,MATCH(ROW()-3,$RT$4:$RT$40,0)))</f>
      </c>
      <c r="RV12" t="str">
        <f>IF(COUNTIF('Final Calculation Sheet'!$AL12:$AS12,0)+COUNTIF('Final Calculation Sheet'!$AU12:$BS12,0)&gt;0,0,1)</f>
      </c>
      <c r="RW12" t="str">
        <f>IF($BC$12="",FALSE,SUMPRODUCT(('Final Calculation Sheet'!$I$4:$I$40=$BC$12)*($RV$4:$RV$40=1))&gt;0)</f>
      </c>
      <c r="RX12" t="str">
        <f>=$RX11+--($RW12)</f>
      </c>
      <c r="RY12" t="str">
        <f>IF(ROW()-3&gt;MAX($RX$4:$RX$40),"",INDEX($BC$4:$BC$40,MATCH(ROW()-3,$RX$4:$RX$40,0)))</f>
      </c>
      <c r="RZ12" t="str">
        <f>IF(COUNTIF('Final Calculation Sheet'!$AL12:$AT12,0)+COUNTIF('Final Calculation Sheet'!$AV12:$BS12,0)&gt;0,0,1)</f>
      </c>
      <c r="SA12" t="str">
        <f>IF($BH$12="",FALSE,SUMPRODUCT(('Final Calculation Sheet'!$J$4:$J$40=$BH$12)*($RZ$4:$RZ$40=1))&gt;0)</f>
      </c>
      <c r="SB12" t="str">
        <f>=$SB11+--($SA12)</f>
      </c>
      <c r="SC12" t="str">
        <f>IF(ROW()-3&gt;MAX($SB$4:$SB$40),"",INDEX($BH$4:$BH$40,MATCH(ROW()-3,$SB$4:$SB$40,0)))</f>
      </c>
      <c r="SD12" t="str">
        <f>IF(COUNTIF('Final Calculation Sheet'!$AL12:$AU12,0)+COUNTIF('Final Calculation Sheet'!$AW12:$BS12,0)&gt;0,0,1)</f>
      </c>
      <c r="SE12" t="str">
        <f>IF($BM$12="",FALSE,SUMPRODUCT(('Final Calculation Sheet'!$K$4:$K$40=$BM$12)*($SD$4:$SD$40=1))&gt;0)</f>
      </c>
      <c r="SF12" t="str">
        <f>=$SF11+--($SE12)</f>
      </c>
      <c r="SG12" t="str">
        <f>IF(ROW()-3&gt;MAX($SF$4:$SF$40),"",INDEX($BM$4:$BM$40,MATCH(ROW()-3,$SF$4:$SF$40,0)))</f>
      </c>
      <c r="SH12" t="str">
        <f>IF(COUNTIF('Final Calculation Sheet'!$AL12:$AV12,0)+COUNTIF('Final Calculation Sheet'!$AX12:$BS12,0)&gt;0,0,1)</f>
      </c>
      <c r="SI12" t="str">
        <f>IF($BR$12="",FALSE,SUMPRODUCT(('Final Calculation Sheet'!$L$4:$L$40=$BR$12)*($SH$4:$SH$40=1))&gt;0)</f>
      </c>
      <c r="SJ12" t="str">
        <f>=$SJ11+--($SI12)</f>
      </c>
      <c r="SK12" t="str">
        <f>IF(ROW()-3&gt;MAX($SJ$4:$SJ$40),"",INDEX($BR$4:$BR$40,MATCH(ROW()-3,$SJ$4:$SJ$40,0)))</f>
      </c>
      <c r="SL12" t="str">
        <f>IF(COUNTIF('Final Calculation Sheet'!$AL12:$AW12,0)+COUNTIF('Final Calculation Sheet'!$AY12:$BS12,0)&gt;0,0,1)</f>
      </c>
      <c r="SM12" t="str">
        <f>IF($BW$12="",FALSE,SUMPRODUCT(('Final Calculation Sheet'!$M$4:$M$40=$BW$12)*($SL$4:$SL$40=1))&gt;0)</f>
      </c>
      <c r="SN12" t="str">
        <f>=$SN11+--($SM12)</f>
      </c>
      <c r="SO12" t="str">
        <f>IF(ROW()-3&gt;MAX($SN$4:$SN$40),"",INDEX($BW$4:$BW$40,MATCH(ROW()-3,$SN$4:$SN$40,0)))</f>
      </c>
      <c r="SP12" t="str">
        <f>IF(COUNTIF('Final Calculation Sheet'!$AL12:$AX12,0)+COUNTIF('Final Calculation Sheet'!$AZ12:$BS12,0)&gt;0,0,1)</f>
      </c>
      <c r="SQ12" t="str">
        <f>IF($CB$12="",FALSE,SUMPRODUCT(('Final Calculation Sheet'!$N$4:$N$40=$CB$12)*($SP$4:$SP$40=1))&gt;0)</f>
      </c>
      <c r="SR12" t="str">
        <f>=$SR11+--($SQ12)</f>
      </c>
      <c r="SS12" t="str">
        <f>IF(ROW()-3&gt;MAX($SR$4:$SR$40),"",INDEX($CB$4:$CB$40,MATCH(ROW()-3,$SR$4:$SR$40,0)))</f>
      </c>
      <c r="ST12" t="str">
        <f>IF(COUNTIF('Final Calculation Sheet'!$AL12:$AY12,0)+COUNTIF('Final Calculation Sheet'!$BA12:$BS12,0)&gt;0,0,1)</f>
      </c>
      <c r="SU12" t="str">
        <f>IF($CG$12="",FALSE,SUMPRODUCT(('Final Calculation Sheet'!$O$4:$O$40=$CG$12)*($ST$4:$ST$40=1))&gt;0)</f>
      </c>
      <c r="SV12" t="str">
        <f>=$SV11+--($SU12)</f>
      </c>
      <c r="SW12" t="str">
        <f>IF(ROW()-3&gt;MAX($SV$4:$SV$40),"",INDEX($CG$4:$CG$40,MATCH(ROW()-3,$SV$4:$SV$40,0)))</f>
      </c>
      <c r="SX12" t="str">
        <f>IF(COUNTIF('Final Calculation Sheet'!$AL12:$AZ12,0)+COUNTIF('Final Calculation Sheet'!$BB12:$BS12,0)&gt;0,0,1)</f>
      </c>
      <c r="SY12" t="str">
        <f>IF($CL$12="",FALSE,SUMPRODUCT(('Final Calculation Sheet'!$P$4:$P$40=$CL$12)*($SX$4:$SX$40=1))&gt;0)</f>
      </c>
      <c r="SZ12" t="str">
        <f>=$SZ11+--($SY12)</f>
      </c>
      <c r="TA12" t="str">
        <f>IF(ROW()-3&gt;MAX($SZ$4:$SZ$40),"",INDEX($CL$4:$CL$40,MATCH(ROW()-3,$SZ$4:$SZ$40,0)))</f>
      </c>
      <c r="TB12" t="str">
        <f>IF(COUNTIF('Final Calculation Sheet'!$AL12:$BA12,0)+COUNTIF('Final Calculation Sheet'!$BC12:$BS12,0)&gt;0,0,1)</f>
      </c>
      <c r="TC12" t="str">
        <f>IF($CQ$12="",FALSE,SUMPRODUCT(('Final Calculation Sheet'!$Q$4:$Q$40=$CQ$12)*($TB$4:$TB$40=1))&gt;0)</f>
      </c>
      <c r="TD12" t="str">
        <f>=$TD11+--($TC12)</f>
      </c>
      <c r="TE12" t="str">
        <f>IF(ROW()-3&gt;MAX($TD$4:$TD$40),"",INDEX($CQ$4:$CQ$40,MATCH(ROW()-3,$TD$4:$TD$40,0)))</f>
      </c>
      <c r="TF12" t="str">
        <f>IF(COUNTIF('Final Calculation Sheet'!$AL12:$BB12,0)+COUNTIF('Final Calculation Sheet'!$BD12:$BS12,0)&gt;0,0,1)</f>
      </c>
      <c r="TG12" t="str">
        <f>IF($CV$12="",FALSE,SUMPRODUCT(('Final Calculation Sheet'!$R$4:$R$40=$CV$12)*($TF$4:$TF$40=1))&gt;0)</f>
      </c>
      <c r="TH12" t="str">
        <f>=$TH11+--($TG12)</f>
      </c>
      <c r="TI12" t="str">
        <f>IF(ROW()-3&gt;MAX($TH$4:$TH$40),"",INDEX($CV$4:$CV$40,MATCH(ROW()-3,$TH$4:$TH$40,0)))</f>
      </c>
      <c r="TJ12" t="str">
        <f>IF(COUNTIF('Final Calculation Sheet'!$AL12:$BC12,0)+COUNTIF('Final Calculation Sheet'!$BE12:$BS12,0)&gt;0,0,1)</f>
      </c>
      <c r="TK12" t="str">
        <f>IF($DA$12="",FALSE,SUMPRODUCT(('Final Calculation Sheet'!$S$4:$S$40=$DA$12)*($TJ$4:$TJ$40=1))&gt;0)</f>
      </c>
      <c r="TL12" t="str">
        <f>=$TL11+--($TK12)</f>
      </c>
      <c r="TM12" t="str">
        <f>IF(ROW()-3&gt;MAX($TL$4:$TL$40),"",INDEX($DA$4:$DA$40,MATCH(ROW()-3,$TL$4:$TL$40,0)))</f>
      </c>
      <c r="TN12" t="str">
        <f>IF(COUNTIF('Final Calculation Sheet'!$AL12:$BD12,0)+COUNTIF('Final Calculation Sheet'!$BF12:$BS12,0)&gt;0,0,1)</f>
      </c>
      <c r="TO12" t="str">
        <f>IF($DF$12="",FALSE,SUMPRODUCT(('Final Calculation Sheet'!$T$4:$T$40=$DF$12)*($TN$4:$TN$40=1))&gt;0)</f>
      </c>
      <c r="TP12" t="str">
        <f>=$TP11+--($TO12)</f>
      </c>
      <c r="TQ12" t="str">
        <f>IF(ROW()-3&gt;MAX($TP$4:$TP$40),"",INDEX($DF$4:$DF$40,MATCH(ROW()-3,$TP$4:$TP$40,0)))</f>
      </c>
      <c r="TR12" t="str">
        <f>IF(COUNTIF('Final Calculation Sheet'!$AL12:$BE12,0)+COUNTIF('Final Calculation Sheet'!$BG12:$BS12,0)&gt;0,0,1)</f>
      </c>
      <c r="TS12" t="str">
        <f>IF($DK$12="",FALSE,SUMPRODUCT(('Final Calculation Sheet'!$U$4:$U$40=$DK$12)*($TR$4:$TR$40=1))&gt;0)</f>
      </c>
      <c r="TT12" t="str">
        <f>=$TT11+--($TS12)</f>
      </c>
      <c r="TU12" t="str">
        <f>IF(ROW()-3&gt;MAX($TT$4:$TT$40),"",INDEX($DK$4:$DK$40,MATCH(ROW()-3,$TT$4:$TT$40,0)))</f>
      </c>
      <c r="TV12" t="str">
        <f>IF(COUNTIF('Final Calculation Sheet'!$AL12:$BF12,0)+COUNTIF('Final Calculation Sheet'!$BH12:$BS12,0)&gt;0,0,1)</f>
      </c>
      <c r="TW12" t="str">
        <f>IF($DP$12="",FALSE,SUMPRODUCT(('Final Calculation Sheet'!$V$4:$V$40=$DP$12)*($TV$4:$TV$40=1))&gt;0)</f>
      </c>
      <c r="TX12" t="str">
        <f>=$TX11+--($TW12)</f>
      </c>
      <c r="TY12" t="str">
        <f>IF(ROW()-3&gt;MAX($TX$4:$TX$40),"",INDEX($DP$4:$DP$40,MATCH(ROW()-3,$TX$4:$TX$40,0)))</f>
      </c>
      <c r="TZ12" t="str">
        <f>IF(COUNTIF('Final Calculation Sheet'!$AL12:$BG12,0)+COUNTIF('Final Calculation Sheet'!$BI12:$BS12,0)&gt;0,0,1)</f>
      </c>
      <c r="UA12" t="str">
        <f>IF($DU$12="",FALSE,SUMPRODUCT(('Final Calculation Sheet'!$W$4:$W$40=$DU$12)*($TZ$4:$TZ$40=1))&gt;0)</f>
      </c>
      <c r="UB12" t="str">
        <f>=$UB11+--($UA12)</f>
      </c>
      <c r="UC12" t="str">
        <f>IF(ROW()-3&gt;MAX($UB$4:$UB$40),"",INDEX($DU$4:$DU$40,MATCH(ROW()-3,$UB$4:$UB$40,0)))</f>
      </c>
      <c r="UD12" t="str">
        <f>IF(COUNTIF('Final Calculation Sheet'!$AL12:$BH12,0)+COUNTIF('Final Calculation Sheet'!$BJ12:$BS12,0)&gt;0,0,1)</f>
      </c>
      <c r="UE12" t="str">
        <f>IF($DZ$12="",FALSE,SUMPRODUCT(('Final Calculation Sheet'!$X$4:$X$40=$DZ$12)*($UD$4:$UD$40=1))&gt;0)</f>
      </c>
      <c r="UF12" t="str">
        <f>=$UF11+--($UE12)</f>
      </c>
      <c r="UG12" t="str">
        <f>IF(ROW()-3&gt;MAX($UF$4:$UF$40),"",INDEX($DZ$4:$DZ$40,MATCH(ROW()-3,$UF$4:$UF$40,0)))</f>
      </c>
      <c r="UH12" t="str">
        <f>IF(COUNTIF('Final Calculation Sheet'!$AL12:$BI12,0)+COUNTIF('Final Calculation Sheet'!$BK12:$BS12,0)&gt;0,0,1)</f>
      </c>
      <c r="UI12" t="str">
        <f>IF($EE$12="",FALSE,SUMPRODUCT(('Final Calculation Sheet'!$Y$4:$Y$40=$EE$12)*($UH$4:$UH$40=1))&gt;0)</f>
      </c>
      <c r="UJ12" t="str">
        <f>=$UJ11+--($UI12)</f>
      </c>
      <c r="UK12" t="str">
        <f>IF(ROW()-3&gt;MAX($UJ$4:$UJ$40),"",INDEX($EE$4:$EE$40,MATCH(ROW()-3,$UJ$4:$UJ$40,0)))</f>
      </c>
      <c r="UL12" t="str">
        <f>IF(COUNTIF('Final Calculation Sheet'!$AL12:$BJ12,0)+COUNTIF('Final Calculation Sheet'!$BL12:$BS12,0)&gt;0,0,1)</f>
      </c>
      <c r="UM12" t="str">
        <f>IF($EJ$12="",FALSE,SUMPRODUCT(('Final Calculation Sheet'!$Z$4:$Z$40=$EJ$12)*($UL$4:$UL$40=1))&gt;0)</f>
      </c>
      <c r="UN12" t="str">
        <f>=$UN11+--($UM12)</f>
      </c>
      <c r="UO12" t="str">
        <f>IF(ROW()-3&gt;MAX($UN$4:$UN$40),"",INDEX($EJ$4:$EJ$40,MATCH(ROW()-3,$UN$4:$UN$40,0)))</f>
      </c>
      <c r="UP12" t="str">
        <f>IF(COUNTIF('Final Calculation Sheet'!$AL12:$BK12,0)+COUNTIF('Final Calculation Sheet'!$BM12:$BS12,0)&gt;0,0,1)</f>
      </c>
      <c r="UQ12" t="str">
        <f>IF($EO$12="",FALSE,SUMPRODUCT(('Final Calculation Sheet'!$AA$4:$AA$40=$EO$12)*($UP$4:$UP$40=1))&gt;0)</f>
      </c>
      <c r="UR12" t="str">
        <f>=$UR11+--($UQ12)</f>
      </c>
      <c r="US12" t="str">
        <f>IF(ROW()-3&gt;MAX($UR$4:$UR$40),"",INDEX($EO$4:$EO$40,MATCH(ROW()-3,$UR$4:$UR$40,0)))</f>
      </c>
      <c r="UT12" t="str">
        <f>IF(COUNTIF('Final Calculation Sheet'!$AL12:$BL12,0)+COUNTIF('Final Calculation Sheet'!$BN12:$BS12,0)&gt;0,0,1)</f>
      </c>
      <c r="UU12" t="str">
        <f>IF($ET$12="",FALSE,SUMPRODUCT(('Final Calculation Sheet'!$AB$4:$AB$40=$ET$12)*($UT$4:$UT$40=1))&gt;0)</f>
      </c>
      <c r="UV12" t="str">
        <f>=$UV11+--($UU12)</f>
      </c>
      <c r="UW12" t="str">
        <f>IF(ROW()-3&gt;MAX($UV$4:$UV$40),"",INDEX($ET$4:$ET$40,MATCH(ROW()-3,$UV$4:$UV$40,0)))</f>
      </c>
      <c r="UX12" t="str">
        <f>IF(COUNTIF('Final Calculation Sheet'!$AL12:$BM12,0)+COUNTIF('Final Calculation Sheet'!$BO12:$BS12,0)&gt;0,0,1)</f>
      </c>
      <c r="UY12" t="str">
        <f>IF($EY$12="",FALSE,SUMPRODUCT(('Final Calculation Sheet'!$AC$4:$AC$40=$EY$12)*($UX$4:$UX$40=1))&gt;0)</f>
      </c>
      <c r="UZ12" t="str">
        <f>=$UZ11+--($UY12)</f>
      </c>
      <c r="VA12" t="str">
        <f>IF(ROW()-3&gt;MAX($UZ$4:$UZ$40),"",INDEX($EY$4:$EY$40,MATCH(ROW()-3,$UZ$4:$UZ$40,0)))</f>
      </c>
      <c r="VB12" t="str">
        <f>IF(COUNTIF('Final Calculation Sheet'!$AL12:$BN12,0)+COUNTIF('Final Calculation Sheet'!$BP12:$BS12,0)&gt;0,0,1)</f>
      </c>
      <c r="VC12" t="str">
        <f>IF($FD$12="",FALSE,SUMPRODUCT(('Final Calculation Sheet'!$AD$4:$AD$40=$FD$12)*($VB$4:$VB$40=1))&gt;0)</f>
      </c>
      <c r="VD12" t="str">
        <f>=$VD11+--($VC12)</f>
      </c>
      <c r="VE12" t="str">
        <f>IF(ROW()-3&gt;MAX($VD$4:$VD$40),"",INDEX($FD$4:$FD$40,MATCH(ROW()-3,$VD$4:$VD$40,0)))</f>
      </c>
      <c r="VF12" t="str">
        <f>IF(COUNTIF('Final Calculation Sheet'!$AL12:$BO12,0)+COUNTIF('Final Calculation Sheet'!$BQ12:$BS12,0)&gt;0,0,1)</f>
      </c>
      <c r="VG12" t="str">
        <f>IF($FI$12="",FALSE,SUMPRODUCT(('Final Calculation Sheet'!$AE$4:$AE$40=$FI$12)*($VF$4:$VF$40=1))&gt;0)</f>
      </c>
      <c r="VH12" t="str">
        <f>=$VH11+--($VG12)</f>
      </c>
      <c r="VI12" t="str">
        <f>IF(ROW()-3&gt;MAX($VH$4:$VH$40),"",INDEX($FI$4:$FI$40,MATCH(ROW()-3,$VH$4:$VH$40,0)))</f>
      </c>
      <c r="VJ12" t="str">
        <f>IF(COUNTIF('Final Calculation Sheet'!$AL12:$BP12,0)+COUNTIF('Final Calculation Sheet'!$BR12:$BS12,0)&gt;0,0,1)</f>
      </c>
      <c r="VK12" t="str">
        <f>IF($FN$12="",FALSE,SUMPRODUCT(('Final Calculation Sheet'!$AF$4:$AF$40=$FN$12)*($VJ$4:$VJ$40=1))&gt;0)</f>
      </c>
      <c r="VL12" t="str">
        <f>=$VL11+--($VK12)</f>
      </c>
      <c r="VM12" t="str">
        <f>IF(ROW()-3&gt;MAX($VL$4:$VL$40),"",INDEX($FN$4:$FN$40,MATCH(ROW()-3,$VL$4:$VL$40,0)))</f>
      </c>
      <c r="VN12" t="str">
        <f>IF(COUNTIF('Final Calculation Sheet'!$AL12:$BQ12,0)+COUNTIF('Final Calculation Sheet'!$BS12:$BS12,0)&gt;0,0,1)</f>
      </c>
      <c r="VO12" t="str">
        <f>IF($FS$12="",FALSE,SUMPRODUCT(('Final Calculation Sheet'!$AG$4:$AG$40=$FS$12)*($VN$4:$VN$40=1))&gt;0)</f>
      </c>
      <c r="VP12" t="str">
        <f>=$VP11+--($VO12)</f>
      </c>
      <c r="VQ12" t="str">
        <f>IF(ROW()-3&gt;MAX($VP$4:$VP$40),"",INDEX($FS$4:$FS$40,MATCH(ROW()-3,$VP$4:$VP$40,0)))</f>
      </c>
      <c r="VR12" t="str">
        <f>IF(COUNTIF('Final Calculation Sheet'!$AL12:$BR12,0)&gt;0,0,1)</f>
      </c>
      <c r="VS12" t="str">
        <f>IF($QO$12="",FALSE,SUMPRODUCT(('Final Calculation Sheet'!$AH$4:$AH$40=$QO$12)*($VR$4:$VR$40=1))&gt;0)</f>
      </c>
      <c r="VT12" t="str">
        <f>=$VT11+--($VS12)</f>
      </c>
      <c r="VU12" t="str">
        <f>IF(ROW()-3&gt;MAX($VT$4:$VT$40),"",INDEX($QO$4:$QO$40,MATCH(ROW()-3,$VT$4:$VT$40,0)))</f>
      </c>
    </row>
    <row r="13">
      <c r="A13">
        <f>IF(IFERROR('Final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IF(IFERROR('Final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s="55">
        <f>IF('Final Calculation Sheet'!$C$13="","",'Final Calculation Sheet'!$C$13)</f>
        <v/>
      </c>
      <c r="AP13">
        <f>IF(AO13="","",COUNTIFS(AO$4:AO$40,"&lt;"&amp;AO13,AO$4:AO$40,"&lt;&gt;"&amp;"")+COUNTIF(AO$4:AO13,AO13))</f>
        <v/>
      </c>
      <c r="AQ13" s="55">
        <f>IF(ROW()-3&gt;COUNTIF(AO$4:AO$40,"&lt;&gt;"&amp;""),"",INDEX(AO$4:AO$40,MATCH(ROW()-3,AP$4:AP$40,0)))</f>
        <v/>
      </c>
      <c r="AR13">
        <f>AR12+IF(AND(AQ13&lt;&gt;"",COUNTIF(AQ$4:AQ13,AQ13)=1),1,0)</f>
        <v/>
      </c>
      <c r="AS13" s="55">
        <f>IF(ROW()-3&gt;MAX(AR$4:AR$40),"",INDEX(AQ$4:AQ$40,MATCH(ROW()-3,AR$4:AR$40,0)))</f>
        <v/>
      </c>
      <c r="AT13" s="55">
        <f>IF('Final Calculation Sheet'!$H$13="","",'Final Calculation Sheet'!$H$13)</f>
        <v/>
      </c>
      <c r="AU13">
        <f>IF(AT13="","",COUNTIFS(AT$4:AT$40,"&lt;"&amp;AT13,AT$4:AT$40,"&lt;&gt;"&amp;"")+COUNTIF(AT$4:AT13,AT13))</f>
        <v/>
      </c>
      <c r="AV13" s="55">
        <f>IF(ROW()-3&gt;COUNTIF(AT$4:AT$40,"&lt;&gt;"&amp;""),"",INDEX(AT$4:AT$40,MATCH(ROW()-3,AU$4:AU$40,0)))</f>
        <v/>
      </c>
      <c r="AW13">
        <f>AW12+IF(AND(AV13&lt;&gt;"",COUNTIF(AV$4:AV13,AV13)=1),1,0)</f>
        <v/>
      </c>
      <c r="AX13" s="55">
        <f>IF(ROW()-3&gt;MAX(AW$4:AW$40),"",INDEX(AV$4:AV$40,MATCH(ROW()-3,AW$4:AW$40,0)))</f>
        <v/>
      </c>
      <c r="AY13" s="55">
        <f>IF('Final Calculation Sheet'!$I$13="","",'Final Calculation Sheet'!$I$13)</f>
        <v/>
      </c>
      <c r="AZ13">
        <f>IF(AY13="","",COUNTIFS(AY$4:AY$40,"&lt;"&amp;AY13,AY$4:AY$40,"&lt;&gt;"&amp;"")+COUNTIF(AY$4:AY13,AY13))</f>
        <v/>
      </c>
      <c r="BA13" s="55">
        <f>IF(ROW()-3&gt;COUNTIF(AY$4:AY$40,"&lt;&gt;"&amp;""),"",INDEX(AY$4:AY$40,MATCH(ROW()-3,AZ$4:AZ$40,0)))</f>
        <v/>
      </c>
      <c r="BB13">
        <f>BB12+IF(AND(BA13&lt;&gt;"",COUNTIF(BA$4:BA13,BA13)=1),1,0)</f>
        <v/>
      </c>
      <c r="BC13" s="55">
        <f>IF(ROW()-3&gt;MAX(BB$4:BB$40),"",INDEX(BA$4:BA$40,MATCH(ROW()-3,BB$4:BB$40,0)))</f>
        <v/>
      </c>
      <c r="BD13" s="55">
        <f>IF('Final Calculation Sheet'!$J$13="","",'Final Calculation Sheet'!$J$13)</f>
        <v/>
      </c>
      <c r="BE13">
        <f>IF(BD13="","",COUNTIFS(BD$4:BD$40,"&lt;"&amp;BD13,BD$4:BD$40,"&lt;&gt;"&amp;"")+COUNTIF(BD$4:BD13,BD13))</f>
        <v/>
      </c>
      <c r="BF13" s="55">
        <f>IF(ROW()-3&gt;COUNTIF(BD$4:BD$40,"&lt;&gt;"&amp;""),"",INDEX(BD$4:BD$40,MATCH(ROW()-3,BE$4:BE$40,0)))</f>
        <v/>
      </c>
      <c r="BG13">
        <f>BG12+IF(AND(BF13&lt;&gt;"",COUNTIF(BF$4:BF13,BF13)=1),1,0)</f>
        <v/>
      </c>
      <c r="BH13" s="55">
        <f>IF(ROW()-3&gt;MAX(BG$4:BG$40),"",INDEX(BF$4:BF$40,MATCH(ROW()-3,BG$4:BG$40,0)))</f>
        <v/>
      </c>
      <c r="BI13" s="55">
        <f>IF('Final Calculation Sheet'!$K$13="","",'Final Calculation Sheet'!$K$13)</f>
        <v/>
      </c>
      <c r="BJ13">
        <f>IF(BI13="","",COUNTIFS(BI$4:BI$40,"&lt;"&amp;BI13,BI$4:BI$40,"&lt;&gt;"&amp;"")+COUNTIF(BI$4:BI13,BI13))</f>
        <v/>
      </c>
      <c r="BK13" s="55">
        <f>IF(ROW()-3&gt;COUNTIF(BI$4:BI$40,"&lt;&gt;"&amp;""),"",INDEX(BI$4:BI$40,MATCH(ROW()-3,BJ$4:BJ$40,0)))</f>
        <v/>
      </c>
      <c r="BL13">
        <f>BL12+IF(AND(BK13&lt;&gt;"",COUNTIF(BK$4:BK13,BK13)=1),1,0)</f>
        <v/>
      </c>
      <c r="BM13" s="55">
        <f>IF(ROW()-3&gt;MAX(BL$4:BL$40),"",INDEX(BK$4:BK$40,MATCH(ROW()-3,BL$4:BL$40,0)))</f>
        <v/>
      </c>
      <c r="BN13" s="55">
        <f>IF('Final Calculation Sheet'!$L$13="","",'Final Calculation Sheet'!$L$13)</f>
        <v/>
      </c>
      <c r="BO13">
        <f>IF(BN13="","",COUNTIFS(BN$4:BN$40,"&lt;"&amp;BN13,BN$4:BN$40,"&lt;&gt;"&amp;"")+COUNTIF(BN$4:BN13,BN13))</f>
        <v/>
      </c>
      <c r="BP13" s="55">
        <f>IF(ROW()-3&gt;COUNTIF(BN$4:BN$40,"&lt;&gt;"&amp;""),"",INDEX(BN$4:BN$40,MATCH(ROW()-3,BO$4:BO$40,0)))</f>
        <v/>
      </c>
      <c r="BQ13">
        <f>BQ12+IF(AND(BP13&lt;&gt;"",COUNTIF(BP$4:BP13,BP13)=1),1,0)</f>
        <v/>
      </c>
      <c r="BR13" s="55">
        <f>IF(ROW()-3&gt;MAX(BQ$4:BQ$40),"",INDEX(BP$4:BP$40,MATCH(ROW()-3,BQ$4:BQ$40,0)))</f>
        <v/>
      </c>
      <c r="BS13" s="55">
        <f>IF('Final Calculation Sheet'!$M$13="","",'Final Calculation Sheet'!$M$13)</f>
        <v/>
      </c>
      <c r="BT13">
        <f>IF(BS13="","",COUNTIFS(BS$4:BS$40,"&lt;"&amp;BS13,BS$4:BS$40,"&lt;&gt;"&amp;"")+COUNTIF(BS$4:BS13,BS13))</f>
        <v/>
      </c>
      <c r="BU13" s="55">
        <f>IF(ROW()-3&gt;COUNTIF(BS$4:BS$40,"&lt;&gt;"&amp;""),"",INDEX(BS$4:BS$40,MATCH(ROW()-3,BT$4:BT$40,0)))</f>
        <v/>
      </c>
      <c r="BV13">
        <f>BV12+IF(AND(BU13&lt;&gt;"",COUNTIF(BU$4:BU13,BU13)=1),1,0)</f>
        <v/>
      </c>
      <c r="BW13" s="55">
        <f>IF(ROW()-3&gt;MAX(BV$4:BV$40),"",INDEX(BU$4:BU$40,MATCH(ROW()-3,BV$4:BV$40,0)))</f>
        <v/>
      </c>
      <c r="BX13" s="138">
        <f>IF('Final Calculation Sheet'!$N$13="","",'Final Calculation Sheet'!$N$13)</f>
        <v/>
      </c>
      <c r="BY13">
        <f>IF(BX13="","",COUNTIFS(BX$4:BX$40,"&lt;"&amp;BX13,BX$4:BX$40,"&lt;&gt;"&amp;"")+COUNTIF(BX$4:BX13,BX13))</f>
        <v/>
      </c>
      <c r="BZ13" s="138">
        <f>IF(ROW()-3&gt;COUNTIF(BX$4:BX$40,"&lt;&gt;"&amp;""),"",INDEX(BX$4:BX$40,MATCH(ROW()-3,BY$4:BY$40,0)))</f>
        <v/>
      </c>
      <c r="CA13">
        <f>CA12+IF(AND(BZ13&lt;&gt;"",COUNTIF(BZ$4:BZ13,BZ13)=1),1,0)</f>
        <v/>
      </c>
      <c r="CB13" s="138">
        <f>IF(ROW()-3&gt;MAX(CA$4:CA$40),"",INDEX(BZ$4:BZ$40,MATCH(ROW()-3,CA$4:CA$40,0)))</f>
        <v/>
      </c>
      <c r="CC13" s="55">
        <f>IF('Final Calculation Sheet'!$O$13="","",'Final Calculation Sheet'!$O$13)</f>
        <v/>
      </c>
      <c r="CD13">
        <f>IF(CC13="","",COUNTIFS(CC$4:CC$40,"&lt;"&amp;CC13,CC$4:CC$40,"&lt;&gt;"&amp;"")+COUNTIF(CC$4:CC13,CC13))</f>
        <v/>
      </c>
      <c r="CE13" s="55">
        <f>IF(ROW()-3&gt;COUNTIF(CC$4:CC$40,"&lt;&gt;"&amp;""),"",INDEX(CC$4:CC$40,MATCH(ROW()-3,CD$4:CD$40,0)))</f>
        <v/>
      </c>
      <c r="CF13">
        <f>CF12+IF(AND(CE13&lt;&gt;"",COUNTIF(CE$4:CE13,CE13)=1),1,0)</f>
        <v/>
      </c>
      <c r="CG13" s="55">
        <f>IF(ROW()-3&gt;MAX(CF$4:CF$40),"",INDEX(CE$4:CE$40,MATCH(ROW()-3,CF$4:CF$40,0)))</f>
        <v/>
      </c>
      <c r="CH13" s="55">
        <f>IF('Final Calculation Sheet'!$P$13="","",'Final Calculation Sheet'!$P$13)</f>
        <v/>
      </c>
      <c r="CI13">
        <f>IF(CH13="","",COUNTIFS(CH$4:CH$40,"&lt;"&amp;CH13,CH$4:CH$40,"&lt;&gt;"&amp;"")+COUNTIF(CH$4:CH13,CH13))</f>
        <v/>
      </c>
      <c r="CJ13" s="55">
        <f>IF(ROW()-3&gt;COUNTIF(CH$4:CH$40,"&lt;&gt;"&amp;""),"",INDEX(CH$4:CH$40,MATCH(ROW()-3,CI$4:CI$40,0)))</f>
        <v/>
      </c>
      <c r="CK13">
        <f>CK12+IF(AND(CJ13&lt;&gt;"",COUNTIF(CJ$4:CJ13,CJ13)=1),1,0)</f>
        <v/>
      </c>
      <c r="CL13" s="55">
        <f>IF(ROW()-3&gt;MAX(CK$4:CK$40),"",INDEX(CJ$4:CJ$40,MATCH(ROW()-3,CK$4:CK$40,0)))</f>
        <v/>
      </c>
      <c r="CM13" s="139">
        <f>IF('Final Calculation Sheet'!$Q$13="","",'Final Calculation Sheet'!$Q$13)</f>
        <v/>
      </c>
      <c r="CN13">
        <f>IF(CM13="","",COUNTIFS(CM$4:CM$40,"&lt;"&amp;CM13,CM$4:CM$40,"&lt;&gt;"&amp;"")+COUNTIF(CM$4:CM13,CM13))</f>
        <v/>
      </c>
      <c r="CO13" s="139">
        <f>IF(ROW()-3&gt;COUNTIF(CM$4:CM$40,"&lt;&gt;"&amp;""),"",INDEX(CM$4:CM$40,MATCH(ROW()-3,CN$4:CN$40,0)))</f>
        <v/>
      </c>
      <c r="CP13">
        <f>CP12+IF(AND(CO13&lt;&gt;"",COUNTIF(CO$4:CO13,CO13)=1),1,0)</f>
        <v/>
      </c>
      <c r="CQ13">
        <f>IF(ROW()-3&gt;MAX(CP$4:CP$40),"",INDEX(CO$4:CO$40,MATCH(ROW()-3,CP$4:CP$40,0)))</f>
        <v/>
      </c>
      <c r="CR13" s="55">
        <f>IF('Final Calculation Sheet'!$R$13="","",'Final Calculation Sheet'!$R$13)</f>
        <v/>
      </c>
      <c r="CS13">
        <f>IF(CR13="","",COUNTIFS(CR$4:CR$40,"&lt;"&amp;CR13,CR$4:CR$40,"&lt;&gt;"&amp;"")+COUNTIF(CR$4:CR13,CR13))</f>
        <v/>
      </c>
      <c r="CT13" s="55">
        <f>IF(ROW()-3&gt;COUNTIF(CR$4:CR$40,"&lt;&gt;"&amp;""),"",INDEX(CR$4:CR$40,MATCH(ROW()-3,CS$4:CS$40,0)))</f>
        <v/>
      </c>
      <c r="CU13">
        <f>CU12+IF(AND(CT13&lt;&gt;"",COUNTIF(CT$4:CT13,CT13)=1),1,0)</f>
        <v/>
      </c>
      <c r="CV13">
        <f>IF(ROW()-3&gt;MAX(CU$4:CU$40),"",INDEX(CT$4:CT$40,MATCH(ROW()-3,CU$4:CU$40,0)))</f>
        <v/>
      </c>
      <c r="CW13" s="55">
        <f>IF('Final Calculation Sheet'!$S$13="","",'Final Calculation Sheet'!$S$13)</f>
        <v/>
      </c>
      <c r="CX13">
        <f>IF(CW13="","",COUNTIFS(CW$4:CW$40,"&lt;"&amp;CW13,CW$4:CW$40,"&lt;&gt;"&amp;"")+COUNTIF(CW$4:CW13,CW13))</f>
        <v/>
      </c>
      <c r="CY13" s="55">
        <f>IF(ROW()-3&gt;COUNTIF(CW$4:CW$40,"&lt;&gt;"&amp;""),"",INDEX(CW$4:CW$40,MATCH(ROW()-3,CX$4:CX$40,0)))</f>
        <v/>
      </c>
      <c r="CZ13">
        <f>CZ12+IF(AND(CY13&lt;&gt;"",COUNTIF(CY$4:CY13,CY13)=1),1,0)</f>
        <v/>
      </c>
      <c r="DA13" s="55">
        <f>IF(ROW()-3&gt;MAX(CZ$4:CZ$40),"",INDEX(CY$4:CY$40,MATCH(ROW()-3,CZ$4:CZ$40,0)))</f>
        <v/>
      </c>
      <c r="DB13" s="55">
        <f>IF('Final Calculation Sheet'!$T$13="","",'Final Calculation Sheet'!$T$13)</f>
        <v/>
      </c>
      <c r="DC13">
        <f>IF(DB13="","",COUNTIFS(DB$4:DB$40,"&lt;"&amp;DB13,DB$4:DB$40,"&lt;&gt;"&amp;"")+COUNTIF(DB$4:DB13,DB13))</f>
        <v/>
      </c>
      <c r="DD13" s="55">
        <f>IF(ROW()-3&gt;COUNTIF(DB$4:DB$40,"&lt;&gt;"&amp;""),"",INDEX(DB$4:DB$40,MATCH(ROW()-3,DC$4:DC$40,0)))</f>
        <v/>
      </c>
      <c r="DE13">
        <f>DE12+IF(AND(DD13&lt;&gt;"",COUNTIF(DD$4:DD13,DD13)=1),1,0)</f>
        <v/>
      </c>
      <c r="DF13" s="55">
        <f>IF(ROW()-3&gt;MAX(DE$4:DE$40),"",INDEX(DD$4:DD$40,MATCH(ROW()-3,DE$4:DE$40,0)))</f>
        <v/>
      </c>
      <c r="DG13" s="140">
        <f>IF('Final Calculation Sheet'!$U$13="","",'Final Calculation Sheet'!$U$13)</f>
        <v/>
      </c>
      <c r="DH13">
        <f>IF(DG13="","",COUNTIFS(DG$4:DG$40,"&lt;"&amp;DG13,DG$4:DG$40,"&lt;&gt;"&amp;"")+COUNTIF(DG$4:DG13,DG13))</f>
        <v/>
      </c>
      <c r="DI13" s="140">
        <f>IF(ROW()-3&gt;COUNTIF(DG$4:DG$40,"&lt;&gt;"&amp;""),"",INDEX(DG$4:DG$40,MATCH(ROW()-3,DH$4:DH$40,0)))</f>
        <v/>
      </c>
      <c r="DJ13">
        <f>DJ12+IF(AND(DI13&lt;&gt;"",COUNTIF(DI$4:DI13,DI13)=1),1,0)</f>
        <v/>
      </c>
      <c r="DK13" s="140">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s="55">
        <f>IF('Final Calculation Sheet'!$W$13="","",'Final Calculation Sheet'!$W$13)</f>
        <v/>
      </c>
      <c r="DR13">
        <f>IF(DQ13="","",COUNTIFS(DQ$4:DQ$40,"&lt;"&amp;DQ13,DQ$4:DQ$40,"&lt;&gt;"&amp;"")+COUNTIF(DQ$4:DQ13,DQ13))</f>
        <v/>
      </c>
      <c r="DS13" s="55">
        <f>IF(ROW()-3&gt;COUNTIF(DQ$4:DQ$40,"&lt;&gt;"&amp;""),"",INDEX(DQ$4:DQ$40,MATCH(ROW()-3,DR$4:DR$40,0)))</f>
        <v/>
      </c>
      <c r="DT13">
        <f>DT12+IF(AND(DS13&lt;&gt;"",COUNTIF(DS$4:DS13,DS13)=1),1,0)</f>
        <v/>
      </c>
      <c r="DU13" s="55">
        <f>IF(ROW()-3&gt;MAX(DT$4:DT$40),"",INDEX(DS$4:DS$40,MATCH(ROW()-3,DT$4:DT$40,0)))</f>
        <v/>
      </c>
      <c r="DV13" s="55">
        <f>IF('Final Calculation Sheet'!$X$13="","",'Final Calculation Sheet'!$X$13)</f>
        <v/>
      </c>
      <c r="DW13">
        <f>IF(DV13="","",COUNTIFS(DV$4:DV$40,"&lt;"&amp;DV13,DV$4:DV$40,"&lt;&gt;"&amp;"")+COUNTIF(DV$4:DV13,DV13))</f>
        <v/>
      </c>
      <c r="DX13" s="55">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s="55">
        <f>IF('Final Calculation Sheet'!$Z$13="","",'Final Calculation Sheet'!$Z$13)</f>
        <v/>
      </c>
      <c r="EG13">
        <f>IF(EF13="","",COUNTIFS(EF$4:EF$40,"&lt;"&amp;EF13,EF$4:EF$40,"&lt;&gt;"&amp;"")+COUNTIF(EF$4:EF13,EF13))</f>
        <v/>
      </c>
      <c r="EH13" s="55">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s="55">
        <f>IF('Final Calculation Sheet'!$AC$13="","",'Final Calculation Sheet'!$AC$13)</f>
        <v/>
      </c>
      <c r="EV13">
        <f>IF(EU13="","",COUNTIFS(EU$4:EU$40,"&lt;"&amp;EU13,EU$4:EU$40,"&lt;&gt;"&amp;"")+COUNTIF(EU$4:EU13,EU13))</f>
        <v/>
      </c>
      <c r="EW13" s="55">
        <f>IF(ROW()-3&gt;COUNTIF(EU$4:EU$40,"&lt;&gt;"&amp;""),"",INDEX(EU$4:EU$40,MATCH(ROW()-3,EV$4:EV$40,0)))</f>
        <v/>
      </c>
      <c r="EX13">
        <f>EX12+IF(AND(EW13&lt;&gt;"",COUNTIF(EW$4:EW13,EW13)=1),1,0)</f>
        <v/>
      </c>
      <c r="EY13" s="55">
        <f>IF(ROW()-3&gt;MAX(EX$4:EX$40),"",INDEX(EW$4:EW$40,MATCH(ROW()-3,EX$4:EX$40,0)))</f>
        <v/>
      </c>
      <c r="EZ13" s="55">
        <f>IF('Final Calculation Sheet'!$AD$13="","",'Final Calculation Sheet'!$AD$13)</f>
        <v/>
      </c>
      <c r="FA13">
        <f>IF(EZ13="","",COUNTIFS(EZ$4:EZ$40,"&lt;"&amp;EZ13,EZ$4:EZ$40,"&lt;&gt;"&amp;"")+COUNTIF(EZ$4:EZ13,EZ13))</f>
        <v/>
      </c>
      <c r="FB13" s="55">
        <f>IF(ROW()-3&gt;COUNTIF(EZ$4:EZ$40,"&lt;&gt;"&amp;""),"",INDEX(EZ$4:EZ$40,MATCH(ROW()-3,FA$4:FA$40,0)))</f>
        <v/>
      </c>
      <c r="FC13">
        <f>FC12+IF(AND(FB13&lt;&gt;"",COUNTIF(FB$4:FB13,FB13)=1),1,0)</f>
        <v/>
      </c>
      <c r="FD13" s="55">
        <f>IF(ROW()-3&gt;MAX(FC$4:FC$40),"",INDEX(FB$4:FB$40,MATCH(ROW()-3,FC$4:FC$40,0)))</f>
        <v/>
      </c>
      <c r="FE13">
        <f>IF('Final Calculation Sheet'!$AF$13="","",'Final Calculation Sheet'!$AF$13)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s="141">
        <f>IF('Final Calculation Sheet'!$AG$13="","",'Final Calculation Sheet'!$AG$13)</f>
        <v/>
      </c>
      <c r="FK13">
        <f>IF(FJ13="","",COUNTIFS(FJ$4:FJ$40,"&lt;"&amp;FJ13,FJ$4:FJ$40,"&lt;&gt;"&amp;"")+COUNTIF(FJ$4:FJ13,FJ13))</f>
        <v/>
      </c>
      <c r="FL13" s="141">
        <f>IF(ROW()-3&gt;COUNTIF(FJ$4:FJ$40,"&lt;&gt;"&amp;""),"",INDEX(FJ$4:FJ$40,MATCH(ROW()-3,FK$4:FK$40,0)))</f>
        <v/>
      </c>
      <c r="FM13">
        <f>FM12+IF(AND(FL13&lt;&gt;"",COUNTIF(FL$4:FL13,FL13)=1),1,0)</f>
        <v/>
      </c>
      <c r="FN13">
        <f>IF(ROW()-3&gt;MAX(FM$4:FM$40),"",INDEX(FL$4:FL$40,MATCH(ROW()-3,FM$4:FM$40,0)))</f>
        <v/>
      </c>
      <c r="FO13">
        <f>IF('Final Calculation Sheet'!$AH$13="","",'Final Calculation Sheet'!$AH$13)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c r="FY13">
        <f>IF(COUNTIF('Live Search'!BM$12:BO$12,0)+COUNTIF('Live Search'!BQ$12:CU$12,0)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3">
        <f>IF($Y$13="",FALSE,SUMPRODUCT(('Final Calculation Sheet'!$B$4:$B$40=$Y$13)*($FY$6:$FY$42=1))&gt;0)</f>
        <v/>
      </c>
      <c r="GA13">
        <f>$GA$12+--($FZ$13)</f>
        <v/>
      </c>
      <c r="GB13">
        <f>IF(ROW()-3&gt;MAX($GA$4:$GA$40),"",INDEX($Y$4:$Y$40,MATCH(ROW()-3,$GA$4:$GA$40,0)))</f>
        <v/>
      </c>
      <c r="GC13">
        <f>IF(COUNTIF('Live Search'!BM$12:BM$12,0)+COUNTIF('Live Search'!BO$12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D13">
        <f>IF($O$13="",FALSE,SUMPRODUCT(('Final Calculation Sheet'!$F$4:$F$40=$O$13)*($GC$6:$GC$42=1))&gt;0)</f>
        <v/>
      </c>
      <c r="GE13">
        <f>$GE$12+--($GD13)</f>
        <v/>
      </c>
      <c r="GF13">
        <f>IF(ROW()-3&gt;MAX($GE$4:$GE$40),"",INDEX($O$4:$O$40,MATCH(ROW()-3,$GE$4:$GE$40,0)))</f>
        <v/>
      </c>
      <c r="GG13">
        <f>IF(COUNTIF('Live Search'!BM$12:BN$12,0)+COUNTIF('Live Search'!BP$12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H13">
        <f>IF($T$13="",FALSE,SUMPRODUCT(('Final Calculation Sheet'!$G$4:$G$40=$T$13)*($GG$6:$GG$42=1))&gt;0)</f>
        <v/>
      </c>
      <c r="GI13">
        <f>$GI$12+--($GH13)</f>
        <v/>
      </c>
      <c r="GJ13">
        <f>IF(ROW()-3&gt;MAX($GI$4:$GI$40),"",INDEX($T$4:$T$40,MATCH(ROW()-3,$GI$4:$GI$40,0)))</f>
        <v/>
      </c>
      <c r="GK13">
        <f>IF(COUNTIF('Live Search'!BM$12:BP$12,0)+COUNTIF('Live Search'!BR$12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L13">
        <f>IF($AD$13="",FALSE,SUMPRODUCT(('Final Calculation Sheet'!$D$4:$D$40=$AD$13)*($GK$6:$GK$42=1))&gt;0)</f>
        <v/>
      </c>
      <c r="GM13">
        <f>$GM$12+--($GL13)</f>
        <v/>
      </c>
      <c r="GN13">
        <f>IF(ROW()-3&gt;MAX($GM$4:$GM$40),"",INDEX($AD$4:$AD$40,MATCH(ROW()-3,$GM$4:$GM$40,0)))</f>
        <v/>
      </c>
      <c r="GO13">
        <f>IF(COUNTIF('Live Search'!BM$12:BQ$12,0)+COUNTIF('Live Search'!BS$12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P13">
        <f>IF($AI$13="",FALSE,SUMPRODUCT(('Final Calculation Sheet'!$A$4:$A$40=$AI$13)*($GO$6:$GO$42=1))&gt;0)</f>
        <v/>
      </c>
      <c r="GQ13">
        <f>$GQ$12+--($GP13)</f>
        <v/>
      </c>
      <c r="GR13">
        <f>IF(ROW()-3&gt;MAX($GQ$4:$GQ$40),"",INDEX($AI$4:$AI$40,MATCH(ROW()-3,$GQ$4:$GQ$40,0)))</f>
        <v/>
      </c>
      <c r="GS13">
        <f>IF(COUNTIF('Live Search'!BM$12:BR$12,0)+COUNTIF('Live Search'!BT$12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T13">
        <f>IF($AN$13="",FALSE,SUMPRODUCT(('Final Calculation Sheet'!$E$4:$E$40=$AN$13)*($GS$6:$GS$42=1))&gt;0)</f>
        <v/>
      </c>
      <c r="GU13">
        <f>$GU$12+--($GT13)</f>
        <v/>
      </c>
      <c r="GV13">
        <f>IF(ROW()-3&gt;MAX($GU$4:$GU$40),"",INDEX($AN$4:$AN$40,MATCH(ROW()-3,$GU$4:$GU$40,0)))</f>
        <v/>
      </c>
      <c r="GW13">
        <f>IF(COUNTIF('Live Search'!BM$12:BS$12,0)+COUNTIF('Live Search'!BU$12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GX13">
        <f>IF($AS$13="",FALSE,SUMPRODUCT(('Final Calculation Sheet'!$C$4:$C$40=$AS$13)*($GW$6:$GW$42=1))&gt;0)</f>
        <v/>
      </c>
      <c r="GY13">
        <f>$GY$12+--($GX13)</f>
        <v/>
      </c>
      <c r="GZ13">
        <f>IF(ROW()-3&gt;MAX($GY$4:$GY$40),"",INDEX($AS$4:$AS$40,MATCH(ROW()-3,$GY$4:$GY$40,0)))</f>
        <v/>
      </c>
      <c r="HA13">
        <f>IF(COUNTIF('Live Search'!BM$12:BT$12,0)+COUNTIF('Live Search'!BV$12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B13">
        <f>IF($AX$13="",FALSE,SUMPRODUCT(('Final Calculation Sheet'!$H$4:$H$40=$AX$13)*($HA$6:$HA$42=1))&gt;0)</f>
        <v/>
      </c>
      <c r="HC13">
        <f>$HC$12+--($HB13)</f>
        <v/>
      </c>
      <c r="HD13">
        <f>IF(ROW()-3&gt;MAX($HC$4:$HC$40),"",INDEX($AX$4:$AX$40,MATCH(ROW()-3,$HC$4:$HC$40,0)))</f>
        <v/>
      </c>
      <c r="HE13">
        <f>IF(COUNTIF('Live Search'!BM$12:BU$12,0)+COUNTIF('Live Search'!BW$12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F13">
        <f>IF($BC$13="",FALSE,SUMPRODUCT(('Final Calculation Sheet'!$I$4:$I$40=$BC$13)*($HE$6:$HE$42=1))&gt;0)</f>
        <v/>
      </c>
      <c r="HG13">
        <f>$HG$12+--($HF13)</f>
        <v/>
      </c>
      <c r="HH13">
        <f>IF(ROW()-3&gt;MAX($HG$4:$HG$40),"",INDEX($BC$4:$BC$40,MATCH(ROW()-3,$HG$4:$HG$40,0)))</f>
        <v/>
      </c>
      <c r="HI13">
        <f>IF(COUNTIF('Live Search'!BM$12:BV$12,0)+COUNTIF('Live Search'!BX$12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J13">
        <f>IF($BH$13="",FALSE,SUMPRODUCT(('Final Calculation Sheet'!$J$4:$J$40=$BH$13)*($HI$6:$HI$42=1))&gt;0)</f>
        <v/>
      </c>
      <c r="HK13">
        <f>$HK$12+--($HJ13)</f>
        <v/>
      </c>
      <c r="HL13">
        <f>IF(ROW()-3&gt;MAX($HK$4:$HK$40),"",INDEX($BH$4:$BH$40,MATCH(ROW()-3,$HK$4:$HK$40,0)))</f>
        <v/>
      </c>
      <c r="HM13">
        <f>IF(COUNTIF('Live Search'!BM$12:BW$12,0)+COUNTIF('Live Search'!BY$12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N13">
        <f>IF($BM$13="",FALSE,SUMPRODUCT(('Final Calculation Sheet'!$K$4:$K$40=$BM$13)*($HM$6:$HM$42=1))&gt;0)</f>
        <v/>
      </c>
      <c r="HO13">
        <f>$HO$12+--($HN13)</f>
        <v/>
      </c>
      <c r="HP13">
        <f>IF(ROW()-3&gt;MAX($HO$4:$HO$40),"",INDEX($BM$4:$BM$40,MATCH(ROW()-3,$HO$4:$HO$40,0)))</f>
        <v/>
      </c>
      <c r="HQ13">
        <f>IF(COUNTIF('Live Search'!BM$12:BX$12,0)+COUNTIF('Live Search'!BZ$12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R13">
        <f>IF($BR$13="",FALSE,SUMPRODUCT(('Final Calculation Sheet'!$L$4:$L$40=$BR$13)*($HQ$6:$HQ$42=1))&gt;0)</f>
        <v/>
      </c>
      <c r="HS13">
        <f>$HS$12+--($HR13)</f>
        <v/>
      </c>
      <c r="HT13">
        <f>IF(ROW()-3&gt;MAX($HS$4:$HS$40),"",INDEX($BR$4:$BR$40,MATCH(ROW()-3,$HS$4:$HS$40,0)))</f>
        <v/>
      </c>
      <c r="HU13">
        <f>IF(COUNTIF('Live Search'!BM$12:BY$12,0)+COUNTIF('Live Search'!CA$12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V13">
        <f>IF($BW$13="",FALSE,SUMPRODUCT(('Final Calculation Sheet'!$M$4:$M$40=$BW$13)*($HU$6:$HU$42=1))&gt;0)</f>
        <v/>
      </c>
      <c r="HW13">
        <f>$HW$12+--($HV13)</f>
        <v/>
      </c>
      <c r="HX13">
        <f>IF(ROW()-3&gt;MAX($HW$4:$HW$40),"",INDEX($BW$4:$BW$40,MATCH(ROW()-3,$HW$4:$HW$40,0)))</f>
        <v/>
      </c>
      <c r="HY13">
        <f>IF(COUNTIF('Live Search'!BM$12:BZ$12,0)+COUNTIF('Live Search'!CB$12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HZ13">
        <f>IF($CB$13="",FALSE,SUMPRODUCT(('Final Calculation Sheet'!$N$4:$N$40=$CB$13)*($HY$6:$HY$42=1))&gt;0)</f>
        <v/>
      </c>
      <c r="IA13">
        <f>$IA$12+--($HZ13)</f>
        <v/>
      </c>
      <c r="IB13">
        <f>IF(ROW()-3&gt;MAX($IA$4:$IA$40),"",INDEX($CB$4:$CB$40,MATCH(ROW()-3,$IA$4:$IA$40,0)))</f>
        <v/>
      </c>
      <c r="IC13">
        <f>IF(COUNTIF('Live Search'!BM$12:CA$12,0)+COUNTIF('Live Search'!CC$12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D13">
        <f>IF($CG$13="",FALSE,SUMPRODUCT(('Final Calculation Sheet'!$O$4:$O$40=$CG$13)*($IC$6:$IC$42=1))&gt;0)</f>
        <v/>
      </c>
      <c r="IE13">
        <f>$IE$12+--($ID13)</f>
        <v/>
      </c>
      <c r="IF13">
        <f>IF(ROW()-3&gt;MAX($IE$4:$IE$40),"",INDEX($CG$4:$CG$40,MATCH(ROW()-3,$IE$4:$IE$40,0)))</f>
        <v/>
      </c>
      <c r="IG13">
        <f>IF(COUNTIF('Live Search'!BM$12:CB$12,0)+COUNTIF('Live Search'!CD$12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H13">
        <f>IF($CL$13="",FALSE,SUMPRODUCT(('Final Calculation Sheet'!$P$4:$P$40=$CL$13)*($IG$6:$IG$42=1))&gt;0)</f>
        <v/>
      </c>
      <c r="II13">
        <f>$II$12+--($IH13)</f>
        <v/>
      </c>
      <c r="IJ13">
        <f>IF(ROW()-3&gt;MAX($II$4:$II$40),"",INDEX($CL$4:$CL$40,MATCH(ROW()-3,$II$4:$II$40,0)))</f>
        <v/>
      </c>
      <c r="IK13">
        <f>IF(COUNTIF('Live Search'!BM$12:CC$12,0)+COUNTIF('Live Search'!CE$12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L13">
        <f>IF($CQ$13="",FALSE,SUMPRODUCT(('Final Calculation Sheet'!$Q$4:$Q$40=$CQ$13)*($IK$6:$IK$42=1))&gt;0)</f>
        <v/>
      </c>
      <c r="IM13">
        <f>$IM$12+--($IL13)</f>
        <v/>
      </c>
      <c r="IN13">
        <f>IF(ROW()-3&gt;MAX($IM$4:$IM$40),"",INDEX($CQ$4:$CQ$40,MATCH(ROW()-3,$IM$4:$IM$40,0)))</f>
        <v/>
      </c>
      <c r="IO13">
        <f>IF(COUNTIF('Live Search'!BM$12:CD$12,0)+COUNTIF('Live Search'!CF$12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P13">
        <f>IF($CV$13="",FALSE,SUMPRODUCT(('Final Calculation Sheet'!$R$4:$R$40=$CV$13)*($IO$6:$IO$42=1))&gt;0)</f>
        <v/>
      </c>
      <c r="IQ13">
        <f>$IQ$12+--($IP13)</f>
        <v/>
      </c>
      <c r="IR13">
        <f>IF(ROW()-3&gt;MAX($IQ$4:$IQ$40),"",INDEX($CV$4:$CV$40,MATCH(ROW()-3,$IQ$4:$IQ$40,0)))</f>
        <v/>
      </c>
      <c r="IS13">
        <f>IF(COUNTIF('Live Search'!BM$12:CE$12,0)+COUNTIF('Live Search'!CG$12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T13">
        <f>IF($DA$13="",FALSE,SUMPRODUCT(('Final Calculation Sheet'!$S$4:$S$40=$DA$13)*($IS$6:$IS$42=1))&gt;0)</f>
        <v/>
      </c>
      <c r="IU13">
        <f>$IU$12+--($IT13)</f>
        <v/>
      </c>
      <c r="IV13">
        <f>IF(ROW()-3&gt;MAX($IU$4:$IU$40),"",INDEX($DA$4:$DA$40,MATCH(ROW()-3,$IU$4:$IU$40,0)))</f>
        <v/>
      </c>
      <c r="IW13">
        <f>IF(COUNTIF('Live Search'!BM$12:CF$12,0)+COUNTIF('Live Search'!CH$12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IX13">
        <f>IF($DF$13="",FALSE,SUMPRODUCT(('Final Calculation Sheet'!$T$4:$T$40=$DF$13)*($IW$6:$IW$42=1))&gt;0)</f>
        <v/>
      </c>
      <c r="IY13">
        <f>$IY$12+--($IX13)</f>
        <v/>
      </c>
      <c r="IZ13">
        <f>IF(ROW()-3&gt;MAX($IY$4:$IY$40),"",INDEX($DF$4:$DF$40,MATCH(ROW()-3,$IY$4:$IY$40,0)))</f>
        <v/>
      </c>
      <c r="JA13">
        <f>IF(COUNTIF('Live Search'!BM$12:CG$12,0)+COUNTIF('Live Search'!CI$12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B13">
        <f>IF($DK$13="",FALSE,SUMPRODUCT(('Final Calculation Sheet'!$U$4:$U$40=$DK$13)*($JA$6:$JA$42=1))&gt;0)</f>
        <v/>
      </c>
      <c r="JC13">
        <f>$JC$12+--($JB13)</f>
        <v/>
      </c>
      <c r="JD13">
        <f>IF(ROW()-3&gt;MAX($JC$4:$JC$40),"",INDEX($DK$4:$DK$40,MATCH(ROW()-3,$JC$4:$JC$40,0)))</f>
        <v/>
      </c>
      <c r="JE13">
        <f>IF(COUNTIF('Live Search'!BM$12:CH$12,0)+COUNTIF('Live Search'!CJ$12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F13">
        <f>IF($DP$13="",FALSE,SUMPRODUCT(('Final Calculation Sheet'!$V$4:$V$40=$DP$13)*($JE$6:$JE$42=1))&gt;0)</f>
        <v/>
      </c>
      <c r="JG13">
        <f>$JG$12+--($JF13)</f>
        <v/>
      </c>
      <c r="JH13">
        <f>IF(ROW()-3&gt;MAX($JG$4:$JG$40),"",INDEX($DP$4:$DP$40,MATCH(ROW()-3,$JG$4:$JG$40,0)))</f>
        <v/>
      </c>
      <c r="JI13">
        <f>IF(COUNTIF('Live Search'!BM$12:CI$12,0)+COUNTIF('Live Search'!CK$12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J13">
        <f>IF($DU$13="",FALSE,SUMPRODUCT(('Final Calculation Sheet'!$W$4:$W$40=$DU$13)*($JI$6:$JI$42=1))&gt;0)</f>
        <v/>
      </c>
      <c r="JK13">
        <f>$JK$12+--($JJ13)</f>
        <v/>
      </c>
      <c r="JL13">
        <f>IF(ROW()-3&gt;MAX($JK$4:$JK$40),"",INDEX($DU$4:$DU$40,MATCH(ROW()-3,$JK$4:$JK$40,0)))</f>
        <v/>
      </c>
      <c r="JM13">
        <f>IF(COUNTIF('Live Search'!BM$12:CJ$12,0)+COUNTIF('Live Search'!CL$12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N13">
        <f>IF($DZ$13="",FALSE,SUMPRODUCT(('Final Calculation Sheet'!$X$4:$X$40=$DZ$13)*($JM$6:$JM$42=1))&gt;0)</f>
        <v/>
      </c>
      <c r="JO13">
        <f>$JO$12+--($JN13)</f>
        <v/>
      </c>
      <c r="JP13">
        <f>IF(ROW()-3&gt;MAX($JO$4:$JO$40),"",INDEX($DZ$4:$DZ$40,MATCH(ROW()-3,$JO$4:$JO$40,0)))</f>
        <v/>
      </c>
      <c r="JQ13">
        <f>IF(COUNTIF('Live Search'!BM$12:CK$12,0)+COUNTIF('Live Search'!C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R13">
        <f>IF($EE$13="",FALSE,SUMPRODUCT(('Final Calculation Sheet'!$Y$4:$Y$40=$EE$13)*($JQ$6:$JQ$42=1))&gt;0)</f>
        <v/>
      </c>
      <c r="JS13">
        <f>$JS$12+--($JR13)</f>
        <v/>
      </c>
      <c r="JT13">
        <f>IF(ROW()-3&gt;MAX($JS$4:$JS$40),"",INDEX($EE$4:$EE$40,MATCH(ROW()-3,$JS$4:$JS$40,0)))</f>
        <v/>
      </c>
      <c r="JU13">
        <f>IF(COUNTIF('Live Search'!BM$12:CL$12,0)+COUNTIF('Live Search'!CN$12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V13">
        <f>IF($EJ$13="",FALSE,SUMPRODUCT(('Final Calculation Sheet'!$Z$4:$Z$40=$EJ$13)*($JU$6:$JU$42=1))&gt;0)</f>
        <v/>
      </c>
      <c r="JW13">
        <f>$JW$12+--($JV13)</f>
        <v/>
      </c>
      <c r="JX13">
        <f>IF(ROW()-3&gt;MAX($JW$4:$JW$40),"",INDEX($EJ$4:$EJ$40,MATCH(ROW()-3,$JW$4:$JW$40,0)))</f>
        <v/>
      </c>
      <c r="JY13">
        <f>IF(COUNTIF('Live Search'!BM$12:CM$12,0)+COUNTIF('Live Search'!CO$12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JZ13">
        <f>IF($EO$13="",FALSE,SUMPRODUCT(('Final Calculation Sheet'!$AA$4:$AA$40=$EO$13)*($JY$6:$JY$42=1))&gt;0)</f>
        <v/>
      </c>
      <c r="KA13">
        <f>$KA$12+--($JZ13)</f>
        <v/>
      </c>
      <c r="KB13">
        <f>IF(ROW()-3&gt;MAX($KA$4:$KA$40),"",INDEX($EO$4:$EO$40,MATCH(ROW()-3,$KA$4:$KA$40,0)))</f>
        <v/>
      </c>
      <c r="KC13">
        <f>IF(COUNTIF('Live Search'!BM$12:CN$12,0)+COUNTIF('Live Search'!CP$12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D13">
        <f>IF($ET$13="",FALSE,SUMPRODUCT(('Final Calculation Sheet'!$AB$4:$AB$40=$ET$13)*($KC$6:$KC$42=1))&gt;0)</f>
        <v/>
      </c>
      <c r="KE13">
        <f>$KE$12+--($KD13)</f>
        <v/>
      </c>
      <c r="KF13">
        <f>IF(ROW()-3&gt;MAX($KE$4:$KE$40),"",INDEX($ET$4:$ET$40,MATCH(ROW()-3,$KE$4:$KE$40,0)))</f>
        <v/>
      </c>
      <c r="KG13">
        <f>IF(COUNTIF('Live Search'!BM$12:CO$12,0)+COUNTIF('Live Search'!CQ$12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H13">
        <f>IF($EY$13="",FALSE,SUMPRODUCT(('Final Calculation Sheet'!$AC$4:$AC$40=$EY$13)*($KG$6:$KG$42=1))&gt;0)</f>
        <v/>
      </c>
      <c r="KI13">
        <f>$KI$12+--($KH13)</f>
        <v/>
      </c>
      <c r="KJ13">
        <f>IF(ROW()-3&gt;MAX($KI$4:$KI$40),"",INDEX($EY$4:$EY$40,MATCH(ROW()-3,$KI$4:$KI$40,0)))</f>
        <v/>
      </c>
      <c r="KK13">
        <f>IF(COUNTIF('Live Search'!BM$12:CP$12,0)+COUNTIF('Live Search'!CR$12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L13">
        <f>IF($FD$13="",FALSE,SUMPRODUCT(('Final Calculation Sheet'!$AD$4:$AD$40=$FD$13)*($KK$6:$KK$42=1))&gt;0)</f>
        <v/>
      </c>
      <c r="KM13">
        <f>$KM$12+--($KL13)</f>
        <v/>
      </c>
      <c r="KN13">
        <f>IF(ROW()-3&gt;MAX($KM$4:$KM$40),"",INDEX($FD$4:$FD$40,MATCH(ROW()-3,$KM$4:$KM$40,0)))</f>
        <v/>
      </c>
      <c r="KO13">
        <f>IF(COUNTIF('Live Search'!BM$12:CT$12,0)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P13">
        <f>IF($FX$13="",FALSE,SUMPRODUCT((IF('Final Calculation Sheet'!$AD$4:$AD$40&lt;=5,"SETTLED","OUTSTANDING")=$FX$13)*($KO$6:$KO$42=1))&gt;0)</f>
        <v/>
      </c>
      <c r="KQ13">
        <f>$KQ$12+--($KP13)</f>
        <v/>
      </c>
      <c r="KR13">
        <f>IF(ROW()-3&gt;MAX($KQ$4:$KQ$40),"",INDEX($FX$4:$FX$40,MATCH(ROW()-3,$KQ$4:$KQ$40,0)))</f>
        <v/>
      </c>
      <c r="KS13">
        <f>IF(COUNTIF('Live Search'!BM$12:CQ$12,0)+COUNTIF('Live Search'!CS$12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T13">
        <f>IF($FI$13="",FALSE,SUMPRODUCT(('Final Calculation Sheet'!$AF$4:$AF$40=$FI$13)*($KS$6:$KS$42=1))&gt;0)</f>
        <v/>
      </c>
      <c r="KU13">
        <f>$KU$12+--($KT13)</f>
        <v/>
      </c>
      <c r="KV13">
        <f>IF(ROW()-3&gt;MAX($KU$4:$KU$40),"",INDEX($FI$4:$FI$40,MATCH(ROW()-3,$KU$4:$KU$40,0)))</f>
        <v/>
      </c>
      <c r="KW13">
        <f>IF(COUNTIF('Live Search'!BM$12:CR$12,0)+COUNTIF('Live Search'!CT$12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KX13">
        <f>IF($FN$13="",FALSE,SUMPRODUCT(('Final Calculation Sheet'!$AG$4:$AG$40=$FN$13)*($KW$6:$KW$42=1))&gt;0)</f>
        <v/>
      </c>
      <c r="KY13">
        <f>$KY$12+--($KX13)</f>
        <v/>
      </c>
      <c r="KZ13">
        <f>IF(ROW()-3&gt;MAX($KY$4:$KY$40),"",INDEX($FN$4:$FN$40,MATCH(ROW()-3,$KY$4:$KY$40,0)))</f>
        <v/>
      </c>
      <c r="LA13">
        <f>IF(COUNTIF('Live Search'!BM$12:CS$12,0)+COUNTIF('Live Search'!CU$12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LB13">
        <f>IF($FS$13="",FALSE,SUMPRODUCT(('Final Calculation Sheet'!$AH$4:$AH$40=$FS$13)*($LA$6:$LA$42=1))&gt;0)</f>
        <v/>
      </c>
      <c r="LC13">
        <f>$LC$12+--($LB13)</f>
        <v/>
      </c>
      <c r="LD13">
        <f>IF(ROW()-3&gt;MAX($LC$4:$LC$40),"",INDEX($FS$4:$FS$40,MATCH(ROW()-3,$LC$4:$LC$40,0)))</f>
        <v/>
      </c>
      <c r="LE13">
        <f>IF(COUNTIF('Buyer Groups'!DH66:EN66,0)&gt;0,0,1)</f>
        <v/>
      </c>
      <c r="LF13">
        <f>IF($O$13="",FALSE,SUMPRODUCT(('Final Calculation Sheet'!$F$4:$F$40=$O$13)*($LE$6:$LE$42=1))&gt;0)</f>
        <v/>
      </c>
      <c r="LG13">
        <f>$LG$12+--($LF13)</f>
        <v/>
      </c>
      <c r="LH13">
        <f>IF(ROW()-3&gt;MAX($LG$4:$LG$40),"",INDEX($O$4:$O$40,MATCH(ROW()-3,$LG$4:$LG$40,0)))</f>
        <v/>
      </c>
      <c r="LI13">
        <f>IF(COUNTIF('Buyer Groups'!DG66:DG66,0)+COUNTIF('Buyer Groups'!DI66:EN66,0)&gt;0,0,1)</f>
        <v/>
      </c>
      <c r="LJ13">
        <f>IF($T$13="",FALSE,SUMPRODUCT(('Final Calculation Sheet'!$G$4:$G$40=$T$13)*($LI$6:$LI$42=1))&gt;0)</f>
        <v/>
      </c>
      <c r="LK13">
        <f>$LK$12+--($LJ13)</f>
        <v/>
      </c>
      <c r="LL13">
        <f>IF(ROW()-3&gt;MAX($LK$4:$LK$40),"",INDEX($T$4:$T$40,MATCH(ROW()-3,$LK$4:$LK$40,0)))</f>
        <v/>
      </c>
      <c r="LM13">
        <f>IF(COUNTIF('Buyer Groups'!DG66:DH66,0)+COUNTIF('Buyer Groups'!DJ66:EN66,0)&gt;0,0,1)</f>
        <v/>
      </c>
      <c r="LN13">
        <f>IF($Y$13="",FALSE,SUMPRODUCT(('Final Calculation Sheet'!$B$4:$B$40=$Y$13)*($LM$6:$LM$42=1))&gt;0)</f>
        <v/>
      </c>
      <c r="LO13">
        <f>$LO$12+--($LN13)</f>
        <v/>
      </c>
      <c r="LP13">
        <f>IF(ROW()-3&gt;MAX($LO$4:$LO$40),"",INDEX($Y$4:$Y$40,MATCH(ROW()-3,$LO$4:$LO$40,0)))</f>
        <v/>
      </c>
      <c r="LQ13">
        <f>IF(COUNTIF('Buyer Groups'!DG66:DI66,0)+COUNTIF('Buyer Groups'!DK66:EN66,0)&gt;0,0,1)</f>
        <v/>
      </c>
      <c r="LR13">
        <f>IF($AD$13="",FALSE,SUMPRODUCT(('Final Calculation Sheet'!$D$4:$D$40=$AD$13)*($LQ$6:$LQ$42=1))&gt;0)</f>
        <v/>
      </c>
      <c r="LS13">
        <f>$LS$12+--($LR13)</f>
        <v/>
      </c>
      <c r="LT13">
        <f>IF(ROW()-3&gt;MAX($LS$4:$LS$40),"",INDEX($AD$4:$AD$40,MATCH(ROW()-3,$LS$4:$LS$40,0)))</f>
        <v/>
      </c>
      <c r="LU13">
        <f>IF(COUNTIF('Buyer Groups'!DG66:DJ66,0)+COUNTIF('Buyer Groups'!DL66:EN66,0)&gt;0,0,1)</f>
        <v/>
      </c>
      <c r="LV13">
        <f>IF($AI$13="",FALSE,SUMPRODUCT(('Final Calculation Sheet'!$A$4:$A$40=$AI$13)*($LU$6:$LU$42=1))&gt;0)</f>
        <v/>
      </c>
      <c r="LW13">
        <f>$LW$12+--($LV13)</f>
        <v/>
      </c>
      <c r="LX13">
        <f>IF(ROW()-3&gt;MAX($LW$4:$LW$40),"",INDEX($AI$4:$AI$40,MATCH(ROW()-3,$LW$4:$LW$40,0)))</f>
        <v/>
      </c>
      <c r="LY13">
        <f>IF(COUNTIF('Buyer Groups'!DG66:DK66,0)+COUNTIF('Buyer Groups'!DM66:EN66,0)&gt;0,0,1)</f>
        <v/>
      </c>
      <c r="LZ13">
        <f>IF($AN$13="",FALSE,SUMPRODUCT(('Final Calculation Sheet'!$E$4:$E$40=$AN$13)*($LY$6:$LY$42=1))&gt;0)</f>
        <v/>
      </c>
      <c r="MA13">
        <f>$MA$12+--($LZ13)</f>
        <v/>
      </c>
      <c r="MB13">
        <f>IF(ROW()-3&gt;MAX($MA$4:$MA$40),"",INDEX($AN$4:$AN$40,MATCH(ROW()-3,$MA$4:$MA$40,0)))</f>
        <v/>
      </c>
      <c r="MC13">
        <f>IF(COUNTIF('Buyer Groups'!DG66:DL66,0)+COUNTIF('Buyer Groups'!DN66:EN66,0)&gt;0,0,1)</f>
        <v/>
      </c>
      <c r="MD13">
        <f>IF($AS$13="",FALSE,SUMPRODUCT(('Final Calculation Sheet'!$C$4:$C$40=$AS$13)*($MC$6:$MC$42=1))&gt;0)</f>
        <v/>
      </c>
      <c r="ME13">
        <f>$ME$12+--($MD13)</f>
        <v/>
      </c>
      <c r="MF13">
        <f>IF(ROW()-3&gt;MAX($ME$4:$ME$40),"",INDEX($AS$4:$AS$40,MATCH(ROW()-3,$ME$4:$ME$40,0)))</f>
        <v/>
      </c>
      <c r="MG13">
        <f>IF(COUNTIF('Buyer Groups'!DG66:DM66,0)+COUNTIF('Buyer Groups'!DO66:EN66,0)&gt;0,0,1)</f>
        <v/>
      </c>
      <c r="MH13">
        <f>IF($AX$13="",FALSE,SUMPRODUCT(('Final Calculation Sheet'!$H$4:$H$40=$AX$13)*($MG$6:$MG$42=1))&gt;0)</f>
        <v/>
      </c>
      <c r="MI13">
        <f>$MI$12+--($MH13)</f>
        <v/>
      </c>
      <c r="MJ13">
        <f>IF(ROW()-3&gt;MAX($MI$4:$MI$40),"",INDEX($AX$4:$AX$40,MATCH(ROW()-3,$MI$4:$MI$40,0)))</f>
        <v/>
      </c>
      <c r="MK13">
        <f>IF(COUNTIF('Buyer Groups'!DG66:DN66,0)+COUNTIF('Buyer Groups'!DP66:EN66,0)&gt;0,0,1)</f>
        <v/>
      </c>
      <c r="ML13">
        <f>IF($BC$13="",FALSE,SUMPRODUCT(('Final Calculation Sheet'!$I$4:$I$40=$BC$13)*($MK$6:$MK$42=1))&gt;0)</f>
        <v/>
      </c>
      <c r="MM13">
        <f>$MM$12+--($ML13)</f>
        <v/>
      </c>
      <c r="MN13">
        <f>IF(ROW()-3&gt;MAX($MM$4:$MM$40),"",INDEX($BC$4:$BC$40,MATCH(ROW()-3,$MM$4:$MM$40,0)))</f>
        <v/>
      </c>
      <c r="MO13">
        <f>IF(COUNTIF('Buyer Groups'!DG66:DO66,0)+COUNTIF('Buyer Groups'!DQ66:EN66,0)&gt;0,0,1)</f>
        <v/>
      </c>
      <c r="MP13">
        <f>IF($BH$13="",FALSE,SUMPRODUCT(('Final Calculation Sheet'!$J$4:$J$40=$BH$13)*($MO$6:$MO$42=1))&gt;0)</f>
        <v/>
      </c>
      <c r="MQ13">
        <f>$MQ$12+--($MP13)</f>
        <v/>
      </c>
      <c r="MR13">
        <f>IF(ROW()-3&gt;MAX($MQ$4:$MQ$40),"",INDEX($BH$4:$BH$40,MATCH(ROW()-3,$MQ$4:$MQ$40,0)))</f>
        <v/>
      </c>
      <c r="MS13">
        <f>IF(COUNTIF('Buyer Groups'!DG66:DP66,0)+COUNTIF('Buyer Groups'!DR66:EN66,0)&gt;0,0,1)</f>
        <v/>
      </c>
      <c r="MT13">
        <f>IF($BM$13="",FALSE,SUMPRODUCT(('Final Calculation Sheet'!$K$4:$K$40=$BM$13)*($MS$6:$MS$42=1))&gt;0)</f>
        <v/>
      </c>
      <c r="MU13">
        <f>$MU$12+--($MT13)</f>
        <v/>
      </c>
      <c r="MV13">
        <f>IF(ROW()-3&gt;MAX($MU$4:$MU$40),"",INDEX($BM$4:$BM$40,MATCH(ROW()-3,$MU$4:$MU$40,0)))</f>
        <v/>
      </c>
      <c r="MW13">
        <f>IF(COUNTIF('Buyer Groups'!DG66:DQ66,0)+COUNTIF('Buyer Groups'!DS66:EN66,0)&gt;0,0,1)</f>
        <v/>
      </c>
      <c r="MX13">
        <f>IF($BR$13="",FALSE,SUMPRODUCT(('Final Calculation Sheet'!$L$4:$L$40=$BR$13)*($MW$6:$MW$42=1))&gt;0)</f>
        <v/>
      </c>
      <c r="MY13">
        <f>$MY$12+--($MX13)</f>
        <v/>
      </c>
      <c r="MZ13">
        <f>IF(ROW()-3&gt;MAX($MY$4:$MY$40),"",INDEX($BR$4:$BR$40,MATCH(ROW()-3,$MY$4:$MY$40,0)))</f>
        <v/>
      </c>
      <c r="NA13">
        <f>IF(COUNTIF('Buyer Groups'!DG66:DR66,0)+COUNTIF('Buyer Groups'!DT66:EN66,0)&gt;0,0,1)</f>
        <v/>
      </c>
      <c r="NB13">
        <f>IF($BW$13="",FALSE,SUMPRODUCT(('Final Calculation Sheet'!$M$4:$M$40=$BW$13)*($NA$6:$NA$42=1))&gt;0)</f>
        <v/>
      </c>
      <c r="NC13">
        <f>$NC$12+--($NB13)</f>
        <v/>
      </c>
      <c r="ND13">
        <f>IF(ROW()-3&gt;MAX($NC$4:$NC$40),"",INDEX($BW$4:$BW$40,MATCH(ROW()-3,$NC$4:$NC$40,0)))</f>
        <v/>
      </c>
      <c r="NE13">
        <f>IF(COUNTIF('Buyer Groups'!DG66:DS66,0)+COUNTIF('Buyer Groups'!DU66:EN66,0)&gt;0,0,1)</f>
        <v/>
      </c>
      <c r="NF13">
        <f>IF($CB$13="",FALSE,SUMPRODUCT(('Final Calculation Sheet'!$N$4:$N$40=$CB$13)*($NE$6:$NE$42=1))&gt;0)</f>
        <v/>
      </c>
      <c r="NG13">
        <f>$NG$12+--($NF13)</f>
        <v/>
      </c>
      <c r="NH13">
        <f>IF(ROW()-3&gt;MAX($NG$4:$NG$40),"",INDEX($CB$4:$CB$40,MATCH(ROW()-3,$NG$4:$NG$40,0)))</f>
        <v/>
      </c>
      <c r="NI13">
        <f>IF(COUNTIF('Buyer Groups'!DG66:DT66,0)+COUNTIF('Buyer Groups'!DV66:EN66,0)&gt;0,0,1)</f>
        <v/>
      </c>
      <c r="NJ13">
        <f>IF($CG$13="",FALSE,SUMPRODUCT(('Final Calculation Sheet'!$O$4:$O$40=$CG$13)*($NI$6:$NI$42=1))&gt;0)</f>
        <v/>
      </c>
      <c r="NK13">
        <f>$NK$12+--($NJ13)</f>
        <v/>
      </c>
      <c r="NL13">
        <f>IF(ROW()-3&gt;MAX($NK$4:$NK$40),"",INDEX($CG$4:$CG$40,MATCH(ROW()-3,$NK$4:$NK$40,0)))</f>
        <v/>
      </c>
      <c r="NM13">
        <f>IF(COUNTIF('Buyer Groups'!DG66:DU66,0)+COUNTIF('Buyer Groups'!DW66:EN66,0)&gt;0,0,1)</f>
        <v/>
      </c>
      <c r="NN13">
        <f>IF($CL$13="",FALSE,SUMPRODUCT(('Final Calculation Sheet'!$P$4:$P$40=$CL$13)*($NM$6:$NM$42=1))&gt;0)</f>
        <v/>
      </c>
      <c r="NO13">
        <f>$NO$12+--($NN13)</f>
        <v/>
      </c>
      <c r="NP13">
        <f>IF(ROW()-3&gt;MAX($NO$4:$NO$40),"",INDEX($CL$4:$CL$40,MATCH(ROW()-3,$NO$4:$NO$40,0)))</f>
        <v/>
      </c>
      <c r="NQ13">
        <f>IF(COUNTIF('Buyer Groups'!DG66:DV66,0)+COUNTIF('Buyer Groups'!DX66:EN66,0)&gt;0,0,1)</f>
        <v/>
      </c>
      <c r="NR13">
        <f>IF($CQ$13="",FALSE,SUMPRODUCT(('Final Calculation Sheet'!$Q$4:$Q$40=$CQ$13)*($NQ$6:$NQ$42=1))&gt;0)</f>
        <v/>
      </c>
      <c r="NS13">
        <f>$NS$12+--($NR13)</f>
        <v/>
      </c>
      <c r="NT13">
        <f>IF(ROW()-3&gt;MAX($NS$4:$NS$40),"",INDEX($CQ$4:$CQ$40,MATCH(ROW()-3,$NS$4:$NS$40,0)))</f>
        <v/>
      </c>
      <c r="NU13">
        <f>IF(COUNTIF('Buyer Groups'!DG66:DW66,0)+COUNTIF('Buyer Groups'!DY66:EN66,0)&gt;0,0,1)</f>
        <v/>
      </c>
      <c r="NV13">
        <f>IF($CV$13="",FALSE,SUMPRODUCT(('Final Calculation Sheet'!$R$4:$R$40=$CV$13)*($NU$6:$NU$42=1))&gt;0)</f>
        <v/>
      </c>
      <c r="NW13">
        <f>$NW$12+--($NV13)</f>
        <v/>
      </c>
      <c r="NX13">
        <f>IF(ROW()-3&gt;MAX($NW$4:$NW$40),"",INDEX($CV$4:$CV$40,MATCH(ROW()-3,$NW$4:$NW$40,0)))</f>
        <v/>
      </c>
      <c r="NY13">
        <f>IF(COUNTIF('Buyer Groups'!DG66:DX66,0)+COUNTIF('Buyer Groups'!DZ66:EN66,0)&gt;0,0,1)</f>
        <v/>
      </c>
      <c r="NZ13">
        <f>IF($DA$13="",FALSE,SUMPRODUCT(('Final Calculation Sheet'!$S$4:$S$40=$DA$13)*($NY$6:$NY$42=1))&gt;0)</f>
        <v/>
      </c>
      <c r="OA13">
        <f>$OA$12+--($NZ13)</f>
        <v/>
      </c>
      <c r="OB13">
        <f>IF(ROW()-3&gt;MAX($OA$4:$OA$40),"",INDEX($DA$4:$DA$40,MATCH(ROW()-3,$OA$4:$OA$40,0)))</f>
        <v/>
      </c>
      <c r="OC13">
        <f>IF(COUNTIF('Buyer Groups'!DG66:DY66,0)+COUNTIF('Buyer Groups'!EA66:EN66,0)&gt;0,0,1)</f>
        <v/>
      </c>
      <c r="OD13">
        <f>IF($DF$13="",FALSE,SUMPRODUCT(('Final Calculation Sheet'!$T$4:$T$40=$DF$13)*($OC$6:$OC$42=1))&gt;0)</f>
        <v/>
      </c>
      <c r="OE13">
        <f>$OE$12+--($OD13)</f>
        <v/>
      </c>
      <c r="OF13">
        <f>IF(ROW()-3&gt;MAX($OE$4:$OE$40),"",INDEX($DF$4:$DF$40,MATCH(ROW()-3,$OE$4:$OE$40,0)))</f>
        <v/>
      </c>
      <c r="OG13">
        <f>IF(COUNTIF('Buyer Groups'!DG66:DZ66,0)+COUNTIF('Buyer Groups'!EB66:EN66,0)&gt;0,0,1)</f>
        <v/>
      </c>
      <c r="OH13">
        <f>IF($DK$13="",FALSE,SUMPRODUCT(('Final Calculation Sheet'!$U$4:$U$40=$DK$13)*($OG$6:$OG$42=1))&gt;0)</f>
        <v/>
      </c>
      <c r="OI13">
        <f>$OI$12+--($OH13)</f>
        <v/>
      </c>
      <c r="OJ13">
        <f>IF(ROW()-3&gt;MAX($OI$4:$OI$40),"",INDEX($DK$4:$DK$40,MATCH(ROW()-3,$OI$4:$OI$40,0)))</f>
        <v/>
      </c>
      <c r="OK13">
        <f>IF(COUNTIF('Buyer Groups'!DG66:EA66,0)+COUNTIF('Buyer Groups'!EC66:EN66,0)&gt;0,0,1)</f>
        <v/>
      </c>
      <c r="OL13">
        <f>IF($DP$13="",FALSE,SUMPRODUCT(('Final Calculation Sheet'!$V$4:$V$40=$DP$13)*($OK$6:$OK$42=1))&gt;0)</f>
        <v/>
      </c>
      <c r="OM13">
        <f>$OM$12+--($OL13)</f>
        <v/>
      </c>
      <c r="ON13">
        <f>IF(ROW()-3&gt;MAX($OM$4:$OM$40),"",INDEX($DP$4:$DP$40,MATCH(ROW()-3,$OM$4:$OM$40,0)))</f>
        <v/>
      </c>
      <c r="OO13">
        <f>IF(COUNTIF('Buyer Groups'!DG66:EB66,0)+COUNTIF('Buyer Groups'!ED66:EN66,0)&gt;0,0,1)</f>
        <v/>
      </c>
      <c r="OP13">
        <f>IF($DU$13="",FALSE,SUMPRODUCT(('Final Calculation Sheet'!$W$4:$W$40=$DU$13)*($OO$6:$OO$42=1))&gt;0)</f>
        <v/>
      </c>
      <c r="OQ13">
        <f>$OQ$12+--($OP13)</f>
        <v/>
      </c>
      <c r="OR13">
        <f>IF(ROW()-3&gt;MAX($OQ$4:$OQ$40),"",INDEX($DU$4:$DU$40,MATCH(ROW()-3,$OQ$4:$OQ$40,0)))</f>
        <v/>
      </c>
      <c r="OS13">
        <f>IF(COUNTIF('Buyer Groups'!DG66:EC66,0)+COUNTIF('Buyer Groups'!EE66:EN66,0)&gt;0,0,1)</f>
        <v/>
      </c>
      <c r="OT13">
        <f>IF($DZ$13="",FALSE,SUMPRODUCT(('Final Calculation Sheet'!$X$4:$X$40=$DZ$13)*($OS$6:$OS$42=1))&gt;0)</f>
        <v/>
      </c>
      <c r="OU13">
        <f>$OU$12+--($OT13)</f>
        <v/>
      </c>
      <c r="OV13">
        <f>IF(ROW()-3&gt;MAX($OU$4:$OU$40),"",INDEX($DZ$4:$DZ$40,MATCH(ROW()-3,$OU$4:$OU$40,0)))</f>
        <v/>
      </c>
      <c r="OW13">
        <f>IF(COUNTIF('Buyer Groups'!DG66:ED66,0)+COUNTIF('Buyer Groups'!EF66:EN66,0)&gt;0,0,1)</f>
        <v/>
      </c>
      <c r="OX13">
        <f>IF($EE$13="",FALSE,SUMPRODUCT(('Final Calculation Sheet'!$Y$4:$Y$40=$EE$13)*($OW$6:$OW$42=1))&gt;0)</f>
        <v/>
      </c>
      <c r="OY13">
        <f>$OY$12+--($OX13)</f>
        <v/>
      </c>
      <c r="OZ13">
        <f>IF(ROW()-3&gt;MAX($OY$4:$OY$40),"",INDEX($EE$4:$EE$40,MATCH(ROW()-3,$OY$4:$OY$40,0)))</f>
        <v/>
      </c>
      <c r="PA13">
        <f>IF(COUNTIF('Buyer Groups'!DG66:EE66,0)+COUNTIF('Buyer Groups'!EG66:EN66,0)&gt;0,0,1)</f>
        <v/>
      </c>
      <c r="PB13">
        <f>IF($EJ$13="",FALSE,SUMPRODUCT(('Final Calculation Sheet'!$Z$4:$Z$40=$EJ$13)*($PA$6:$PA$42=1))&gt;0)</f>
        <v/>
      </c>
      <c r="PC13">
        <f>$PC$12+--($PB13)</f>
        <v/>
      </c>
      <c r="PD13">
        <f>IF(ROW()-3&gt;MAX($PC$4:$PC$40),"",INDEX($EJ$4:$EJ$40,MATCH(ROW()-3,$PC$4:$PC$40,0)))</f>
        <v/>
      </c>
      <c r="PE13">
        <f>IF(COUNTIF('Buyer Groups'!DG66:EF66,0)+COUNTIF('Buyer Groups'!EH66:EN66,0)&gt;0,0,1)</f>
        <v/>
      </c>
      <c r="PF13">
        <f>IF($EO$13="",FALSE,SUMPRODUCT(('Final Calculation Sheet'!$AA$4:$AA$40=$EO$13)*($PE$6:$PE$42=1))&gt;0)</f>
        <v/>
      </c>
      <c r="PG13">
        <f>$PG$12+--($PF13)</f>
        <v/>
      </c>
      <c r="PH13">
        <f>IF(ROW()-3&gt;MAX($PG$4:$PG$40),"",INDEX($EO$4:$EO$40,MATCH(ROW()-3,$PG$4:$PG$40,0)))</f>
        <v/>
      </c>
      <c r="PI13">
        <f>IF(COUNTIF('Buyer Groups'!DG66:EG66,0)+COUNTIF('Buyer Groups'!EI66:EN66,0)&gt;0,0,1)</f>
        <v/>
      </c>
      <c r="PJ13">
        <f>IF($ET$13="",FALSE,SUMPRODUCT(('Final Calculation Sheet'!$AB$4:$AB$40=$ET$13)*($PI$6:$PI$42=1))&gt;0)</f>
        <v/>
      </c>
      <c r="PK13">
        <f>$PK$12+--($PJ13)</f>
        <v/>
      </c>
      <c r="PL13">
        <f>IF(ROW()-3&gt;MAX($PK$4:$PK$40),"",INDEX($ET$4:$ET$40,MATCH(ROW()-3,$PK$4:$PK$40,0)))</f>
        <v/>
      </c>
      <c r="PM13">
        <f>IF(COUNTIF('Buyer Groups'!DG66:EH66,0)+COUNTIF('Buyer Groups'!EJ66:EN66,0)&gt;0,0,1)</f>
        <v/>
      </c>
      <c r="PN13">
        <f>IF($EY$13="",FALSE,SUMPRODUCT(('Final Calculation Sheet'!$AC$4:$AC$40=$EY$13)*($PM$6:$PM$42=1))&gt;0)</f>
        <v/>
      </c>
      <c r="PO13">
        <f>$PO$12+--($PN13)</f>
        <v/>
      </c>
      <c r="PP13">
        <f>IF(ROW()-3&gt;MAX($PO$4:$PO$40),"",INDEX($EY$4:$EY$40,MATCH(ROW()-3,$PO$4:$PO$40,0)))</f>
        <v/>
      </c>
      <c r="PQ13">
        <f>IF(COUNTIF('Buyer Groups'!DG66:EI66,0)+COUNTIF('Buyer Groups'!EK66:EN66,0)&gt;0,0,1)</f>
        <v/>
      </c>
      <c r="PR13">
        <f>IF($FD$13="",FALSE,SUMPRODUCT(('Final Calculation Sheet'!$AD$4:$AD$40=$FD$13)*($PQ$6:$PQ$42=1))&gt;0)</f>
        <v/>
      </c>
      <c r="PS13">
        <f>$PS$12+--($PR13)</f>
        <v/>
      </c>
      <c r="PT13">
        <f>IF(ROW()-3&gt;MAX($PS$4:$PS$40),"",INDEX($FD$4:$FD$40,MATCH(ROW()-3,$PS$4:$PS$40,0)))</f>
        <v/>
      </c>
      <c r="PU13">
        <f>IF(COUNTIF('Buyer Groups'!DG66:EJ66,0)+COUNTIF('Buyer Groups'!EL66:EN66,0)&gt;0,0,1)</f>
        <v/>
      </c>
      <c r="PV13">
        <f>IF($FX$13="",FALSE,SUMPRODUCT((IF('Final Calculation Sheet'!$AD$4:$AD$40&lt;=5,"SETTLED","OUTSTANDING")=$FX$13)*($PU$6:$PU$42=1))&gt;0)</f>
        <v/>
      </c>
      <c r="PW13">
        <f>$PW$12+--($PV13)</f>
        <v/>
      </c>
      <c r="PX13">
        <f>IF(ROW()-3&gt;MAX($PW$4:$PW$40),"",INDEX($FX$4:$FX$40,MATCH(ROW()-3,$PW$4:$PW$40,0)))</f>
        <v/>
      </c>
      <c r="PY13">
        <f>IF(COUNTIF('Buyer Groups'!DG66:EK66,0)+COUNTIF('Buyer Groups'!EM66:EN66,0)&gt;0,0,1)</f>
        <v/>
      </c>
      <c r="PZ13">
        <f>IF($FI$13="",FALSE,SUMPRODUCT(('Final Calculation Sheet'!$AF$4:$AF$40=$FI$13)*($PY$6:$PY$42=1))&gt;0)</f>
        <v/>
      </c>
      <c r="QA13">
        <f>$QA$12+--($PZ13)</f>
        <v/>
      </c>
      <c r="QB13">
        <f>IF(ROW()-3&gt;MAX($QA$4:$QA$40),"",INDEX($FI$4:$FI$40,MATCH(ROW()-3,$QA$4:$QA$40,0)))</f>
        <v/>
      </c>
      <c r="QC13">
        <f>IF(COUNTIF('Buyer Groups'!DG66:EL66,0)+COUNTIF('Buyer Groups'!EN66:EN66,0)&gt;0,0,1)</f>
        <v/>
      </c>
      <c r="QD13">
        <f>IF($FN$13="",FALSE,SUMPRODUCT(('Final Calculation Sheet'!$AG$4:$AG$40=$FN$13)*($QC$6:$QC$42=1))&gt;0)</f>
        <v/>
      </c>
      <c r="QE13">
        <f>$QE$12+--($QD13)</f>
        <v/>
      </c>
      <c r="QF13">
        <f>IF(ROW()-3&gt;MAX($QE$4:$QE$40),"",INDEX($FN$4:$FN$40,MATCH(ROW()-3,$QE$4:$QE$40,0)))</f>
        <v/>
      </c>
      <c r="QG13">
        <f>IF(COUNTIF('Buyer Groups'!DG66:EM66,0)&gt;0,0,1)</f>
        <v/>
      </c>
      <c r="QH13">
        <f>IF($FS$13="",FALSE,SUMPRODUCT(('Final Calculation Sheet'!$AH$4:$AH$40=$FS$13)*($QG$6:$QG$42=1))&gt;0)</f>
        <v/>
      </c>
      <c r="QI13">
        <f>$QI$12+--($QH13)</f>
        <v/>
      </c>
      <c r="QJ13">
        <f>IF(ROW()-3&gt;MAX($QI$4:$QI$40),"",INDEX($FS$4:$FS$40,MATCH(ROW()-3,$QI$4:$QI$40,0)))</f>
        <v/>
      </c>
      <c r="QK13" t="str">
        <f>IF('Final Calculation Sheet'!$AH$13="","",'Final Calculation Sheet'!$AH$13)</f>
      </c>
      <c r="QL13" t="str">
        <f>IF(QK13="","",COUNTIFS(QK$4:QK$40,"&lt;"&amp;QK13,QK$4:QK$40,"&lt;&gt;"&amp;"")+COUNTIF(QK$4:QK13,QK13))</f>
      </c>
      <c r="QM13" t="str">
        <f>IF(ROW()-3&gt;COUNTIF(QK$4:QK$40,"&lt;&gt;"&amp;""),"",INDEX(QK$4:QK$40,MATCH(ROW()-3,QL$4:QL$40,0)))</f>
      </c>
      <c r="QN13" t="str">
        <f>=QN12+F(AND(QM13&lt;&gt;"",COUNTIF(QM$4:QM13,QM13)=1),1,0)</f>
      </c>
      <c r="QO13" t="str">
        <f>IF(ROW()-3&gt;MAX(QN$4:QN$40),"",INDEX(QM$4:QM$40,MATCH(ROW()-3,QN$4:QN$40,0)))</f>
      </c>
      <c r="QP13" t="str">
        <f>IF(COUNTIF('Final Calculation Sheet'!$AM13:$BS13,0)&gt;0,0,1)</f>
      </c>
      <c r="QQ13" t="str">
        <f>IF($AI$13="",FALSE,SUMPRODUCT(('Final Calculation Sheet'!$A$4:$A$40=$AI$13)*($QP$4:$QP$40=1))&gt;0)</f>
      </c>
      <c r="QR13" t="str">
        <f>=$QR12+--($QQ13)</f>
      </c>
      <c r="QS13" t="str">
        <f>IF(ROW()-3&gt;MAX($QR$4:$QR$40),"",INDEX($AI$4:$AI$40,MATCH(ROW()-3,$QR$4:$QR$40,0)))</f>
      </c>
      <c r="QT13" t="str">
        <f>IF(COUNTIF('Final Calculation Sheet'!$AL13:$AL13,0)+COUNTIF('Final Calculation Sheet'!$AN13:$BS13,0)&gt;0,0,1)</f>
      </c>
      <c r="QU13" t="str">
        <f>IF($Y$13="",FALSE,SUMPRODUCT(('Final Calculation Sheet'!$B$4:$B$40=$Y$13)*($QT$4:$QT$40=1))&gt;0)</f>
      </c>
      <c r="QV13" t="str">
        <f>=$QV12+--($QU13)</f>
      </c>
      <c r="QW13" t="str">
        <f>IF(ROW()-3&gt;MAX($QV$4:$QV$40),"",INDEX($Y$4:$Y$40,MATCH(ROW()-3,$QV$4:$QV$40,0)))</f>
      </c>
      <c r="QX13" t="str">
        <f>IF(COUNTIF('Final Calculation Sheet'!$AL13:$AM13,0)+COUNTIF('Final Calculation Sheet'!$AO13:$BS13,0)&gt;0,0,1)</f>
      </c>
      <c r="QY13" t="str">
        <f>IF($AS$13="",FALSE,SUMPRODUCT(('Final Calculation Sheet'!$C$4:$C$40=$AS$13)*($QX$4:$QX$40=1))&gt;0)</f>
      </c>
      <c r="QZ13" t="str">
        <f>=$QZ12+--($QY13)</f>
      </c>
      <c r="RA13" t="str">
        <f>IF(ROW()-3&gt;MAX($QZ$4:$QZ$40),"",INDEX($AS$4:$AS$40,MATCH(ROW()-3,$QZ$4:$QZ$40,0)))</f>
      </c>
      <c r="RB13" t="str">
        <f>IF(COUNTIF('Final Calculation Sheet'!$AL13:$AN13,0)+COUNTIF('Final Calculation Sheet'!$AP13:$BS13,0)&gt;0,0,1)</f>
      </c>
      <c r="RC13" t="str">
        <f>IF($AD$13="",FALSE,SUMPRODUCT(('Final Calculation Sheet'!$D$4:$D$40=$AD$13)*($RB$4:$RB$40=1))&gt;0)</f>
      </c>
      <c r="RD13" t="str">
        <f>=$RD12+--($RC13)</f>
      </c>
      <c r="RE13" t="str">
        <f>IF(ROW()-3&gt;MAX($RD$4:$RD$40),"",INDEX($AD$4:$AD$40,MATCH(ROW()-3,$RD$4:$RD$40,0)))</f>
      </c>
      <c r="RF13" t="str">
        <f>IF(COUNTIF('Final Calculation Sheet'!$AL13:$AO13,0)+COUNTIF('Final Calculation Sheet'!$AQ13:$BS13,0)&gt;0,0,1)</f>
      </c>
      <c r="RG13" t="str">
        <f>IF($AN$13="",FALSE,SUMPRODUCT(('Final Calculation Sheet'!$E$4:$E$40=$AN$13)*($RF$4:$RF$40=1))&gt;0)</f>
      </c>
      <c r="RH13" t="str">
        <f>=$RH12+--($RG13)</f>
      </c>
      <c r="RI13" t="str">
        <f>IF(ROW()-3&gt;MAX($RH$4:$RH$40),"",INDEX($AN$4:$AN$40,MATCH(ROW()-3,$RH$4:$RH$40,0)))</f>
      </c>
      <c r="RJ13" t="str">
        <f>IF(COUNTIF('Final Calculation Sheet'!$AL13:$AP13,0)+COUNTIF('Final Calculation Sheet'!$AR13:$BS13,0)&gt;0,0,1)</f>
      </c>
      <c r="RK13" t="str">
        <f>IF($O$13="",FALSE,SUMPRODUCT(('Final Calculation Sheet'!$F$4:$F$40=$O$13)*($RJ$4:$RJ$40=1))&gt;0)</f>
      </c>
      <c r="RL13" t="str">
        <f>=$RL12+--($RK13)</f>
      </c>
      <c r="RM13" t="str">
        <f>IF(ROW()-3&gt;MAX($RL$4:$RL$40),"",INDEX($O$4:$O$40,MATCH(ROW()-3,$RL$4:$RL$40,0)))</f>
      </c>
      <c r="RN13" t="str">
        <f>IF(COUNTIF('Final Calculation Sheet'!$AL13:$AQ13,0)+COUNTIF('Final Calculation Sheet'!$AS13:$BS13,0)&gt;0,0,1)</f>
      </c>
      <c r="RO13" t="str">
        <f>IF($T$13="",FALSE,SUMPRODUCT(('Final Calculation Sheet'!$G$4:$G$40=$T$13)*($RN$4:$RN$40=1))&gt;0)</f>
      </c>
      <c r="RP13" t="str">
        <f>=$RP12+--($RO13)</f>
      </c>
      <c r="RQ13" t="str">
        <f>IF(ROW()-3&gt;MAX($RP$4:$RP$40),"",INDEX($T$4:$T$40,MATCH(ROW()-3,$RP$4:$RP$40,0)))</f>
      </c>
      <c r="RR13" t="str">
        <f>IF(COUNTIF('Final Calculation Sheet'!$AL13:$AR13,0)+COUNTIF('Final Calculation Sheet'!$AT13:$BS13,0)&gt;0,0,1)</f>
      </c>
      <c r="RS13" t="str">
        <f>IF($AX$13="",FALSE,SUMPRODUCT(('Final Calculation Sheet'!$H$4:$H$40=$AX$13)*($RR$4:$RR$40=1))&gt;0)</f>
      </c>
      <c r="RT13" t="str">
        <f>=$RT12+--($RS13)</f>
      </c>
      <c r="RU13" t="str">
        <f>IF(ROW()-3&gt;MAX($RT$4:$RT$40),"",INDEX($AX$4:$AX$40,MATCH(ROW()-3,$RT$4:$RT$40,0)))</f>
      </c>
      <c r="RV13" t="str">
        <f>IF(COUNTIF('Final Calculation Sheet'!$AL13:$AS13,0)+COUNTIF('Final Calculation Sheet'!$AU13:$BS13,0)&gt;0,0,1)</f>
      </c>
      <c r="RW13" t="str">
        <f>IF($BC$13="",FALSE,SUMPRODUCT(('Final Calculation Sheet'!$I$4:$I$40=$BC$13)*($RV$4:$RV$40=1))&gt;0)</f>
      </c>
      <c r="RX13" t="str">
        <f>=$RX12+--($RW13)</f>
      </c>
      <c r="RY13" t="str">
        <f>IF(ROW()-3&gt;MAX($RX$4:$RX$40),"",INDEX($BC$4:$BC$40,MATCH(ROW()-3,$RX$4:$RX$40,0)))</f>
      </c>
      <c r="RZ13" t="str">
        <f>IF(COUNTIF('Final Calculation Sheet'!$AL13:$AT13,0)+COUNTIF('Final Calculation Sheet'!$AV13:$BS13,0)&gt;0,0,1)</f>
      </c>
      <c r="SA13" t="str">
        <f>IF($BH$13="",FALSE,SUMPRODUCT(('Final Calculation Sheet'!$J$4:$J$40=$BH$13)*($RZ$4:$RZ$40=1))&gt;0)</f>
      </c>
      <c r="SB13" t="str">
        <f>=$SB12+--($SA13)</f>
      </c>
      <c r="SC13" t="str">
        <f>IF(ROW()-3&gt;MAX($SB$4:$SB$40),"",INDEX($BH$4:$BH$40,MATCH(ROW()-3,$SB$4:$SB$40,0)))</f>
      </c>
      <c r="SD13" t="str">
        <f>IF(COUNTIF('Final Calculation Sheet'!$AL13:$AU13,0)+COUNTIF('Final Calculation Sheet'!$AW13:$BS13,0)&gt;0,0,1)</f>
      </c>
      <c r="SE13" t="str">
        <f>IF($BM$13="",FALSE,SUMPRODUCT(('Final Calculation Sheet'!$K$4:$K$40=$BM$13)*($SD$4:$SD$40=1))&gt;0)</f>
      </c>
      <c r="SF13" t="str">
        <f>=$SF12+--($SE13)</f>
      </c>
      <c r="SG13" t="str">
        <f>IF(ROW()-3&gt;MAX($SF$4:$SF$40),"",INDEX($BM$4:$BM$40,MATCH(ROW()-3,$SF$4:$SF$40,0)))</f>
      </c>
      <c r="SH13" t="str">
        <f>IF(COUNTIF('Final Calculation Sheet'!$AL13:$AV13,0)+COUNTIF('Final Calculation Sheet'!$AX13:$BS13,0)&gt;0,0,1)</f>
      </c>
      <c r="SI13" t="str">
        <f>IF($BR$13="",FALSE,SUMPRODUCT(('Final Calculation Sheet'!$L$4:$L$40=$BR$13)*($SH$4:$SH$40=1))&gt;0)</f>
      </c>
      <c r="SJ13" t="str">
        <f>=$SJ12+--($SI13)</f>
      </c>
      <c r="SK13" t="str">
        <f>IF(ROW()-3&gt;MAX($SJ$4:$SJ$40),"",INDEX($BR$4:$BR$40,MATCH(ROW()-3,$SJ$4:$SJ$40,0)))</f>
      </c>
      <c r="SL13" t="str">
        <f>IF(COUNTIF('Final Calculation Sheet'!$AL13:$AW13,0)+COUNTIF('Final Calculation Sheet'!$AY13:$BS13,0)&gt;0,0,1)</f>
      </c>
      <c r="SM13" t="str">
        <f>IF($BW$13="",FALSE,SUMPRODUCT(('Final Calculation Sheet'!$M$4:$M$40=$BW$13)*($SL$4:$SL$40=1))&gt;0)</f>
      </c>
      <c r="SN13" t="str">
        <f>=$SN12+--($SM13)</f>
      </c>
      <c r="SO13" t="str">
        <f>IF(ROW()-3&gt;MAX($SN$4:$SN$40),"",INDEX($BW$4:$BW$40,MATCH(ROW()-3,$SN$4:$SN$40,0)))</f>
      </c>
      <c r="SP13" t="str">
        <f>IF(COUNTIF('Final Calculation Sheet'!$AL13:$AX13,0)+COUNTIF('Final Calculation Sheet'!$AZ13:$BS13,0)&gt;0,0,1)</f>
      </c>
      <c r="SQ13" t="str">
        <f>IF($CB$13="",FALSE,SUMPRODUCT(('Final Calculation Sheet'!$N$4:$N$40=$CB$13)*($SP$4:$SP$40=1))&gt;0)</f>
      </c>
      <c r="SR13" t="str">
        <f>=$SR12+--($SQ13)</f>
      </c>
      <c r="SS13" t="str">
        <f>IF(ROW()-3&gt;MAX($SR$4:$SR$40),"",INDEX($CB$4:$CB$40,MATCH(ROW()-3,$SR$4:$SR$40,0)))</f>
      </c>
      <c r="ST13" t="str">
        <f>IF(COUNTIF('Final Calculation Sheet'!$AL13:$AY13,0)+COUNTIF('Final Calculation Sheet'!$BA13:$BS13,0)&gt;0,0,1)</f>
      </c>
      <c r="SU13" t="str">
        <f>IF($CG$13="",FALSE,SUMPRODUCT(('Final Calculation Sheet'!$O$4:$O$40=$CG$13)*($ST$4:$ST$40=1))&gt;0)</f>
      </c>
      <c r="SV13" t="str">
        <f>=$SV12+--($SU13)</f>
      </c>
      <c r="SW13" t="str">
        <f>IF(ROW()-3&gt;MAX($SV$4:$SV$40),"",INDEX($CG$4:$CG$40,MATCH(ROW()-3,$SV$4:$SV$40,0)))</f>
      </c>
      <c r="SX13" t="str">
        <f>IF(COUNTIF('Final Calculation Sheet'!$AL13:$AZ13,0)+COUNTIF('Final Calculation Sheet'!$BB13:$BS13,0)&gt;0,0,1)</f>
      </c>
      <c r="SY13" t="str">
        <f>IF($CL$13="",FALSE,SUMPRODUCT(('Final Calculation Sheet'!$P$4:$P$40=$CL$13)*($SX$4:$SX$40=1))&gt;0)</f>
      </c>
      <c r="SZ13" t="str">
        <f>=$SZ12+--($SY13)</f>
      </c>
      <c r="TA13" t="str">
        <f>IF(ROW()-3&gt;MAX($SZ$4:$SZ$40),"",INDEX($CL$4:$CL$40,MATCH(ROW()-3,$SZ$4:$SZ$40,0)))</f>
      </c>
      <c r="TB13" t="str">
        <f>IF(COUNTIF('Final Calculation Sheet'!$AL13:$BA13,0)+COUNTIF('Final Calculation Sheet'!$BC13:$BS13,0)&gt;0,0,1)</f>
      </c>
      <c r="TC13" t="str">
        <f>IF($CQ$13="",FALSE,SUMPRODUCT(('Final Calculation Sheet'!$Q$4:$Q$40=$CQ$13)*($TB$4:$TB$40=1))&gt;0)</f>
      </c>
      <c r="TD13" t="str">
        <f>=$TD12+--($TC13)</f>
      </c>
      <c r="TE13" t="str">
        <f>IF(ROW()-3&gt;MAX($TD$4:$TD$40),"",INDEX($CQ$4:$CQ$40,MATCH(ROW()-3,$TD$4:$TD$40,0)))</f>
      </c>
      <c r="TF13" t="str">
        <f>IF(COUNTIF('Final Calculation Sheet'!$AL13:$BB13,0)+COUNTIF('Final Calculation Sheet'!$BD13:$BS13,0)&gt;0,0,1)</f>
      </c>
      <c r="TG13" t="str">
        <f>IF($CV$13="",FALSE,SUMPRODUCT(('Final Calculation Sheet'!$R$4:$R$40=$CV$13)*($TF$4:$TF$40=1))&gt;0)</f>
      </c>
      <c r="TH13" t="str">
        <f>=$TH12+--($TG13)</f>
      </c>
      <c r="TI13" t="str">
        <f>IF(ROW()-3&gt;MAX($TH$4:$TH$40),"",INDEX($CV$4:$CV$40,MATCH(ROW()-3,$TH$4:$TH$40,0)))</f>
      </c>
      <c r="TJ13" t="str">
        <f>IF(COUNTIF('Final Calculation Sheet'!$AL13:$BC13,0)+COUNTIF('Final Calculation Sheet'!$BE13:$BS13,0)&gt;0,0,1)</f>
      </c>
      <c r="TK13" t="str">
        <f>IF($DA$13="",FALSE,SUMPRODUCT(('Final Calculation Sheet'!$S$4:$S$40=$DA$13)*($TJ$4:$TJ$40=1))&gt;0)</f>
      </c>
      <c r="TL13" t="str">
        <f>=$TL12+--($TK13)</f>
      </c>
      <c r="TM13" t="str">
        <f>IF(ROW()-3&gt;MAX($TL$4:$TL$40),"",INDEX($DA$4:$DA$40,MATCH(ROW()-3,$TL$4:$TL$40,0)))</f>
      </c>
      <c r="TN13" t="str">
        <f>IF(COUNTIF('Final Calculation Sheet'!$AL13:$BD13,0)+COUNTIF('Final Calculation Sheet'!$BF13:$BS13,0)&gt;0,0,1)</f>
      </c>
      <c r="TO13" t="str">
        <f>IF($DF$13="",FALSE,SUMPRODUCT(('Final Calculation Sheet'!$T$4:$T$40=$DF$13)*($TN$4:$TN$40=1))&gt;0)</f>
      </c>
      <c r="TP13" t="str">
        <f>=$TP12+--($TO13)</f>
      </c>
      <c r="TQ13" t="str">
        <f>IF(ROW()-3&gt;MAX($TP$4:$TP$40),"",INDEX($DF$4:$DF$40,MATCH(ROW()-3,$TP$4:$TP$40,0)))</f>
      </c>
      <c r="TR13" t="str">
        <f>IF(COUNTIF('Final Calculation Sheet'!$AL13:$BE13,0)+COUNTIF('Final Calculation Sheet'!$BG13:$BS13,0)&gt;0,0,1)</f>
      </c>
      <c r="TS13" t="str">
        <f>IF($DK$13="",FALSE,SUMPRODUCT(('Final Calculation Sheet'!$U$4:$U$40=$DK$13)*($TR$4:$TR$40=1))&gt;0)</f>
      </c>
      <c r="TT13" t="str">
        <f>=$TT12+--($TS13)</f>
      </c>
      <c r="TU13" t="str">
        <f>IF(ROW()-3&gt;MAX($TT$4:$TT$40),"",INDEX($DK$4:$DK$40,MATCH(ROW()-3,$TT$4:$TT$40,0)))</f>
      </c>
      <c r="TV13" t="str">
        <f>IF(COUNTIF('Final Calculation Sheet'!$AL13:$BF13,0)+COUNTIF('Final Calculation Sheet'!$BH13:$BS13,0)&gt;0,0,1)</f>
      </c>
      <c r="TW13" t="str">
        <f>IF($DP$13="",FALSE,SUMPRODUCT(('Final Calculation Sheet'!$V$4:$V$40=$DP$13)*($TV$4:$TV$40=1))&gt;0)</f>
      </c>
      <c r="TX13" t="str">
        <f>=$TX12+--($TW13)</f>
      </c>
      <c r="TY13" t="str">
        <f>IF(ROW()-3&gt;MAX($TX$4:$TX$40),"",INDEX($DP$4:$DP$40,MATCH(ROW()-3,$TX$4:$TX$40,0)))</f>
      </c>
      <c r="TZ13" t="str">
        <f>IF(COUNTIF('Final Calculation Sheet'!$AL13:$BG13,0)+COUNTIF('Final Calculation Sheet'!$BI13:$BS13,0)&gt;0,0,1)</f>
      </c>
      <c r="UA13" t="str">
        <f>IF($DU$13="",FALSE,SUMPRODUCT(('Final Calculation Sheet'!$W$4:$W$40=$DU$13)*($TZ$4:$TZ$40=1))&gt;0)</f>
      </c>
      <c r="UB13" t="str">
        <f>=$UB12+--($UA13)</f>
      </c>
      <c r="UC13" t="str">
        <f>IF(ROW()-3&gt;MAX($UB$4:$UB$40),"",INDEX($DU$4:$DU$40,MATCH(ROW()-3,$UB$4:$UB$40,0)))</f>
      </c>
      <c r="UD13" t="str">
        <f>IF(COUNTIF('Final Calculation Sheet'!$AL13:$BH13,0)+COUNTIF('Final Calculation Sheet'!$BJ13:$BS13,0)&gt;0,0,1)</f>
      </c>
      <c r="UE13" t="str">
        <f>IF($DZ$13="",FALSE,SUMPRODUCT(('Final Calculation Sheet'!$X$4:$X$40=$DZ$13)*($UD$4:$UD$40=1))&gt;0)</f>
      </c>
      <c r="UF13" t="str">
        <f>=$UF12+--($UE13)</f>
      </c>
      <c r="UG13" t="str">
        <f>IF(ROW()-3&gt;MAX($UF$4:$UF$40),"",INDEX($DZ$4:$DZ$40,MATCH(ROW()-3,$UF$4:$UF$40,0)))</f>
      </c>
      <c r="UH13" t="str">
        <f>IF(COUNTIF('Final Calculation Sheet'!$AL13:$BI13,0)+COUNTIF('Final Calculation Sheet'!$BK13:$BS13,0)&gt;0,0,1)</f>
      </c>
      <c r="UI13" t="str">
        <f>IF($EE$13="",FALSE,SUMPRODUCT(('Final Calculation Sheet'!$Y$4:$Y$40=$EE$13)*($UH$4:$UH$40=1))&gt;0)</f>
      </c>
      <c r="UJ13" t="str">
        <f>=$UJ12+--($UI13)</f>
      </c>
      <c r="UK13" t="str">
        <f>IF(ROW()-3&gt;MAX($UJ$4:$UJ$40),"",INDEX($EE$4:$EE$40,MATCH(ROW()-3,$UJ$4:$UJ$40,0)))</f>
      </c>
      <c r="UL13" t="str">
        <f>IF(COUNTIF('Final Calculation Sheet'!$AL13:$BJ13,0)+COUNTIF('Final Calculation Sheet'!$BL13:$BS13,0)&gt;0,0,1)</f>
      </c>
      <c r="UM13" t="str">
        <f>IF($EJ$13="",FALSE,SUMPRODUCT(('Final Calculation Sheet'!$Z$4:$Z$40=$EJ$13)*($UL$4:$UL$40=1))&gt;0)</f>
      </c>
      <c r="UN13" t="str">
        <f>=$UN12+--($UM13)</f>
      </c>
      <c r="UO13" t="str">
        <f>IF(ROW()-3&gt;MAX($UN$4:$UN$40),"",INDEX($EJ$4:$EJ$40,MATCH(ROW()-3,$UN$4:$UN$40,0)))</f>
      </c>
      <c r="UP13" t="str">
        <f>IF(COUNTIF('Final Calculation Sheet'!$AL13:$BK13,0)+COUNTIF('Final Calculation Sheet'!$BM13:$BS13,0)&gt;0,0,1)</f>
      </c>
      <c r="UQ13" t="str">
        <f>IF($EO$13="",FALSE,SUMPRODUCT(('Final Calculation Sheet'!$AA$4:$AA$40=$EO$13)*($UP$4:$UP$40=1))&gt;0)</f>
      </c>
      <c r="UR13" t="str">
        <f>=$UR12+--($UQ13)</f>
      </c>
      <c r="US13" t="str">
        <f>IF(ROW()-3&gt;MAX($UR$4:$UR$40),"",INDEX($EO$4:$EO$40,MATCH(ROW()-3,$UR$4:$UR$40,0)))</f>
      </c>
      <c r="UT13" t="str">
        <f>IF(COUNTIF('Final Calculation Sheet'!$AL13:$BL13,0)+COUNTIF('Final Calculation Sheet'!$BN13:$BS13,0)&gt;0,0,1)</f>
      </c>
      <c r="UU13" t="str">
        <f>IF($ET$13="",FALSE,SUMPRODUCT(('Final Calculation Sheet'!$AB$4:$AB$40=$ET$13)*($UT$4:$UT$40=1))&gt;0)</f>
      </c>
      <c r="UV13" t="str">
        <f>=$UV12+--($UU13)</f>
      </c>
      <c r="UW13" t="str">
        <f>IF(ROW()-3&gt;MAX($UV$4:$UV$40),"",INDEX($ET$4:$ET$40,MATCH(ROW()-3,$UV$4:$UV$40,0)))</f>
      </c>
      <c r="UX13" t="str">
        <f>IF(COUNTIF('Final Calculation Sheet'!$AL13:$BM13,0)+COUNTIF('Final Calculation Sheet'!$BO13:$BS13,0)&gt;0,0,1)</f>
      </c>
      <c r="UY13" t="str">
        <f>IF($EY$13="",FALSE,SUMPRODUCT(('Final Calculation Sheet'!$AC$4:$AC$40=$EY$13)*($UX$4:$UX$40=1))&gt;0)</f>
      </c>
      <c r="UZ13" t="str">
        <f>=$UZ12+--($UY13)</f>
      </c>
      <c r="VA13" t="str">
        <f>IF(ROW()-3&gt;MAX($UZ$4:$UZ$40),"",INDEX($EY$4:$EY$40,MATCH(ROW()-3,$UZ$4:$UZ$40,0)))</f>
      </c>
      <c r="VB13" t="str">
        <f>IF(COUNTIF('Final Calculation Sheet'!$AL13:$BN13,0)+COUNTIF('Final Calculation Sheet'!$BP13:$BS13,0)&gt;0,0,1)</f>
      </c>
      <c r="VC13" t="str">
        <f>IF($FD$13="",FALSE,SUMPRODUCT(('Final Calculation Sheet'!$AD$4:$AD$40=$FD$13)*($VB$4:$VB$40=1))&gt;0)</f>
      </c>
      <c r="VD13" t="str">
        <f>=$VD12+--($VC13)</f>
      </c>
      <c r="VE13" t="str">
        <f>IF(ROW()-3&gt;MAX($VD$4:$VD$40),"",INDEX($FD$4:$FD$40,MATCH(ROW()-3,$VD$4:$VD$40,0)))</f>
      </c>
      <c r="VF13" t="str">
        <f>IF(COUNTIF('Final Calculation Sheet'!$AL13:$BO13,0)+COUNTIF('Final Calculation Sheet'!$BQ13:$BS13,0)&gt;0,0,1)</f>
      </c>
      <c r="VG13" t="str">
        <f>IF($FI$13="",FALSE,SUMPRODUCT(('Final Calculation Sheet'!$AE$4:$AE$40=$FI$13)*($VF$4:$VF$40=1))&gt;0)</f>
      </c>
      <c r="VH13" t="str">
        <f>=$VH12+--($VG13)</f>
      </c>
      <c r="VI13" t="str">
        <f>IF(ROW()-3&gt;MAX($VH$4:$VH$40),"",INDEX($FI$4:$FI$40,MATCH(ROW()-3,$VH$4:$VH$40,0)))</f>
      </c>
      <c r="VJ13" t="str">
        <f>IF(COUNTIF('Final Calculation Sheet'!$AL13:$BP13,0)+COUNTIF('Final Calculation Sheet'!$BR13:$BS13,0)&gt;0,0,1)</f>
      </c>
      <c r="VK13" t="str">
        <f>IF($FN$13="",FALSE,SUMPRODUCT(('Final Calculation Sheet'!$AF$4:$AF$40=$FN$13)*($VJ$4:$VJ$40=1))&gt;0)</f>
      </c>
      <c r="VL13" t="str">
        <f>=$VL12+--($VK13)</f>
      </c>
      <c r="VM13" t="str">
        <f>IF(ROW()-3&gt;MAX($VL$4:$VL$40),"",INDEX($FN$4:$FN$40,MATCH(ROW()-3,$VL$4:$VL$40,0)))</f>
      </c>
      <c r="VN13" t="str">
        <f>IF(COUNTIF('Final Calculation Sheet'!$AL13:$BQ13,0)+COUNTIF('Final Calculation Sheet'!$BS13:$BS13,0)&gt;0,0,1)</f>
      </c>
      <c r="VO13" t="str">
        <f>IF($FS$13="",FALSE,SUMPRODUCT(('Final Calculation Sheet'!$AG$4:$AG$40=$FS$13)*($VN$4:$VN$40=1))&gt;0)</f>
      </c>
      <c r="VP13" t="str">
        <f>=$VP12+--($VO13)</f>
      </c>
      <c r="VQ13" t="str">
        <f>IF(ROW()-3&gt;MAX($VP$4:$VP$40),"",INDEX($FS$4:$FS$40,MATCH(ROW()-3,$VP$4:$VP$40,0)))</f>
      </c>
      <c r="VR13" t="str">
        <f>IF(COUNTIF('Final Calculation Sheet'!$AL13:$BR13,0)&gt;0,0,1)</f>
      </c>
      <c r="VS13" t="str">
        <f>IF($QO$13="",FALSE,SUMPRODUCT(('Final Calculation Sheet'!$AH$4:$AH$40=$QO$13)*($VR$4:$VR$40=1))&gt;0)</f>
      </c>
      <c r="VT13" t="str">
        <f>=$VT12+--($VS13)</f>
      </c>
      <c r="VU13" t="str">
        <f>IF(ROW()-3&gt;MAX($VT$4:$VT$40),"",INDEX($QO$4:$QO$40,MATCH(ROW()-3,$VT$4:$VT$40,0)))</f>
      </c>
    </row>
    <row r="14">
      <c r="A14">
        <f>IF(IFERROR('Final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IF(IFERROR('Final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s="55">
        <f>IF('Final Calculation Sheet'!$C$14="","",'Final Calculation Sheet'!$C$14)</f>
        <v/>
      </c>
      <c r="AP14">
        <f>IF(AO14="","",COUNTIFS(AO$4:AO$40,"&lt;"&amp;AO14,AO$4:AO$40,"&lt;&gt;"&amp;"")+COUNTIF(AO$4:AO14,AO14))</f>
        <v/>
      </c>
      <c r="AQ14" s="55">
        <f>IF(ROW()-3&gt;COUNTIF(AO$4:AO$40,"&lt;&gt;"&amp;""),"",INDEX(AO$4:AO$40,MATCH(ROW()-3,AP$4:AP$40,0)))</f>
        <v/>
      </c>
      <c r="AR14">
        <f>AR13+IF(AND(AQ14&lt;&gt;"",COUNTIF(AQ$4:AQ14,AQ14)=1),1,0)</f>
        <v/>
      </c>
      <c r="AS14" s="55">
        <f>IF(ROW()-3&gt;MAX(AR$4:AR$40),"",INDEX(AQ$4:AQ$40,MATCH(ROW()-3,AR$4:AR$40,0)))</f>
        <v/>
      </c>
      <c r="AT14" s="55">
        <f>IF('Final Calculation Sheet'!$H$14="","",'Final Calculation Sheet'!$H$14)</f>
        <v/>
      </c>
      <c r="AU14">
        <f>IF(AT14="","",COUNTIFS(AT$4:AT$40,"&lt;"&amp;AT14,AT$4:AT$40,"&lt;&gt;"&amp;"")+COUNTIF(AT$4:AT14,AT14))</f>
        <v/>
      </c>
      <c r="AV14" s="55">
        <f>IF(ROW()-3&gt;COUNTIF(AT$4:AT$40,"&lt;&gt;"&amp;""),"",INDEX(AT$4:AT$40,MATCH(ROW()-3,AU$4:AU$40,0)))</f>
        <v/>
      </c>
      <c r="AW14">
        <f>AW13+IF(AND(AV14&lt;&gt;"",COUNTIF(AV$4:AV14,AV14)=1),1,0)</f>
        <v/>
      </c>
      <c r="AX14" s="55">
        <f>IF(ROW()-3&gt;MAX(AW$4:AW$40),"",INDEX(AV$4:AV$40,MATCH(ROW()-3,AW$4:AW$40,0)))</f>
        <v/>
      </c>
      <c r="AY14" s="55">
        <f>IF('Final Calculation Sheet'!$I$14="","",'Final Calculation Sheet'!$I$14)</f>
        <v/>
      </c>
      <c r="AZ14">
        <f>IF(AY14="","",COUNTIFS(AY$4:AY$40,"&lt;"&amp;AY14,AY$4:AY$40,"&lt;&gt;"&amp;"")+COUNTIF(AY$4:AY14,AY14))</f>
        <v/>
      </c>
      <c r="BA14" s="55">
        <f>IF(ROW()-3&gt;COUNTIF(AY$4:AY$40,"&lt;&gt;"&amp;""),"",INDEX(AY$4:AY$40,MATCH(ROW()-3,AZ$4:AZ$40,0)))</f>
        <v/>
      </c>
      <c r="BB14">
        <f>BB13+IF(AND(BA14&lt;&gt;"",COUNTIF(BA$4:BA14,BA14)=1),1,0)</f>
        <v/>
      </c>
      <c r="BC14" s="55">
        <f>IF(ROW()-3&gt;MAX(BB$4:BB$40),"",INDEX(BA$4:BA$40,MATCH(ROW()-3,BB$4:BB$40,0)))</f>
        <v/>
      </c>
      <c r="BD14" s="55">
        <f>IF('Final Calculation Sheet'!$J$14="","",'Final Calculation Sheet'!$J$14)</f>
        <v/>
      </c>
      <c r="BE14">
        <f>IF(BD14="","",COUNTIFS(BD$4:BD$40,"&lt;"&amp;BD14,BD$4:BD$40,"&lt;&gt;"&amp;"")+COUNTIF(BD$4:BD14,BD14))</f>
        <v/>
      </c>
      <c r="BF14" s="55">
        <f>IF(ROW()-3&gt;COUNTIF(BD$4:BD$40,"&lt;&gt;"&amp;""),"",INDEX(BD$4:BD$40,MATCH(ROW()-3,BE$4:BE$40,0)))</f>
        <v/>
      </c>
      <c r="BG14">
        <f>BG13+IF(AND(BF14&lt;&gt;"",COUNTIF(BF$4:BF14,BF14)=1),1,0)</f>
        <v/>
      </c>
      <c r="BH14" s="55">
        <f>IF(ROW()-3&gt;MAX(BG$4:BG$40),"",INDEX(BF$4:BF$40,MATCH(ROW()-3,BG$4:BG$40,0)))</f>
        <v/>
      </c>
      <c r="BI14" s="55">
        <f>IF('Final Calculation Sheet'!$K$14="","",'Final Calculation Sheet'!$K$14)</f>
        <v/>
      </c>
      <c r="BJ14">
        <f>IF(BI14="","",COUNTIFS(BI$4:BI$40,"&lt;"&amp;BI14,BI$4:BI$40,"&lt;&gt;"&amp;"")+COUNTIF(BI$4:BI14,BI14))</f>
        <v/>
      </c>
      <c r="BK14" s="55">
        <f>IF(ROW()-3&gt;COUNTIF(BI$4:BI$40,"&lt;&gt;"&amp;""),"",INDEX(BI$4:BI$40,MATCH(ROW()-3,BJ$4:BJ$40,0)))</f>
        <v/>
      </c>
      <c r="BL14">
        <f>BL13+IF(AND(BK14&lt;&gt;"",COUNTIF(BK$4:BK14,BK14)=1),1,0)</f>
        <v/>
      </c>
      <c r="BM14" s="55">
        <f>IF(ROW()-3&gt;MAX(BL$4:BL$40),"",INDEX(BK$4:BK$40,MATCH(ROW()-3,BL$4:BL$40,0)))</f>
        <v/>
      </c>
      <c r="BN14" s="55">
        <f>IF('Final Calculation Sheet'!$L$14="","",'Final Calculation Sheet'!$L$14)</f>
        <v/>
      </c>
      <c r="BO14">
        <f>IF(BN14="","",COUNTIFS(BN$4:BN$40,"&lt;"&amp;BN14,BN$4:BN$40,"&lt;&gt;"&amp;"")+COUNTIF(BN$4:BN14,BN14))</f>
        <v/>
      </c>
      <c r="BP14" s="55">
        <f>IF(ROW()-3&gt;COUNTIF(BN$4:BN$40,"&lt;&gt;"&amp;""),"",INDEX(BN$4:BN$40,MATCH(ROW()-3,BO$4:BO$40,0)))</f>
        <v/>
      </c>
      <c r="BQ14">
        <f>BQ13+IF(AND(BP14&lt;&gt;"",COUNTIF(BP$4:BP14,BP14)=1),1,0)</f>
        <v/>
      </c>
      <c r="BR14" s="55">
        <f>IF(ROW()-3&gt;MAX(BQ$4:BQ$40),"",INDEX(BP$4:BP$40,MATCH(ROW()-3,BQ$4:BQ$40,0)))</f>
        <v/>
      </c>
      <c r="BS14" s="55">
        <f>IF('Final Calculation Sheet'!$M$14="","",'Final Calculation Sheet'!$M$14)</f>
        <v/>
      </c>
      <c r="BT14">
        <f>IF(BS14="","",COUNTIFS(BS$4:BS$40,"&lt;"&amp;BS14,BS$4:BS$40,"&lt;&gt;"&amp;"")+COUNTIF(BS$4:BS14,BS14))</f>
        <v/>
      </c>
      <c r="BU14" s="55">
        <f>IF(ROW()-3&gt;COUNTIF(BS$4:BS$40,"&lt;&gt;"&amp;""),"",INDEX(BS$4:BS$40,MATCH(ROW()-3,BT$4:BT$40,0)))</f>
        <v/>
      </c>
      <c r="BV14">
        <f>BV13+IF(AND(BU14&lt;&gt;"",COUNTIF(BU$4:BU14,BU14)=1),1,0)</f>
        <v/>
      </c>
      <c r="BW14" s="55">
        <f>IF(ROW()-3&gt;MAX(BV$4:BV$40),"",INDEX(BU$4:BU$40,MATCH(ROW()-3,BV$4:BV$40,0)))</f>
        <v/>
      </c>
      <c r="BX14" s="138">
        <f>IF('Final Calculation Sheet'!$N$14="","",'Final Calculation Sheet'!$N$14)</f>
        <v/>
      </c>
      <c r="BY14">
        <f>IF(BX14="","",COUNTIFS(BX$4:BX$40,"&lt;"&amp;BX14,BX$4:BX$40,"&lt;&gt;"&amp;"")+COUNTIF(BX$4:BX14,BX14))</f>
        <v/>
      </c>
      <c r="BZ14" s="138">
        <f>IF(ROW()-3&gt;COUNTIF(BX$4:BX$40,"&lt;&gt;"&amp;""),"",INDEX(BX$4:BX$40,MATCH(ROW()-3,BY$4:BY$40,0)))</f>
        <v/>
      </c>
      <c r="CA14">
        <f>CA13+IF(AND(BZ14&lt;&gt;"",COUNTIF(BZ$4:BZ14,BZ14)=1),1,0)</f>
        <v/>
      </c>
      <c r="CB14" s="138">
        <f>IF(ROW()-3&gt;MAX(CA$4:CA$40),"",INDEX(BZ$4:BZ$40,MATCH(ROW()-3,CA$4:CA$40,0)))</f>
        <v/>
      </c>
      <c r="CC14" s="55">
        <f>IF('Final Calculation Sheet'!$O$14="","",'Final Calculation Sheet'!$O$14)</f>
        <v/>
      </c>
      <c r="CD14">
        <f>IF(CC14="","",COUNTIFS(CC$4:CC$40,"&lt;"&amp;CC14,CC$4:CC$40,"&lt;&gt;"&amp;"")+COUNTIF(CC$4:CC14,CC14))</f>
        <v/>
      </c>
      <c r="CE14" s="55">
        <f>IF(ROW()-3&gt;COUNTIF(CC$4:CC$40,"&lt;&gt;"&amp;""),"",INDEX(CC$4:CC$40,MATCH(ROW()-3,CD$4:CD$40,0)))</f>
        <v/>
      </c>
      <c r="CF14">
        <f>CF13+IF(AND(CE14&lt;&gt;"",COUNTIF(CE$4:CE14,CE14)=1),1,0)</f>
        <v/>
      </c>
      <c r="CG14" s="55">
        <f>IF(ROW()-3&gt;MAX(CF$4:CF$40),"",INDEX(CE$4:CE$40,MATCH(ROW()-3,CF$4:CF$40,0)))</f>
        <v/>
      </c>
      <c r="CH14" s="55">
        <f>IF('Final Calculation Sheet'!$P$14="","",'Final Calculation Sheet'!$P$14)</f>
        <v/>
      </c>
      <c r="CI14">
        <f>IF(CH14="","",COUNTIFS(CH$4:CH$40,"&lt;"&amp;CH14,CH$4:CH$40,"&lt;&gt;"&amp;"")+COUNTIF(CH$4:CH14,CH14))</f>
        <v/>
      </c>
      <c r="CJ14" s="55">
        <f>IF(ROW()-3&gt;COUNTIF(CH$4:CH$40,"&lt;&gt;"&amp;""),"",INDEX(CH$4:CH$40,MATCH(ROW()-3,CI$4:CI$40,0)))</f>
        <v/>
      </c>
      <c r="CK14">
        <f>CK13+IF(AND(CJ14&lt;&gt;"",COUNTIF(CJ$4:CJ14,CJ14)=1),1,0)</f>
        <v/>
      </c>
      <c r="CL14" s="55">
        <f>IF(ROW()-3&gt;MAX(CK$4:CK$40),"",INDEX(CJ$4:CJ$40,MATCH(ROW()-3,CK$4:CK$40,0)))</f>
        <v/>
      </c>
      <c r="CM14" s="139">
        <f>IF('Final Calculation Sheet'!$Q$14="","",'Final Calculation Sheet'!$Q$14)</f>
        <v/>
      </c>
      <c r="CN14">
        <f>IF(CM14="","",COUNTIFS(CM$4:CM$40,"&lt;"&amp;CM14,CM$4:CM$40,"&lt;&gt;"&amp;"")+COUNTIF(CM$4:CM14,CM14))</f>
        <v/>
      </c>
      <c r="CO14" s="139">
        <f>IF(ROW()-3&gt;COUNTIF(CM$4:CM$40,"&lt;&gt;"&amp;""),"",INDEX(CM$4:CM$40,MATCH(ROW()-3,CN$4:CN$40,0)))</f>
        <v/>
      </c>
      <c r="CP14">
        <f>CP13+IF(AND(CO14&lt;&gt;"",COUNTIF(CO$4:CO14,CO14)=1),1,0)</f>
        <v/>
      </c>
      <c r="CQ14">
        <f>IF(ROW()-3&gt;MAX(CP$4:CP$40),"",INDEX(CO$4:CO$40,MATCH(ROW()-3,CP$4:CP$40,0)))</f>
        <v/>
      </c>
      <c r="CR14" s="55">
        <f>IF('Final Calculation Sheet'!$R$14="","",'Final Calculation Sheet'!$R$14)</f>
        <v/>
      </c>
      <c r="CS14">
        <f>IF(CR14="","",COUNTIFS(CR$4:CR$40,"&lt;"&amp;CR14,CR$4:CR$40,"&lt;&gt;"&amp;"")+COUNTIF(CR$4:CR14,CR14))</f>
        <v/>
      </c>
      <c r="CT14" s="55">
        <f>IF(ROW()-3&gt;COUNTIF(CR$4:CR$40,"&lt;&gt;"&amp;""),"",INDEX(CR$4:CR$40,MATCH(ROW()-3,CS$4:CS$40,0)))</f>
        <v/>
      </c>
      <c r="CU14">
        <f>CU13+IF(AND(CT14&lt;&gt;"",COUNTIF(CT$4:CT14,CT14)=1),1,0)</f>
        <v/>
      </c>
      <c r="CV14">
        <f>IF(ROW()-3&gt;MAX(CU$4:CU$40),"",INDEX(CT$4:CT$40,MATCH(ROW()-3,CU$4:CU$40,0)))</f>
        <v/>
      </c>
      <c r="CW14" s="55">
        <f>IF('Final Calculation Sheet'!$S$14="","",'Final Calculation Sheet'!$S$14)</f>
        <v/>
      </c>
      <c r="CX14">
        <f>IF(CW14="","",COUNTIFS(CW$4:CW$40,"&lt;"&amp;CW14,CW$4:CW$40,"&lt;&gt;"&amp;"")+COUNTIF(CW$4:CW14,CW14))</f>
        <v/>
      </c>
      <c r="CY14" s="55">
        <f>IF(ROW()-3&gt;COUNTIF(CW$4:CW$40,"&lt;&gt;"&amp;""),"",INDEX(CW$4:CW$40,MATCH(ROW()-3,CX$4:CX$40,0)))</f>
        <v/>
      </c>
      <c r="CZ14">
        <f>CZ13+IF(AND(CY14&lt;&gt;"",COUNTIF(CY$4:CY14,CY14)=1),1,0)</f>
        <v/>
      </c>
      <c r="DA14" s="55">
        <f>IF(ROW()-3&gt;MAX(CZ$4:CZ$40),"",INDEX(CY$4:CY$40,MATCH(ROW()-3,CZ$4:CZ$40,0)))</f>
        <v/>
      </c>
      <c r="DB14" s="55">
        <f>IF('Final Calculation Sheet'!$T$14="","",'Final Calculation Sheet'!$T$14)</f>
        <v/>
      </c>
      <c r="DC14">
        <f>IF(DB14="","",COUNTIFS(DB$4:DB$40,"&lt;"&amp;DB14,DB$4:DB$40,"&lt;&gt;"&amp;"")+COUNTIF(DB$4:DB14,DB14))</f>
        <v/>
      </c>
      <c r="DD14" s="55">
        <f>IF(ROW()-3&gt;COUNTIF(DB$4:DB$40,"&lt;&gt;"&amp;""),"",INDEX(DB$4:DB$40,MATCH(ROW()-3,DC$4:DC$40,0)))</f>
        <v/>
      </c>
      <c r="DE14">
        <f>DE13+IF(AND(DD14&lt;&gt;"",COUNTIF(DD$4:DD14,DD14)=1),1,0)</f>
        <v/>
      </c>
      <c r="DF14" s="55">
        <f>IF(ROW()-3&gt;MAX(DE$4:DE$40),"",INDEX(DD$4:DD$40,MATCH(ROW()-3,DE$4:DE$40,0)))</f>
        <v/>
      </c>
      <c r="DG14" s="140">
        <f>IF('Final Calculation Sheet'!$U$14="","",'Final Calculation Sheet'!$U$14)</f>
        <v/>
      </c>
      <c r="DH14">
        <f>IF(DG14="","",COUNTIFS(DG$4:DG$40,"&lt;"&amp;DG14,DG$4:DG$40,"&lt;&gt;"&amp;"")+COUNTIF(DG$4:DG14,DG14))</f>
        <v/>
      </c>
      <c r="DI14" s="140">
        <f>IF(ROW()-3&gt;COUNTIF(DG$4:DG$40,"&lt;&gt;"&amp;""),"",INDEX(DG$4:DG$40,MATCH(ROW()-3,DH$4:DH$40,0)))</f>
        <v/>
      </c>
      <c r="DJ14">
        <f>DJ13+IF(AND(DI14&lt;&gt;"",COUNTIF(DI$4:DI14,DI14)=1),1,0)</f>
        <v/>
      </c>
      <c r="DK14" s="140">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s="55">
        <f>IF('Final Calculation Sheet'!$W$14="","",'Final Calculation Sheet'!$W$14)</f>
        <v/>
      </c>
      <c r="DR14">
        <f>IF(DQ14="","",COUNTIFS(DQ$4:DQ$40,"&lt;"&amp;DQ14,DQ$4:DQ$40,"&lt;&gt;"&amp;"")+COUNTIF(DQ$4:DQ14,DQ14))</f>
        <v/>
      </c>
      <c r="DS14" s="55">
        <f>IF(ROW()-3&gt;COUNTIF(DQ$4:DQ$40,"&lt;&gt;"&amp;""),"",INDEX(DQ$4:DQ$40,MATCH(ROW()-3,DR$4:DR$40,0)))</f>
        <v/>
      </c>
      <c r="DT14">
        <f>DT13+IF(AND(DS14&lt;&gt;"",COUNTIF(DS$4:DS14,DS14)=1),1,0)</f>
        <v/>
      </c>
      <c r="DU14" s="55">
        <f>IF(ROW()-3&gt;MAX(DT$4:DT$40),"",INDEX(DS$4:DS$40,MATCH(ROW()-3,DT$4:DT$40,0)))</f>
        <v/>
      </c>
      <c r="DV14" s="55">
        <f>IF('Final Calculation Sheet'!$X$14="","",'Final Calculation Sheet'!$X$14)</f>
        <v/>
      </c>
      <c r="DW14">
        <f>IF(DV14="","",COUNTIFS(DV$4:DV$40,"&lt;"&amp;DV14,DV$4:DV$40,"&lt;&gt;"&amp;"")+COUNTIF(DV$4:DV14,DV14))</f>
        <v/>
      </c>
      <c r="DX14" s="55">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s="55">
        <f>IF('Final Calculation Sheet'!$Z$14="","",'Final Calculation Sheet'!$Z$14)</f>
        <v/>
      </c>
      <c r="EG14">
        <f>IF(EF14="","",COUNTIFS(EF$4:EF$40,"&lt;"&amp;EF14,EF$4:EF$40,"&lt;&gt;"&amp;"")+COUNTIF(EF$4:EF14,EF14))</f>
        <v/>
      </c>
      <c r="EH14" s="55">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s="55">
        <f>IF('Final Calculation Sheet'!$AC$14="","",'Final Calculation Sheet'!$AC$14)</f>
        <v/>
      </c>
      <c r="EV14">
        <f>IF(EU14="","",COUNTIFS(EU$4:EU$40,"&lt;"&amp;EU14,EU$4:EU$40,"&lt;&gt;"&amp;"")+COUNTIF(EU$4:EU14,EU14))</f>
        <v/>
      </c>
      <c r="EW14" s="55">
        <f>IF(ROW()-3&gt;COUNTIF(EU$4:EU$40,"&lt;&gt;"&amp;""),"",INDEX(EU$4:EU$40,MATCH(ROW()-3,EV$4:EV$40,0)))</f>
        <v/>
      </c>
      <c r="EX14">
        <f>EX13+IF(AND(EW14&lt;&gt;"",COUNTIF(EW$4:EW14,EW14)=1),1,0)</f>
        <v/>
      </c>
      <c r="EY14" s="55">
        <f>IF(ROW()-3&gt;MAX(EX$4:EX$40),"",INDEX(EW$4:EW$40,MATCH(ROW()-3,EX$4:EX$40,0)))</f>
        <v/>
      </c>
      <c r="EZ14" s="55">
        <f>IF('Final Calculation Sheet'!$AD$14="","",'Final Calculation Sheet'!$AD$14)</f>
        <v/>
      </c>
      <c r="FA14">
        <f>IF(EZ14="","",COUNTIFS(EZ$4:EZ$40,"&lt;"&amp;EZ14,EZ$4:EZ$40,"&lt;&gt;"&amp;"")+COUNTIF(EZ$4:EZ14,EZ14))</f>
        <v/>
      </c>
      <c r="FB14" s="55">
        <f>IF(ROW()-3&gt;COUNTIF(EZ$4:EZ$40,"&lt;&gt;"&amp;""),"",INDEX(EZ$4:EZ$40,MATCH(ROW()-3,FA$4:FA$40,0)))</f>
        <v/>
      </c>
      <c r="FC14">
        <f>FC13+IF(AND(FB14&lt;&gt;"",COUNTIF(FB$4:FB14,FB14)=1),1,0)</f>
        <v/>
      </c>
      <c r="FD14" s="55">
        <f>IF(ROW()-3&gt;MAX(FC$4:FC$40),"",INDEX(FB$4:FB$40,MATCH(ROW()-3,FC$4:FC$40,0)))</f>
        <v/>
      </c>
      <c r="FE14">
        <f>IF('Final Calculation Sheet'!$AF$14="","",'Final Calculation Sheet'!$AF$14)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s="141">
        <f>IF('Final Calculation Sheet'!$AG$14="","",'Final Calculation Sheet'!$AG$14)</f>
        <v/>
      </c>
      <c r="FK14">
        <f>IF(FJ14="","",COUNTIFS(FJ$4:FJ$40,"&lt;"&amp;FJ14,FJ$4:FJ$40,"&lt;&gt;"&amp;"")+COUNTIF(FJ$4:FJ14,FJ14))</f>
        <v/>
      </c>
      <c r="FL14" s="141">
        <f>IF(ROW()-3&gt;COUNTIF(FJ$4:FJ$40,"&lt;&gt;"&amp;""),"",INDEX(FJ$4:FJ$40,MATCH(ROW()-3,FK$4:FK$40,0)))</f>
        <v/>
      </c>
      <c r="FM14">
        <f>FM13+IF(AND(FL14&lt;&gt;"",COUNTIF(FL$4:FL14,FL14)=1),1,0)</f>
        <v/>
      </c>
      <c r="FN14">
        <f>IF(ROW()-3&gt;MAX(FM$4:FM$40),"",INDEX(FL$4:FL$40,MATCH(ROW()-3,FM$4:FM$40,0)))</f>
        <v/>
      </c>
      <c r="FO14">
        <f>IF('Final Calculation Sheet'!$AH$14="","",'Final Calculation Sheet'!$AH$14)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c r="FY14">
        <f>IF(COUNTIF('Live Search'!BM$13:BO$13,0)+COUNTIF('Live Search'!BQ$13:CU$13,0)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4">
        <f>IF($Y$14="",FALSE,SUMPRODUCT(('Final Calculation Sheet'!$B$4:$B$40=$Y$14)*($FY$6:$FY$42=1))&gt;0)</f>
        <v/>
      </c>
      <c r="GA14">
        <f>$GA$13+--($FZ$14)</f>
        <v/>
      </c>
      <c r="GB14">
        <f>IF(ROW()-3&gt;MAX($GA$4:$GA$40),"",INDEX($Y$4:$Y$40,MATCH(ROW()-3,$GA$4:$GA$40,0)))</f>
        <v/>
      </c>
      <c r="GC14">
        <f>IF(COUNTIF('Live Search'!BM$13:BM$13,0)+COUNTIF('Live Search'!BO$13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D14">
        <f>IF($O$14="",FALSE,SUMPRODUCT(('Final Calculation Sheet'!$F$4:$F$40=$O$14)*($GC$6:$GC$42=1))&gt;0)</f>
        <v/>
      </c>
      <c r="GE14">
        <f>$GE$13+--($GD14)</f>
        <v/>
      </c>
      <c r="GF14">
        <f>IF(ROW()-3&gt;MAX($GE$4:$GE$40),"",INDEX($O$4:$O$40,MATCH(ROW()-3,$GE$4:$GE$40,0)))</f>
        <v/>
      </c>
      <c r="GG14">
        <f>IF(COUNTIF('Live Search'!BM$13:BN$13,0)+COUNTIF('Live Search'!BP$13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H14">
        <f>IF($T$14="",FALSE,SUMPRODUCT(('Final Calculation Sheet'!$G$4:$G$40=$T$14)*($GG$6:$GG$42=1))&gt;0)</f>
        <v/>
      </c>
      <c r="GI14">
        <f>$GI$13+--($GH14)</f>
        <v/>
      </c>
      <c r="GJ14">
        <f>IF(ROW()-3&gt;MAX($GI$4:$GI$40),"",INDEX($T$4:$T$40,MATCH(ROW()-3,$GI$4:$GI$40,0)))</f>
        <v/>
      </c>
      <c r="GK14">
        <f>IF(COUNTIF('Live Search'!BM$13:BP$13,0)+COUNTIF('Live Search'!BR$13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L14">
        <f>IF($AD$14="",FALSE,SUMPRODUCT(('Final Calculation Sheet'!$D$4:$D$40=$AD$14)*($GK$6:$GK$42=1))&gt;0)</f>
        <v/>
      </c>
      <c r="GM14">
        <f>$GM$13+--($GL14)</f>
        <v/>
      </c>
      <c r="GN14">
        <f>IF(ROW()-3&gt;MAX($GM$4:$GM$40),"",INDEX($AD$4:$AD$40,MATCH(ROW()-3,$GM$4:$GM$40,0)))</f>
        <v/>
      </c>
      <c r="GO14">
        <f>IF(COUNTIF('Live Search'!BM$13:BQ$13,0)+COUNTIF('Live Search'!BS$13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P14">
        <f>IF($AI$14="",FALSE,SUMPRODUCT(('Final Calculation Sheet'!$A$4:$A$40=$AI$14)*($GO$6:$GO$42=1))&gt;0)</f>
        <v/>
      </c>
      <c r="GQ14">
        <f>$GQ$13+--($GP14)</f>
        <v/>
      </c>
      <c r="GR14">
        <f>IF(ROW()-3&gt;MAX($GQ$4:$GQ$40),"",INDEX($AI$4:$AI$40,MATCH(ROW()-3,$GQ$4:$GQ$40,0)))</f>
        <v/>
      </c>
      <c r="GS14">
        <f>IF(COUNTIF('Live Search'!BM$13:BR$13,0)+COUNTIF('Live Search'!BT$13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T14">
        <f>IF($AN$14="",FALSE,SUMPRODUCT(('Final Calculation Sheet'!$E$4:$E$40=$AN$14)*($GS$6:$GS$42=1))&gt;0)</f>
        <v/>
      </c>
      <c r="GU14">
        <f>$GU$13+--($GT14)</f>
        <v/>
      </c>
      <c r="GV14">
        <f>IF(ROW()-3&gt;MAX($GU$4:$GU$40),"",INDEX($AN$4:$AN$40,MATCH(ROW()-3,$GU$4:$GU$40,0)))</f>
        <v/>
      </c>
      <c r="GW14">
        <f>IF(COUNTIF('Live Search'!BM$13:BS$13,0)+COUNTIF('Live Search'!BU$13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GX14">
        <f>IF($AS$14="",FALSE,SUMPRODUCT(('Final Calculation Sheet'!$C$4:$C$40=$AS$14)*($GW$6:$GW$42=1))&gt;0)</f>
        <v/>
      </c>
      <c r="GY14">
        <f>$GY$13+--($GX14)</f>
        <v/>
      </c>
      <c r="GZ14">
        <f>IF(ROW()-3&gt;MAX($GY$4:$GY$40),"",INDEX($AS$4:$AS$40,MATCH(ROW()-3,$GY$4:$GY$40,0)))</f>
        <v/>
      </c>
      <c r="HA14">
        <f>IF(COUNTIF('Live Search'!BM$13:BT$13,0)+COUNTIF('Live Search'!BV$13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B14">
        <f>IF($AX$14="",FALSE,SUMPRODUCT(('Final Calculation Sheet'!$H$4:$H$40=$AX$14)*($HA$6:$HA$42=1))&gt;0)</f>
        <v/>
      </c>
      <c r="HC14">
        <f>$HC$13+--($HB14)</f>
        <v/>
      </c>
      <c r="HD14">
        <f>IF(ROW()-3&gt;MAX($HC$4:$HC$40),"",INDEX($AX$4:$AX$40,MATCH(ROW()-3,$HC$4:$HC$40,0)))</f>
        <v/>
      </c>
      <c r="HE14">
        <f>IF(COUNTIF('Live Search'!BM$13:BU$13,0)+COUNTIF('Live Search'!BW$13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F14">
        <f>IF($BC$14="",FALSE,SUMPRODUCT(('Final Calculation Sheet'!$I$4:$I$40=$BC$14)*($HE$6:$HE$42=1))&gt;0)</f>
        <v/>
      </c>
      <c r="HG14">
        <f>$HG$13+--($HF14)</f>
        <v/>
      </c>
      <c r="HH14">
        <f>IF(ROW()-3&gt;MAX($HG$4:$HG$40),"",INDEX($BC$4:$BC$40,MATCH(ROW()-3,$HG$4:$HG$40,0)))</f>
        <v/>
      </c>
      <c r="HI14">
        <f>IF(COUNTIF('Live Search'!BM$13:BV$13,0)+COUNTIF('Live Search'!BX$13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J14">
        <f>IF($BH$14="",FALSE,SUMPRODUCT(('Final Calculation Sheet'!$J$4:$J$40=$BH$14)*($HI$6:$HI$42=1))&gt;0)</f>
        <v/>
      </c>
      <c r="HK14">
        <f>$HK$13+--($HJ14)</f>
        <v/>
      </c>
      <c r="HL14">
        <f>IF(ROW()-3&gt;MAX($HK$4:$HK$40),"",INDEX($BH$4:$BH$40,MATCH(ROW()-3,$HK$4:$HK$40,0)))</f>
        <v/>
      </c>
      <c r="HM14">
        <f>IF(COUNTIF('Live Search'!BM$13:BW$13,0)+COUNTIF('Live Search'!BY$13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N14">
        <f>IF($BM$14="",FALSE,SUMPRODUCT(('Final Calculation Sheet'!$K$4:$K$40=$BM$14)*($HM$6:$HM$42=1))&gt;0)</f>
        <v/>
      </c>
      <c r="HO14">
        <f>$HO$13+--($HN14)</f>
        <v/>
      </c>
      <c r="HP14">
        <f>IF(ROW()-3&gt;MAX($HO$4:$HO$40),"",INDEX($BM$4:$BM$40,MATCH(ROW()-3,$HO$4:$HO$40,0)))</f>
        <v/>
      </c>
      <c r="HQ14">
        <f>IF(COUNTIF('Live Search'!BM$13:BX$13,0)+COUNTIF('Live Search'!BZ$13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R14">
        <f>IF($BR$14="",FALSE,SUMPRODUCT(('Final Calculation Sheet'!$L$4:$L$40=$BR$14)*($HQ$6:$HQ$42=1))&gt;0)</f>
        <v/>
      </c>
      <c r="HS14">
        <f>$HS$13+--($HR14)</f>
        <v/>
      </c>
      <c r="HT14">
        <f>IF(ROW()-3&gt;MAX($HS$4:$HS$40),"",INDEX($BR$4:$BR$40,MATCH(ROW()-3,$HS$4:$HS$40,0)))</f>
        <v/>
      </c>
      <c r="HU14">
        <f>IF(COUNTIF('Live Search'!BM$13:BY$13,0)+COUNTIF('Live Search'!CA$13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V14">
        <f>IF($BW$14="",FALSE,SUMPRODUCT(('Final Calculation Sheet'!$M$4:$M$40=$BW$14)*($HU$6:$HU$42=1))&gt;0)</f>
        <v/>
      </c>
      <c r="HW14">
        <f>$HW$13+--($HV14)</f>
        <v/>
      </c>
      <c r="HX14">
        <f>IF(ROW()-3&gt;MAX($HW$4:$HW$40),"",INDEX($BW$4:$BW$40,MATCH(ROW()-3,$HW$4:$HW$40,0)))</f>
        <v/>
      </c>
      <c r="HY14">
        <f>IF(COUNTIF('Live Search'!BM$13:BZ$13,0)+COUNTIF('Live Search'!CB$13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HZ14">
        <f>IF($CB$14="",FALSE,SUMPRODUCT(('Final Calculation Sheet'!$N$4:$N$40=$CB$14)*($HY$6:$HY$42=1))&gt;0)</f>
        <v/>
      </c>
      <c r="IA14">
        <f>$IA$13+--($HZ14)</f>
        <v/>
      </c>
      <c r="IB14">
        <f>IF(ROW()-3&gt;MAX($IA$4:$IA$40),"",INDEX($CB$4:$CB$40,MATCH(ROW()-3,$IA$4:$IA$40,0)))</f>
        <v/>
      </c>
      <c r="IC14">
        <f>IF(COUNTIF('Live Search'!BM$13:CA$13,0)+COUNTIF('Live Search'!CC$13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D14">
        <f>IF($CG$14="",FALSE,SUMPRODUCT(('Final Calculation Sheet'!$O$4:$O$40=$CG$14)*($IC$6:$IC$42=1))&gt;0)</f>
        <v/>
      </c>
      <c r="IE14">
        <f>$IE$13+--($ID14)</f>
        <v/>
      </c>
      <c r="IF14">
        <f>IF(ROW()-3&gt;MAX($IE$4:$IE$40),"",INDEX($CG$4:$CG$40,MATCH(ROW()-3,$IE$4:$IE$40,0)))</f>
        <v/>
      </c>
      <c r="IG14">
        <f>IF(COUNTIF('Live Search'!BM$13:CB$13,0)+COUNTIF('Live Search'!CD$13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H14">
        <f>IF($CL$14="",FALSE,SUMPRODUCT(('Final Calculation Sheet'!$P$4:$P$40=$CL$14)*($IG$6:$IG$42=1))&gt;0)</f>
        <v/>
      </c>
      <c r="II14">
        <f>$II$13+--($IH14)</f>
        <v/>
      </c>
      <c r="IJ14">
        <f>IF(ROW()-3&gt;MAX($II$4:$II$40),"",INDEX($CL$4:$CL$40,MATCH(ROW()-3,$II$4:$II$40,0)))</f>
        <v/>
      </c>
      <c r="IK14">
        <f>IF(COUNTIF('Live Search'!BM$13:CC$13,0)+COUNTIF('Live Search'!CE$13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L14">
        <f>IF($CQ$14="",FALSE,SUMPRODUCT(('Final Calculation Sheet'!$Q$4:$Q$40=$CQ$14)*($IK$6:$IK$42=1))&gt;0)</f>
        <v/>
      </c>
      <c r="IM14">
        <f>$IM$13+--($IL14)</f>
        <v/>
      </c>
      <c r="IN14">
        <f>IF(ROW()-3&gt;MAX($IM$4:$IM$40),"",INDEX($CQ$4:$CQ$40,MATCH(ROW()-3,$IM$4:$IM$40,0)))</f>
        <v/>
      </c>
      <c r="IO14">
        <f>IF(COUNTIF('Live Search'!BM$13:CD$13,0)+COUNTIF('Live Search'!CF$13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P14">
        <f>IF($CV$14="",FALSE,SUMPRODUCT(('Final Calculation Sheet'!$R$4:$R$40=$CV$14)*($IO$6:$IO$42=1))&gt;0)</f>
        <v/>
      </c>
      <c r="IQ14">
        <f>$IQ$13+--($IP14)</f>
        <v/>
      </c>
      <c r="IR14">
        <f>IF(ROW()-3&gt;MAX($IQ$4:$IQ$40),"",INDEX($CV$4:$CV$40,MATCH(ROW()-3,$IQ$4:$IQ$40,0)))</f>
        <v/>
      </c>
      <c r="IS14">
        <f>IF(COUNTIF('Live Search'!BM$13:CE$13,0)+COUNTIF('Live Search'!CG$13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T14">
        <f>IF($DA$14="",FALSE,SUMPRODUCT(('Final Calculation Sheet'!$S$4:$S$40=$DA$14)*($IS$6:$IS$42=1))&gt;0)</f>
        <v/>
      </c>
      <c r="IU14">
        <f>$IU$13+--($IT14)</f>
        <v/>
      </c>
      <c r="IV14">
        <f>IF(ROW()-3&gt;MAX($IU$4:$IU$40),"",INDEX($DA$4:$DA$40,MATCH(ROW()-3,$IU$4:$IU$40,0)))</f>
        <v/>
      </c>
      <c r="IW14">
        <f>IF(COUNTIF('Live Search'!BM$13:CF$13,0)+COUNTIF('Live Search'!CH$13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IX14">
        <f>IF($DF$14="",FALSE,SUMPRODUCT(('Final Calculation Sheet'!$T$4:$T$40=$DF$14)*($IW$6:$IW$42=1))&gt;0)</f>
        <v/>
      </c>
      <c r="IY14">
        <f>$IY$13+--($IX14)</f>
        <v/>
      </c>
      <c r="IZ14">
        <f>IF(ROW()-3&gt;MAX($IY$4:$IY$40),"",INDEX($DF$4:$DF$40,MATCH(ROW()-3,$IY$4:$IY$40,0)))</f>
        <v/>
      </c>
      <c r="JA14">
        <f>IF(COUNTIF('Live Search'!BM$13:CG$13,0)+COUNTIF('Live Search'!CI$13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B14">
        <f>IF($DK$14="",FALSE,SUMPRODUCT(('Final Calculation Sheet'!$U$4:$U$40=$DK$14)*($JA$6:$JA$42=1))&gt;0)</f>
        <v/>
      </c>
      <c r="JC14">
        <f>$JC$13+--($JB14)</f>
        <v/>
      </c>
      <c r="JD14">
        <f>IF(ROW()-3&gt;MAX($JC$4:$JC$40),"",INDEX($DK$4:$DK$40,MATCH(ROW()-3,$JC$4:$JC$40,0)))</f>
        <v/>
      </c>
      <c r="JE14">
        <f>IF(COUNTIF('Live Search'!BM$13:CH$13,0)+COUNTIF('Live Search'!CJ$13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F14">
        <f>IF($DP$14="",FALSE,SUMPRODUCT(('Final Calculation Sheet'!$V$4:$V$40=$DP$14)*($JE$6:$JE$42=1))&gt;0)</f>
        <v/>
      </c>
      <c r="JG14">
        <f>$JG$13+--($JF14)</f>
        <v/>
      </c>
      <c r="JH14">
        <f>IF(ROW()-3&gt;MAX($JG$4:$JG$40),"",INDEX($DP$4:$DP$40,MATCH(ROW()-3,$JG$4:$JG$40,0)))</f>
        <v/>
      </c>
      <c r="JI14">
        <f>IF(COUNTIF('Live Search'!BM$13:CI$13,0)+COUNTIF('Live Search'!CK$13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J14">
        <f>IF($DU$14="",FALSE,SUMPRODUCT(('Final Calculation Sheet'!$W$4:$W$40=$DU$14)*($JI$6:$JI$42=1))&gt;0)</f>
        <v/>
      </c>
      <c r="JK14">
        <f>$JK$13+--($JJ14)</f>
        <v/>
      </c>
      <c r="JL14">
        <f>IF(ROW()-3&gt;MAX($JK$4:$JK$40),"",INDEX($DU$4:$DU$40,MATCH(ROW()-3,$JK$4:$JK$40,0)))</f>
        <v/>
      </c>
      <c r="JM14">
        <f>IF(COUNTIF('Live Search'!BM$13:CJ$13,0)+COUNTIF('Live Search'!CL$13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N14">
        <f>IF($DZ$14="",FALSE,SUMPRODUCT(('Final Calculation Sheet'!$X$4:$X$40=$DZ$14)*($JM$6:$JM$42=1))&gt;0)</f>
        <v/>
      </c>
      <c r="JO14">
        <f>$JO$13+--($JN14)</f>
        <v/>
      </c>
      <c r="JP14">
        <f>IF(ROW()-3&gt;MAX($JO$4:$JO$40),"",INDEX($DZ$4:$DZ$40,MATCH(ROW()-3,$JO$4:$JO$40,0)))</f>
        <v/>
      </c>
      <c r="JQ14">
        <f>IF(COUNTIF('Live Search'!BM$13:CK$13,0)+COUNTIF('Live Search'!C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R14">
        <f>IF($EE$14="",FALSE,SUMPRODUCT(('Final Calculation Sheet'!$Y$4:$Y$40=$EE$14)*($JQ$6:$JQ$42=1))&gt;0)</f>
        <v/>
      </c>
      <c r="JS14">
        <f>$JS$13+--($JR14)</f>
        <v/>
      </c>
      <c r="JT14">
        <f>IF(ROW()-3&gt;MAX($JS$4:$JS$40),"",INDEX($EE$4:$EE$40,MATCH(ROW()-3,$JS$4:$JS$40,0)))</f>
        <v/>
      </c>
      <c r="JU14">
        <f>IF(COUNTIF('Live Search'!BM$13:CL$13,0)+COUNTIF('Live Search'!CN$13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V14">
        <f>IF($EJ$14="",FALSE,SUMPRODUCT(('Final Calculation Sheet'!$Z$4:$Z$40=$EJ$14)*($JU$6:$JU$42=1))&gt;0)</f>
        <v/>
      </c>
      <c r="JW14">
        <f>$JW$13+--($JV14)</f>
        <v/>
      </c>
      <c r="JX14">
        <f>IF(ROW()-3&gt;MAX($JW$4:$JW$40),"",INDEX($EJ$4:$EJ$40,MATCH(ROW()-3,$JW$4:$JW$40,0)))</f>
        <v/>
      </c>
      <c r="JY14">
        <f>IF(COUNTIF('Live Search'!BM$13:CM$13,0)+COUNTIF('Live Search'!CO$13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JZ14">
        <f>IF($EO$14="",FALSE,SUMPRODUCT(('Final Calculation Sheet'!$AA$4:$AA$40=$EO$14)*($JY$6:$JY$42=1))&gt;0)</f>
        <v/>
      </c>
      <c r="KA14">
        <f>$KA$13+--($JZ14)</f>
        <v/>
      </c>
      <c r="KB14">
        <f>IF(ROW()-3&gt;MAX($KA$4:$KA$40),"",INDEX($EO$4:$EO$40,MATCH(ROW()-3,$KA$4:$KA$40,0)))</f>
        <v/>
      </c>
      <c r="KC14">
        <f>IF(COUNTIF('Live Search'!BM$13:CN$13,0)+COUNTIF('Live Search'!CP$13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D14">
        <f>IF($ET$14="",FALSE,SUMPRODUCT(('Final Calculation Sheet'!$AB$4:$AB$40=$ET$14)*($KC$6:$KC$42=1))&gt;0)</f>
        <v/>
      </c>
      <c r="KE14">
        <f>$KE$13+--($KD14)</f>
        <v/>
      </c>
      <c r="KF14">
        <f>IF(ROW()-3&gt;MAX($KE$4:$KE$40),"",INDEX($ET$4:$ET$40,MATCH(ROW()-3,$KE$4:$KE$40,0)))</f>
        <v/>
      </c>
      <c r="KG14">
        <f>IF(COUNTIF('Live Search'!BM$13:CO$13,0)+COUNTIF('Live Search'!CQ$13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H14">
        <f>IF($EY$14="",FALSE,SUMPRODUCT(('Final Calculation Sheet'!$AC$4:$AC$40=$EY$14)*($KG$6:$KG$42=1))&gt;0)</f>
        <v/>
      </c>
      <c r="KI14">
        <f>$KI$13+--($KH14)</f>
        <v/>
      </c>
      <c r="KJ14">
        <f>IF(ROW()-3&gt;MAX($KI$4:$KI$40),"",INDEX($EY$4:$EY$40,MATCH(ROW()-3,$KI$4:$KI$40,0)))</f>
        <v/>
      </c>
      <c r="KK14">
        <f>IF(COUNTIF('Live Search'!BM$13:CP$13,0)+COUNTIF('Live Search'!CR$13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L14">
        <f>IF($FD$14="",FALSE,SUMPRODUCT(('Final Calculation Sheet'!$AD$4:$AD$40=$FD$14)*($KK$6:$KK$42=1))&gt;0)</f>
        <v/>
      </c>
      <c r="KM14">
        <f>$KM$13+--($KL14)</f>
        <v/>
      </c>
      <c r="KN14">
        <f>IF(ROW()-3&gt;MAX($KM$4:$KM$40),"",INDEX($FD$4:$FD$40,MATCH(ROW()-3,$KM$4:$KM$40,0)))</f>
        <v/>
      </c>
      <c r="KO14">
        <f>IF(COUNTIF('Live Search'!BM$13:CT$13,0)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P14">
        <f>IF($FX$14="",FALSE,SUMPRODUCT((IF('Final Calculation Sheet'!$AD$4:$AD$40&lt;=5,"SETTLED","OUTSTANDING")=$FX$14)*($KO$6:$KO$42=1))&gt;0)</f>
        <v/>
      </c>
      <c r="KQ14">
        <f>$KQ$13+--($KP14)</f>
        <v/>
      </c>
      <c r="KR14">
        <f>IF(ROW()-3&gt;MAX($KQ$4:$KQ$40),"",INDEX($FX$4:$FX$40,MATCH(ROW()-3,$KQ$4:$KQ$40,0)))</f>
        <v/>
      </c>
      <c r="KS14">
        <f>IF(COUNTIF('Live Search'!BM$13:CQ$13,0)+COUNTIF('Live Search'!CS$13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T14">
        <f>IF($FI$14="",FALSE,SUMPRODUCT(('Final Calculation Sheet'!$AF$4:$AF$40=$FI$14)*($KS$6:$KS$42=1))&gt;0)</f>
        <v/>
      </c>
      <c r="KU14">
        <f>$KU$13+--($KT14)</f>
        <v/>
      </c>
      <c r="KV14">
        <f>IF(ROW()-3&gt;MAX($KU$4:$KU$40),"",INDEX($FI$4:$FI$40,MATCH(ROW()-3,$KU$4:$KU$40,0)))</f>
        <v/>
      </c>
      <c r="KW14">
        <f>IF(COUNTIF('Live Search'!BM$13:CR$13,0)+COUNTIF('Live Search'!CT$13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KX14">
        <f>IF($FN$14="",FALSE,SUMPRODUCT(('Final Calculation Sheet'!$AG$4:$AG$40=$FN$14)*($KW$6:$KW$42=1))&gt;0)</f>
        <v/>
      </c>
      <c r="KY14">
        <f>$KY$13+--($KX14)</f>
        <v/>
      </c>
      <c r="KZ14">
        <f>IF(ROW()-3&gt;MAX($KY$4:$KY$40),"",INDEX($FN$4:$FN$40,MATCH(ROW()-3,$KY$4:$KY$40,0)))</f>
        <v/>
      </c>
      <c r="LA14">
        <f>IF(COUNTIF('Live Search'!BM$13:CS$13,0)+COUNTIF('Live Search'!CU$13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LB14">
        <f>IF($FS$14="",FALSE,SUMPRODUCT(('Final Calculation Sheet'!$AH$4:$AH$40=$FS$14)*($LA$6:$LA$42=1))&gt;0)</f>
        <v/>
      </c>
      <c r="LC14">
        <f>$LC$13+--($LB14)</f>
        <v/>
      </c>
      <c r="LD14">
        <f>IF(ROW()-3&gt;MAX($LC$4:$LC$40),"",INDEX($FS$4:$FS$40,MATCH(ROW()-3,$LC$4:$LC$40,0)))</f>
        <v/>
      </c>
      <c r="LE14">
        <f>IF(COUNTIF('Buyer Groups'!DH67:EN67,0)&gt;0,0,1)</f>
        <v/>
      </c>
      <c r="LF14">
        <f>IF($O$14="",FALSE,SUMPRODUCT(('Final Calculation Sheet'!$F$4:$F$40=$O$14)*($LE$6:$LE$42=1))&gt;0)</f>
        <v/>
      </c>
      <c r="LG14">
        <f>$LG$13+--($LF14)</f>
        <v/>
      </c>
      <c r="LH14">
        <f>IF(ROW()-3&gt;MAX($LG$4:$LG$40),"",INDEX($O$4:$O$40,MATCH(ROW()-3,$LG$4:$LG$40,0)))</f>
        <v/>
      </c>
      <c r="LI14">
        <f>IF(COUNTIF('Buyer Groups'!DG67:DG67,0)+COUNTIF('Buyer Groups'!DI67:EN67,0)&gt;0,0,1)</f>
        <v/>
      </c>
      <c r="LJ14">
        <f>IF($T$14="",FALSE,SUMPRODUCT(('Final Calculation Sheet'!$G$4:$G$40=$T$14)*($LI$6:$LI$42=1))&gt;0)</f>
        <v/>
      </c>
      <c r="LK14">
        <f>$LK$13+--($LJ14)</f>
        <v/>
      </c>
      <c r="LL14">
        <f>IF(ROW()-3&gt;MAX($LK$4:$LK$40),"",INDEX($T$4:$T$40,MATCH(ROW()-3,$LK$4:$LK$40,0)))</f>
        <v/>
      </c>
      <c r="LM14">
        <f>IF(COUNTIF('Buyer Groups'!DG67:DH67,0)+COUNTIF('Buyer Groups'!DJ67:EN67,0)&gt;0,0,1)</f>
        <v/>
      </c>
      <c r="LN14">
        <f>IF($Y$14="",FALSE,SUMPRODUCT(('Final Calculation Sheet'!$B$4:$B$40=$Y$14)*($LM$6:$LM$42=1))&gt;0)</f>
        <v/>
      </c>
      <c r="LO14">
        <f>$LO$13+--($LN14)</f>
        <v/>
      </c>
      <c r="LP14">
        <f>IF(ROW()-3&gt;MAX($LO$4:$LO$40),"",INDEX($Y$4:$Y$40,MATCH(ROW()-3,$LO$4:$LO$40,0)))</f>
        <v/>
      </c>
      <c r="LQ14">
        <f>IF(COUNTIF('Buyer Groups'!DG67:DI67,0)+COUNTIF('Buyer Groups'!DK67:EN67,0)&gt;0,0,1)</f>
        <v/>
      </c>
      <c r="LR14">
        <f>IF($AD$14="",FALSE,SUMPRODUCT(('Final Calculation Sheet'!$D$4:$D$40=$AD$14)*($LQ$6:$LQ$42=1))&gt;0)</f>
        <v/>
      </c>
      <c r="LS14">
        <f>$LS$13+--($LR14)</f>
        <v/>
      </c>
      <c r="LT14">
        <f>IF(ROW()-3&gt;MAX($LS$4:$LS$40),"",INDEX($AD$4:$AD$40,MATCH(ROW()-3,$LS$4:$LS$40,0)))</f>
        <v/>
      </c>
      <c r="LU14">
        <f>IF(COUNTIF('Buyer Groups'!DG67:DJ67,0)+COUNTIF('Buyer Groups'!DL67:EN67,0)&gt;0,0,1)</f>
        <v/>
      </c>
      <c r="LV14">
        <f>IF($AI$14="",FALSE,SUMPRODUCT(('Final Calculation Sheet'!$A$4:$A$40=$AI$14)*($LU$6:$LU$42=1))&gt;0)</f>
        <v/>
      </c>
      <c r="LW14">
        <f>$LW$13+--($LV14)</f>
        <v/>
      </c>
      <c r="LX14">
        <f>IF(ROW()-3&gt;MAX($LW$4:$LW$40),"",INDEX($AI$4:$AI$40,MATCH(ROW()-3,$LW$4:$LW$40,0)))</f>
        <v/>
      </c>
      <c r="LY14">
        <f>IF(COUNTIF('Buyer Groups'!DG67:DK67,0)+COUNTIF('Buyer Groups'!DM67:EN67,0)&gt;0,0,1)</f>
        <v/>
      </c>
      <c r="LZ14">
        <f>IF($AN$14="",FALSE,SUMPRODUCT(('Final Calculation Sheet'!$E$4:$E$40=$AN$14)*($LY$6:$LY$42=1))&gt;0)</f>
        <v/>
      </c>
      <c r="MA14">
        <f>$MA$13+--($LZ14)</f>
        <v/>
      </c>
      <c r="MB14">
        <f>IF(ROW()-3&gt;MAX($MA$4:$MA$40),"",INDEX($AN$4:$AN$40,MATCH(ROW()-3,$MA$4:$MA$40,0)))</f>
        <v/>
      </c>
      <c r="MC14">
        <f>IF(COUNTIF('Buyer Groups'!DG67:DL67,0)+COUNTIF('Buyer Groups'!DN67:EN67,0)&gt;0,0,1)</f>
        <v/>
      </c>
      <c r="MD14">
        <f>IF($AS$14="",FALSE,SUMPRODUCT(('Final Calculation Sheet'!$C$4:$C$40=$AS$14)*($MC$6:$MC$42=1))&gt;0)</f>
        <v/>
      </c>
      <c r="ME14">
        <f>$ME$13+--($MD14)</f>
        <v/>
      </c>
      <c r="MF14">
        <f>IF(ROW()-3&gt;MAX($ME$4:$ME$40),"",INDEX($AS$4:$AS$40,MATCH(ROW()-3,$ME$4:$ME$40,0)))</f>
        <v/>
      </c>
      <c r="MG14">
        <f>IF(COUNTIF('Buyer Groups'!DG67:DM67,0)+COUNTIF('Buyer Groups'!DO67:EN67,0)&gt;0,0,1)</f>
        <v/>
      </c>
      <c r="MH14">
        <f>IF($AX$14="",FALSE,SUMPRODUCT(('Final Calculation Sheet'!$H$4:$H$40=$AX$14)*($MG$6:$MG$42=1))&gt;0)</f>
        <v/>
      </c>
      <c r="MI14">
        <f>$MI$13+--($MH14)</f>
        <v/>
      </c>
      <c r="MJ14">
        <f>IF(ROW()-3&gt;MAX($MI$4:$MI$40),"",INDEX($AX$4:$AX$40,MATCH(ROW()-3,$MI$4:$MI$40,0)))</f>
        <v/>
      </c>
      <c r="MK14">
        <f>IF(COUNTIF('Buyer Groups'!DG67:DN67,0)+COUNTIF('Buyer Groups'!DP67:EN67,0)&gt;0,0,1)</f>
        <v/>
      </c>
      <c r="ML14">
        <f>IF($BC$14="",FALSE,SUMPRODUCT(('Final Calculation Sheet'!$I$4:$I$40=$BC$14)*($MK$6:$MK$42=1))&gt;0)</f>
        <v/>
      </c>
      <c r="MM14">
        <f>$MM$13+--($ML14)</f>
        <v/>
      </c>
      <c r="MN14">
        <f>IF(ROW()-3&gt;MAX($MM$4:$MM$40),"",INDEX($BC$4:$BC$40,MATCH(ROW()-3,$MM$4:$MM$40,0)))</f>
        <v/>
      </c>
      <c r="MO14">
        <f>IF(COUNTIF('Buyer Groups'!DG67:DO67,0)+COUNTIF('Buyer Groups'!DQ67:EN67,0)&gt;0,0,1)</f>
        <v/>
      </c>
      <c r="MP14">
        <f>IF($BH$14="",FALSE,SUMPRODUCT(('Final Calculation Sheet'!$J$4:$J$40=$BH$14)*($MO$6:$MO$42=1))&gt;0)</f>
        <v/>
      </c>
      <c r="MQ14">
        <f>$MQ$13+--($MP14)</f>
        <v/>
      </c>
      <c r="MR14">
        <f>IF(ROW()-3&gt;MAX($MQ$4:$MQ$40),"",INDEX($BH$4:$BH$40,MATCH(ROW()-3,$MQ$4:$MQ$40,0)))</f>
        <v/>
      </c>
      <c r="MS14">
        <f>IF(COUNTIF('Buyer Groups'!DG67:DP67,0)+COUNTIF('Buyer Groups'!DR67:EN67,0)&gt;0,0,1)</f>
        <v/>
      </c>
      <c r="MT14">
        <f>IF($BM$14="",FALSE,SUMPRODUCT(('Final Calculation Sheet'!$K$4:$K$40=$BM$14)*($MS$6:$MS$42=1))&gt;0)</f>
        <v/>
      </c>
      <c r="MU14">
        <f>$MU$13+--($MT14)</f>
        <v/>
      </c>
      <c r="MV14">
        <f>IF(ROW()-3&gt;MAX($MU$4:$MU$40),"",INDEX($BM$4:$BM$40,MATCH(ROW()-3,$MU$4:$MU$40,0)))</f>
        <v/>
      </c>
      <c r="MW14">
        <f>IF(COUNTIF('Buyer Groups'!DG67:DQ67,0)+COUNTIF('Buyer Groups'!DS67:EN67,0)&gt;0,0,1)</f>
        <v/>
      </c>
      <c r="MX14">
        <f>IF($BR$14="",FALSE,SUMPRODUCT(('Final Calculation Sheet'!$L$4:$L$40=$BR$14)*($MW$6:$MW$42=1))&gt;0)</f>
        <v/>
      </c>
      <c r="MY14">
        <f>$MY$13+--($MX14)</f>
        <v/>
      </c>
      <c r="MZ14">
        <f>IF(ROW()-3&gt;MAX($MY$4:$MY$40),"",INDEX($BR$4:$BR$40,MATCH(ROW()-3,$MY$4:$MY$40,0)))</f>
        <v/>
      </c>
      <c r="NA14">
        <f>IF(COUNTIF('Buyer Groups'!DG67:DR67,0)+COUNTIF('Buyer Groups'!DT67:EN67,0)&gt;0,0,1)</f>
        <v/>
      </c>
      <c r="NB14">
        <f>IF($BW$14="",FALSE,SUMPRODUCT(('Final Calculation Sheet'!$M$4:$M$40=$BW$14)*($NA$6:$NA$42=1))&gt;0)</f>
        <v/>
      </c>
      <c r="NC14">
        <f>$NC$13+--($NB14)</f>
        <v/>
      </c>
      <c r="ND14">
        <f>IF(ROW()-3&gt;MAX($NC$4:$NC$40),"",INDEX($BW$4:$BW$40,MATCH(ROW()-3,$NC$4:$NC$40,0)))</f>
        <v/>
      </c>
      <c r="NE14">
        <f>IF(COUNTIF('Buyer Groups'!DG67:DS67,0)+COUNTIF('Buyer Groups'!DU67:EN67,0)&gt;0,0,1)</f>
        <v/>
      </c>
      <c r="NF14">
        <f>IF($CB$14="",FALSE,SUMPRODUCT(('Final Calculation Sheet'!$N$4:$N$40=$CB$14)*($NE$6:$NE$42=1))&gt;0)</f>
        <v/>
      </c>
      <c r="NG14">
        <f>$NG$13+--($NF14)</f>
        <v/>
      </c>
      <c r="NH14">
        <f>IF(ROW()-3&gt;MAX($NG$4:$NG$40),"",INDEX($CB$4:$CB$40,MATCH(ROW()-3,$NG$4:$NG$40,0)))</f>
        <v/>
      </c>
      <c r="NI14">
        <f>IF(COUNTIF('Buyer Groups'!DG67:DT67,0)+COUNTIF('Buyer Groups'!DV67:EN67,0)&gt;0,0,1)</f>
        <v/>
      </c>
      <c r="NJ14">
        <f>IF($CG$14="",FALSE,SUMPRODUCT(('Final Calculation Sheet'!$O$4:$O$40=$CG$14)*($NI$6:$NI$42=1))&gt;0)</f>
        <v/>
      </c>
      <c r="NK14">
        <f>$NK$13+--($NJ14)</f>
        <v/>
      </c>
      <c r="NL14">
        <f>IF(ROW()-3&gt;MAX($NK$4:$NK$40),"",INDEX($CG$4:$CG$40,MATCH(ROW()-3,$NK$4:$NK$40,0)))</f>
        <v/>
      </c>
      <c r="NM14">
        <f>IF(COUNTIF('Buyer Groups'!DG67:DU67,0)+COUNTIF('Buyer Groups'!DW67:EN67,0)&gt;0,0,1)</f>
        <v/>
      </c>
      <c r="NN14">
        <f>IF($CL$14="",FALSE,SUMPRODUCT(('Final Calculation Sheet'!$P$4:$P$40=$CL$14)*($NM$6:$NM$42=1))&gt;0)</f>
        <v/>
      </c>
      <c r="NO14">
        <f>$NO$13+--($NN14)</f>
        <v/>
      </c>
      <c r="NP14">
        <f>IF(ROW()-3&gt;MAX($NO$4:$NO$40),"",INDEX($CL$4:$CL$40,MATCH(ROW()-3,$NO$4:$NO$40,0)))</f>
        <v/>
      </c>
      <c r="NQ14">
        <f>IF(COUNTIF('Buyer Groups'!DG67:DV67,0)+COUNTIF('Buyer Groups'!DX67:EN67,0)&gt;0,0,1)</f>
        <v/>
      </c>
      <c r="NR14">
        <f>IF($CQ$14="",FALSE,SUMPRODUCT(('Final Calculation Sheet'!$Q$4:$Q$40=$CQ$14)*($NQ$6:$NQ$42=1))&gt;0)</f>
        <v/>
      </c>
      <c r="NS14">
        <f>$NS$13+--($NR14)</f>
        <v/>
      </c>
      <c r="NT14">
        <f>IF(ROW()-3&gt;MAX($NS$4:$NS$40),"",INDEX($CQ$4:$CQ$40,MATCH(ROW()-3,$NS$4:$NS$40,0)))</f>
        <v/>
      </c>
      <c r="NU14">
        <f>IF(COUNTIF('Buyer Groups'!DG67:DW67,0)+COUNTIF('Buyer Groups'!DY67:EN67,0)&gt;0,0,1)</f>
        <v/>
      </c>
      <c r="NV14">
        <f>IF($CV$14="",FALSE,SUMPRODUCT(('Final Calculation Sheet'!$R$4:$R$40=$CV$14)*($NU$6:$NU$42=1))&gt;0)</f>
        <v/>
      </c>
      <c r="NW14">
        <f>$NW$13+--($NV14)</f>
        <v/>
      </c>
      <c r="NX14">
        <f>IF(ROW()-3&gt;MAX($NW$4:$NW$40),"",INDEX($CV$4:$CV$40,MATCH(ROW()-3,$NW$4:$NW$40,0)))</f>
        <v/>
      </c>
      <c r="NY14">
        <f>IF(COUNTIF('Buyer Groups'!DG67:DX67,0)+COUNTIF('Buyer Groups'!DZ67:EN67,0)&gt;0,0,1)</f>
        <v/>
      </c>
      <c r="NZ14">
        <f>IF($DA$14="",FALSE,SUMPRODUCT(('Final Calculation Sheet'!$S$4:$S$40=$DA$14)*($NY$6:$NY$42=1))&gt;0)</f>
        <v/>
      </c>
      <c r="OA14">
        <f>$OA$13+--($NZ14)</f>
        <v/>
      </c>
      <c r="OB14">
        <f>IF(ROW()-3&gt;MAX($OA$4:$OA$40),"",INDEX($DA$4:$DA$40,MATCH(ROW()-3,$OA$4:$OA$40,0)))</f>
        <v/>
      </c>
      <c r="OC14">
        <f>IF(COUNTIF('Buyer Groups'!DG67:DY67,0)+COUNTIF('Buyer Groups'!EA67:EN67,0)&gt;0,0,1)</f>
        <v/>
      </c>
      <c r="OD14">
        <f>IF($DF$14="",FALSE,SUMPRODUCT(('Final Calculation Sheet'!$T$4:$T$40=$DF$14)*($OC$6:$OC$42=1))&gt;0)</f>
        <v/>
      </c>
      <c r="OE14">
        <f>$OE$13+--($OD14)</f>
        <v/>
      </c>
      <c r="OF14">
        <f>IF(ROW()-3&gt;MAX($OE$4:$OE$40),"",INDEX($DF$4:$DF$40,MATCH(ROW()-3,$OE$4:$OE$40,0)))</f>
        <v/>
      </c>
      <c r="OG14">
        <f>IF(COUNTIF('Buyer Groups'!DG67:DZ67,0)+COUNTIF('Buyer Groups'!EB67:EN67,0)&gt;0,0,1)</f>
        <v/>
      </c>
      <c r="OH14">
        <f>IF($DK$14="",FALSE,SUMPRODUCT(('Final Calculation Sheet'!$U$4:$U$40=$DK$14)*($OG$6:$OG$42=1))&gt;0)</f>
        <v/>
      </c>
      <c r="OI14">
        <f>$OI$13+--($OH14)</f>
        <v/>
      </c>
      <c r="OJ14">
        <f>IF(ROW()-3&gt;MAX($OI$4:$OI$40),"",INDEX($DK$4:$DK$40,MATCH(ROW()-3,$OI$4:$OI$40,0)))</f>
        <v/>
      </c>
      <c r="OK14">
        <f>IF(COUNTIF('Buyer Groups'!DG67:EA67,0)+COUNTIF('Buyer Groups'!EC67:EN67,0)&gt;0,0,1)</f>
        <v/>
      </c>
      <c r="OL14">
        <f>IF($DP$14="",FALSE,SUMPRODUCT(('Final Calculation Sheet'!$V$4:$V$40=$DP$14)*($OK$6:$OK$42=1))&gt;0)</f>
        <v/>
      </c>
      <c r="OM14">
        <f>$OM$13+--($OL14)</f>
        <v/>
      </c>
      <c r="ON14">
        <f>IF(ROW()-3&gt;MAX($OM$4:$OM$40),"",INDEX($DP$4:$DP$40,MATCH(ROW()-3,$OM$4:$OM$40,0)))</f>
        <v/>
      </c>
      <c r="OO14">
        <f>IF(COUNTIF('Buyer Groups'!DG67:EB67,0)+COUNTIF('Buyer Groups'!ED67:EN67,0)&gt;0,0,1)</f>
        <v/>
      </c>
      <c r="OP14">
        <f>IF($DU$14="",FALSE,SUMPRODUCT(('Final Calculation Sheet'!$W$4:$W$40=$DU$14)*($OO$6:$OO$42=1))&gt;0)</f>
        <v/>
      </c>
      <c r="OQ14">
        <f>$OQ$13+--($OP14)</f>
        <v/>
      </c>
      <c r="OR14">
        <f>IF(ROW()-3&gt;MAX($OQ$4:$OQ$40),"",INDEX($DU$4:$DU$40,MATCH(ROW()-3,$OQ$4:$OQ$40,0)))</f>
        <v/>
      </c>
      <c r="OS14">
        <f>IF(COUNTIF('Buyer Groups'!DG67:EC67,0)+COUNTIF('Buyer Groups'!EE67:EN67,0)&gt;0,0,1)</f>
        <v/>
      </c>
      <c r="OT14">
        <f>IF($DZ$14="",FALSE,SUMPRODUCT(('Final Calculation Sheet'!$X$4:$X$40=$DZ$14)*($OS$6:$OS$42=1))&gt;0)</f>
        <v/>
      </c>
      <c r="OU14">
        <f>$OU$13+--($OT14)</f>
        <v/>
      </c>
      <c r="OV14">
        <f>IF(ROW()-3&gt;MAX($OU$4:$OU$40),"",INDEX($DZ$4:$DZ$40,MATCH(ROW()-3,$OU$4:$OU$40,0)))</f>
        <v/>
      </c>
      <c r="OW14">
        <f>IF(COUNTIF('Buyer Groups'!DG67:ED67,0)+COUNTIF('Buyer Groups'!EF67:EN67,0)&gt;0,0,1)</f>
        <v/>
      </c>
      <c r="OX14">
        <f>IF($EE$14="",FALSE,SUMPRODUCT(('Final Calculation Sheet'!$Y$4:$Y$40=$EE$14)*($OW$6:$OW$42=1))&gt;0)</f>
        <v/>
      </c>
      <c r="OY14">
        <f>$OY$13+--($OX14)</f>
        <v/>
      </c>
      <c r="OZ14">
        <f>IF(ROW()-3&gt;MAX($OY$4:$OY$40),"",INDEX($EE$4:$EE$40,MATCH(ROW()-3,$OY$4:$OY$40,0)))</f>
        <v/>
      </c>
      <c r="PA14">
        <f>IF(COUNTIF('Buyer Groups'!DG67:EE67,0)+COUNTIF('Buyer Groups'!EG67:EN67,0)&gt;0,0,1)</f>
        <v/>
      </c>
      <c r="PB14">
        <f>IF($EJ$14="",FALSE,SUMPRODUCT(('Final Calculation Sheet'!$Z$4:$Z$40=$EJ$14)*($PA$6:$PA$42=1))&gt;0)</f>
        <v/>
      </c>
      <c r="PC14">
        <f>$PC$13+--($PB14)</f>
        <v/>
      </c>
      <c r="PD14">
        <f>IF(ROW()-3&gt;MAX($PC$4:$PC$40),"",INDEX($EJ$4:$EJ$40,MATCH(ROW()-3,$PC$4:$PC$40,0)))</f>
        <v/>
      </c>
      <c r="PE14">
        <f>IF(COUNTIF('Buyer Groups'!DG67:EF67,0)+COUNTIF('Buyer Groups'!EH67:EN67,0)&gt;0,0,1)</f>
        <v/>
      </c>
      <c r="PF14">
        <f>IF($EO$14="",FALSE,SUMPRODUCT(('Final Calculation Sheet'!$AA$4:$AA$40=$EO$14)*($PE$6:$PE$42=1))&gt;0)</f>
        <v/>
      </c>
      <c r="PG14">
        <f>$PG$13+--($PF14)</f>
        <v/>
      </c>
      <c r="PH14">
        <f>IF(ROW()-3&gt;MAX($PG$4:$PG$40),"",INDEX($EO$4:$EO$40,MATCH(ROW()-3,$PG$4:$PG$40,0)))</f>
        <v/>
      </c>
      <c r="PI14">
        <f>IF(COUNTIF('Buyer Groups'!DG67:EG67,0)+COUNTIF('Buyer Groups'!EI67:EN67,0)&gt;0,0,1)</f>
        <v/>
      </c>
      <c r="PJ14">
        <f>IF($ET$14="",FALSE,SUMPRODUCT(('Final Calculation Sheet'!$AB$4:$AB$40=$ET$14)*($PI$6:$PI$42=1))&gt;0)</f>
        <v/>
      </c>
      <c r="PK14">
        <f>$PK$13+--($PJ14)</f>
        <v/>
      </c>
      <c r="PL14">
        <f>IF(ROW()-3&gt;MAX($PK$4:$PK$40),"",INDEX($ET$4:$ET$40,MATCH(ROW()-3,$PK$4:$PK$40,0)))</f>
        <v/>
      </c>
      <c r="PM14">
        <f>IF(COUNTIF('Buyer Groups'!DG67:EH67,0)+COUNTIF('Buyer Groups'!EJ67:EN67,0)&gt;0,0,1)</f>
        <v/>
      </c>
      <c r="PN14">
        <f>IF($EY$14="",FALSE,SUMPRODUCT(('Final Calculation Sheet'!$AC$4:$AC$40=$EY$14)*($PM$6:$PM$42=1))&gt;0)</f>
        <v/>
      </c>
      <c r="PO14">
        <f>$PO$13+--($PN14)</f>
        <v/>
      </c>
      <c r="PP14">
        <f>IF(ROW()-3&gt;MAX($PO$4:$PO$40),"",INDEX($EY$4:$EY$40,MATCH(ROW()-3,$PO$4:$PO$40,0)))</f>
        <v/>
      </c>
      <c r="PQ14">
        <f>IF(COUNTIF('Buyer Groups'!DG67:EI67,0)+COUNTIF('Buyer Groups'!EK67:EN67,0)&gt;0,0,1)</f>
        <v/>
      </c>
      <c r="PR14">
        <f>IF($FD$14="",FALSE,SUMPRODUCT(('Final Calculation Sheet'!$AD$4:$AD$40=$FD$14)*($PQ$6:$PQ$42=1))&gt;0)</f>
        <v/>
      </c>
      <c r="PS14">
        <f>$PS$13+--($PR14)</f>
        <v/>
      </c>
      <c r="PT14">
        <f>IF(ROW()-3&gt;MAX($PS$4:$PS$40),"",INDEX($FD$4:$FD$40,MATCH(ROW()-3,$PS$4:$PS$40,0)))</f>
        <v/>
      </c>
      <c r="PU14">
        <f>IF(COUNTIF('Buyer Groups'!DG67:EJ67,0)+COUNTIF('Buyer Groups'!EL67:EN67,0)&gt;0,0,1)</f>
        <v/>
      </c>
      <c r="PV14">
        <f>IF($FX$14="",FALSE,SUMPRODUCT((IF('Final Calculation Sheet'!$AD$4:$AD$40&lt;=5,"SETTLED","OUTSTANDING")=$FX$14)*($PU$6:$PU$42=1))&gt;0)</f>
        <v/>
      </c>
      <c r="PW14">
        <f>$PW$13+--($PV14)</f>
        <v/>
      </c>
      <c r="PX14">
        <f>IF(ROW()-3&gt;MAX($PW$4:$PW$40),"",INDEX($FX$4:$FX$40,MATCH(ROW()-3,$PW$4:$PW$40,0)))</f>
        <v/>
      </c>
      <c r="PY14">
        <f>IF(COUNTIF('Buyer Groups'!DG67:EK67,0)+COUNTIF('Buyer Groups'!EM67:EN67,0)&gt;0,0,1)</f>
        <v/>
      </c>
      <c r="PZ14">
        <f>IF($FI$14="",FALSE,SUMPRODUCT(('Final Calculation Sheet'!$AF$4:$AF$40=$FI$14)*($PY$6:$PY$42=1))&gt;0)</f>
        <v/>
      </c>
      <c r="QA14">
        <f>$QA$13+--($PZ14)</f>
        <v/>
      </c>
      <c r="QB14">
        <f>IF(ROW()-3&gt;MAX($QA$4:$QA$40),"",INDEX($FI$4:$FI$40,MATCH(ROW()-3,$QA$4:$QA$40,0)))</f>
        <v/>
      </c>
      <c r="QC14">
        <f>IF(COUNTIF('Buyer Groups'!DG67:EL67,0)+COUNTIF('Buyer Groups'!EN67:EN67,0)&gt;0,0,1)</f>
        <v/>
      </c>
      <c r="QD14">
        <f>IF($FN$14="",FALSE,SUMPRODUCT(('Final Calculation Sheet'!$AG$4:$AG$40=$FN$14)*($QC$6:$QC$42=1))&gt;0)</f>
        <v/>
      </c>
      <c r="QE14">
        <f>$QE$13+--($QD14)</f>
        <v/>
      </c>
      <c r="QF14">
        <f>IF(ROW()-3&gt;MAX($QE$4:$QE$40),"",INDEX($FN$4:$FN$40,MATCH(ROW()-3,$QE$4:$QE$40,0)))</f>
        <v/>
      </c>
      <c r="QG14">
        <f>IF(COUNTIF('Buyer Groups'!DG67:EM67,0)&gt;0,0,1)</f>
        <v/>
      </c>
      <c r="QH14">
        <f>IF($FS$14="",FALSE,SUMPRODUCT(('Final Calculation Sheet'!$AH$4:$AH$40=$FS$14)*($QG$6:$QG$42=1))&gt;0)</f>
        <v/>
      </c>
      <c r="QI14">
        <f>$QI$13+--($QH14)</f>
        <v/>
      </c>
      <c r="QJ14">
        <f>IF(ROW()-3&gt;MAX($QI$4:$QI$40),"",INDEX($FS$4:$FS$40,MATCH(ROW()-3,$QI$4:$QI$40,0)))</f>
        <v/>
      </c>
      <c r="QK14" t="str">
        <f>IF('Final Calculation Sheet'!$AH$14="","",'Final Calculation Sheet'!$AH$14)</f>
      </c>
      <c r="QL14" t="str">
        <f>IF(QK14="","",COUNTIFS(QK$4:QK$40,"&lt;"&amp;QK14,QK$4:QK$40,"&lt;&gt;"&amp;"")+COUNTIF(QK$4:QK14,QK14))</f>
      </c>
      <c r="QM14" t="str">
        <f>IF(ROW()-3&gt;COUNTIF(QK$4:QK$40,"&lt;&gt;"&amp;""),"",INDEX(QK$4:QK$40,MATCH(ROW()-3,QL$4:QL$40,0)))</f>
      </c>
      <c r="QN14" t="str">
        <f>=QN13+F(AND(QM14&lt;&gt;"",COUNTIF(QM$4:QM14,QM14)=1),1,0)</f>
      </c>
      <c r="QO14" t="str">
        <f>IF(ROW()-3&gt;MAX(QN$4:QN$40),"",INDEX(QM$4:QM$40,MATCH(ROW()-3,QN$4:QN$40,0)))</f>
      </c>
      <c r="QP14" t="str">
        <f>IF(COUNTIF('Final Calculation Sheet'!$AM14:$BS14,0)&gt;0,0,1)</f>
      </c>
      <c r="QQ14" t="str">
        <f>IF($AI$14="",FALSE,SUMPRODUCT(('Final Calculation Sheet'!$A$4:$A$40=$AI$14)*($QP$4:$QP$40=1))&gt;0)</f>
      </c>
      <c r="QR14" t="str">
        <f>=$QR13+--($QQ14)</f>
      </c>
      <c r="QS14" t="str">
        <f>IF(ROW()-3&gt;MAX($QR$4:$QR$40),"",INDEX($AI$4:$AI$40,MATCH(ROW()-3,$QR$4:$QR$40,0)))</f>
      </c>
      <c r="QT14" t="str">
        <f>IF(COUNTIF('Final Calculation Sheet'!$AL14:$AL14,0)+COUNTIF('Final Calculation Sheet'!$AN14:$BS14,0)&gt;0,0,1)</f>
      </c>
      <c r="QU14" t="str">
        <f>IF($Y$14="",FALSE,SUMPRODUCT(('Final Calculation Sheet'!$B$4:$B$40=$Y$14)*($QT$4:$QT$40=1))&gt;0)</f>
      </c>
      <c r="QV14" t="str">
        <f>=$QV13+--($QU14)</f>
      </c>
      <c r="QW14" t="str">
        <f>IF(ROW()-3&gt;MAX($QV$4:$QV$40),"",INDEX($Y$4:$Y$40,MATCH(ROW()-3,$QV$4:$QV$40,0)))</f>
      </c>
      <c r="QX14" t="str">
        <f>IF(COUNTIF('Final Calculation Sheet'!$AL14:$AM14,0)+COUNTIF('Final Calculation Sheet'!$AO14:$BS14,0)&gt;0,0,1)</f>
      </c>
      <c r="QY14" t="str">
        <f>IF($AS$14="",FALSE,SUMPRODUCT(('Final Calculation Sheet'!$C$4:$C$40=$AS$14)*($QX$4:$QX$40=1))&gt;0)</f>
      </c>
      <c r="QZ14" t="str">
        <f>=$QZ13+--($QY14)</f>
      </c>
      <c r="RA14" t="str">
        <f>IF(ROW()-3&gt;MAX($QZ$4:$QZ$40),"",INDEX($AS$4:$AS$40,MATCH(ROW()-3,$QZ$4:$QZ$40,0)))</f>
      </c>
      <c r="RB14" t="str">
        <f>IF(COUNTIF('Final Calculation Sheet'!$AL14:$AN14,0)+COUNTIF('Final Calculation Sheet'!$AP14:$BS14,0)&gt;0,0,1)</f>
      </c>
      <c r="RC14" t="str">
        <f>IF($AD$14="",FALSE,SUMPRODUCT(('Final Calculation Sheet'!$D$4:$D$40=$AD$14)*($RB$4:$RB$40=1))&gt;0)</f>
      </c>
      <c r="RD14" t="str">
        <f>=$RD13+--($RC14)</f>
      </c>
      <c r="RE14" t="str">
        <f>IF(ROW()-3&gt;MAX($RD$4:$RD$40),"",INDEX($AD$4:$AD$40,MATCH(ROW()-3,$RD$4:$RD$40,0)))</f>
      </c>
      <c r="RF14" t="str">
        <f>IF(COUNTIF('Final Calculation Sheet'!$AL14:$AO14,0)+COUNTIF('Final Calculation Sheet'!$AQ14:$BS14,0)&gt;0,0,1)</f>
      </c>
      <c r="RG14" t="str">
        <f>IF($AN$14="",FALSE,SUMPRODUCT(('Final Calculation Sheet'!$E$4:$E$40=$AN$14)*($RF$4:$RF$40=1))&gt;0)</f>
      </c>
      <c r="RH14" t="str">
        <f>=$RH13+--($RG14)</f>
      </c>
      <c r="RI14" t="str">
        <f>IF(ROW()-3&gt;MAX($RH$4:$RH$40),"",INDEX($AN$4:$AN$40,MATCH(ROW()-3,$RH$4:$RH$40,0)))</f>
      </c>
      <c r="RJ14" t="str">
        <f>IF(COUNTIF('Final Calculation Sheet'!$AL14:$AP14,0)+COUNTIF('Final Calculation Sheet'!$AR14:$BS14,0)&gt;0,0,1)</f>
      </c>
      <c r="RK14" t="str">
        <f>IF($O$14="",FALSE,SUMPRODUCT(('Final Calculation Sheet'!$F$4:$F$40=$O$14)*($RJ$4:$RJ$40=1))&gt;0)</f>
      </c>
      <c r="RL14" t="str">
        <f>=$RL13+--($RK14)</f>
      </c>
      <c r="RM14" t="str">
        <f>IF(ROW()-3&gt;MAX($RL$4:$RL$40),"",INDEX($O$4:$O$40,MATCH(ROW()-3,$RL$4:$RL$40,0)))</f>
      </c>
      <c r="RN14" t="str">
        <f>IF(COUNTIF('Final Calculation Sheet'!$AL14:$AQ14,0)+COUNTIF('Final Calculation Sheet'!$AS14:$BS14,0)&gt;0,0,1)</f>
      </c>
      <c r="RO14" t="str">
        <f>IF($T$14="",FALSE,SUMPRODUCT(('Final Calculation Sheet'!$G$4:$G$40=$T$14)*($RN$4:$RN$40=1))&gt;0)</f>
      </c>
      <c r="RP14" t="str">
        <f>=$RP13+--($RO14)</f>
      </c>
      <c r="RQ14" t="str">
        <f>IF(ROW()-3&gt;MAX($RP$4:$RP$40),"",INDEX($T$4:$T$40,MATCH(ROW()-3,$RP$4:$RP$40,0)))</f>
      </c>
      <c r="RR14" t="str">
        <f>IF(COUNTIF('Final Calculation Sheet'!$AL14:$AR14,0)+COUNTIF('Final Calculation Sheet'!$AT14:$BS14,0)&gt;0,0,1)</f>
      </c>
      <c r="RS14" t="str">
        <f>IF($AX$14="",FALSE,SUMPRODUCT(('Final Calculation Sheet'!$H$4:$H$40=$AX$14)*($RR$4:$RR$40=1))&gt;0)</f>
      </c>
      <c r="RT14" t="str">
        <f>=$RT13+--($RS14)</f>
      </c>
      <c r="RU14" t="str">
        <f>IF(ROW()-3&gt;MAX($RT$4:$RT$40),"",INDEX($AX$4:$AX$40,MATCH(ROW()-3,$RT$4:$RT$40,0)))</f>
      </c>
      <c r="RV14" t="str">
        <f>IF(COUNTIF('Final Calculation Sheet'!$AL14:$AS14,0)+COUNTIF('Final Calculation Sheet'!$AU14:$BS14,0)&gt;0,0,1)</f>
      </c>
      <c r="RW14" t="str">
        <f>IF($BC$14="",FALSE,SUMPRODUCT(('Final Calculation Sheet'!$I$4:$I$40=$BC$14)*($RV$4:$RV$40=1))&gt;0)</f>
      </c>
      <c r="RX14" t="str">
        <f>=$RX13+--($RW14)</f>
      </c>
      <c r="RY14" t="str">
        <f>IF(ROW()-3&gt;MAX($RX$4:$RX$40),"",INDEX($BC$4:$BC$40,MATCH(ROW()-3,$RX$4:$RX$40,0)))</f>
      </c>
      <c r="RZ14" t="str">
        <f>IF(COUNTIF('Final Calculation Sheet'!$AL14:$AT14,0)+COUNTIF('Final Calculation Sheet'!$AV14:$BS14,0)&gt;0,0,1)</f>
      </c>
      <c r="SA14" t="str">
        <f>IF($BH$14="",FALSE,SUMPRODUCT(('Final Calculation Sheet'!$J$4:$J$40=$BH$14)*($RZ$4:$RZ$40=1))&gt;0)</f>
      </c>
      <c r="SB14" t="str">
        <f>=$SB13+--($SA14)</f>
      </c>
      <c r="SC14" t="str">
        <f>IF(ROW()-3&gt;MAX($SB$4:$SB$40),"",INDEX($BH$4:$BH$40,MATCH(ROW()-3,$SB$4:$SB$40,0)))</f>
      </c>
      <c r="SD14" t="str">
        <f>IF(COUNTIF('Final Calculation Sheet'!$AL14:$AU14,0)+COUNTIF('Final Calculation Sheet'!$AW14:$BS14,0)&gt;0,0,1)</f>
      </c>
      <c r="SE14" t="str">
        <f>IF($BM$14="",FALSE,SUMPRODUCT(('Final Calculation Sheet'!$K$4:$K$40=$BM$14)*($SD$4:$SD$40=1))&gt;0)</f>
      </c>
      <c r="SF14" t="str">
        <f>=$SF13+--($SE14)</f>
      </c>
      <c r="SG14" t="str">
        <f>IF(ROW()-3&gt;MAX($SF$4:$SF$40),"",INDEX($BM$4:$BM$40,MATCH(ROW()-3,$SF$4:$SF$40,0)))</f>
      </c>
      <c r="SH14" t="str">
        <f>IF(COUNTIF('Final Calculation Sheet'!$AL14:$AV14,0)+COUNTIF('Final Calculation Sheet'!$AX14:$BS14,0)&gt;0,0,1)</f>
      </c>
      <c r="SI14" t="str">
        <f>IF($BR$14="",FALSE,SUMPRODUCT(('Final Calculation Sheet'!$L$4:$L$40=$BR$14)*($SH$4:$SH$40=1))&gt;0)</f>
      </c>
      <c r="SJ14" t="str">
        <f>=$SJ13+--($SI14)</f>
      </c>
      <c r="SK14" t="str">
        <f>IF(ROW()-3&gt;MAX($SJ$4:$SJ$40),"",INDEX($BR$4:$BR$40,MATCH(ROW()-3,$SJ$4:$SJ$40,0)))</f>
      </c>
      <c r="SL14" t="str">
        <f>IF(COUNTIF('Final Calculation Sheet'!$AL14:$AW14,0)+COUNTIF('Final Calculation Sheet'!$AY14:$BS14,0)&gt;0,0,1)</f>
      </c>
      <c r="SM14" t="str">
        <f>IF($BW$14="",FALSE,SUMPRODUCT(('Final Calculation Sheet'!$M$4:$M$40=$BW$14)*($SL$4:$SL$40=1))&gt;0)</f>
      </c>
      <c r="SN14" t="str">
        <f>=$SN13+--($SM14)</f>
      </c>
      <c r="SO14" t="str">
        <f>IF(ROW()-3&gt;MAX($SN$4:$SN$40),"",INDEX($BW$4:$BW$40,MATCH(ROW()-3,$SN$4:$SN$40,0)))</f>
      </c>
      <c r="SP14" t="str">
        <f>IF(COUNTIF('Final Calculation Sheet'!$AL14:$AX14,0)+COUNTIF('Final Calculation Sheet'!$AZ14:$BS14,0)&gt;0,0,1)</f>
      </c>
      <c r="SQ14" t="str">
        <f>IF($CB$14="",FALSE,SUMPRODUCT(('Final Calculation Sheet'!$N$4:$N$40=$CB$14)*($SP$4:$SP$40=1))&gt;0)</f>
      </c>
      <c r="SR14" t="str">
        <f>=$SR13+--($SQ14)</f>
      </c>
      <c r="SS14" t="str">
        <f>IF(ROW()-3&gt;MAX($SR$4:$SR$40),"",INDEX($CB$4:$CB$40,MATCH(ROW()-3,$SR$4:$SR$40,0)))</f>
      </c>
      <c r="ST14" t="str">
        <f>IF(COUNTIF('Final Calculation Sheet'!$AL14:$AY14,0)+COUNTIF('Final Calculation Sheet'!$BA14:$BS14,0)&gt;0,0,1)</f>
      </c>
      <c r="SU14" t="str">
        <f>IF($CG$14="",FALSE,SUMPRODUCT(('Final Calculation Sheet'!$O$4:$O$40=$CG$14)*($ST$4:$ST$40=1))&gt;0)</f>
      </c>
      <c r="SV14" t="str">
        <f>=$SV13+--($SU14)</f>
      </c>
      <c r="SW14" t="str">
        <f>IF(ROW()-3&gt;MAX($SV$4:$SV$40),"",INDEX($CG$4:$CG$40,MATCH(ROW()-3,$SV$4:$SV$40,0)))</f>
      </c>
      <c r="SX14" t="str">
        <f>IF(COUNTIF('Final Calculation Sheet'!$AL14:$AZ14,0)+COUNTIF('Final Calculation Sheet'!$BB14:$BS14,0)&gt;0,0,1)</f>
      </c>
      <c r="SY14" t="str">
        <f>IF($CL$14="",FALSE,SUMPRODUCT(('Final Calculation Sheet'!$P$4:$P$40=$CL$14)*($SX$4:$SX$40=1))&gt;0)</f>
      </c>
      <c r="SZ14" t="str">
        <f>=$SZ13+--($SY14)</f>
      </c>
      <c r="TA14" t="str">
        <f>IF(ROW()-3&gt;MAX($SZ$4:$SZ$40),"",INDEX($CL$4:$CL$40,MATCH(ROW()-3,$SZ$4:$SZ$40,0)))</f>
      </c>
      <c r="TB14" t="str">
        <f>IF(COUNTIF('Final Calculation Sheet'!$AL14:$BA14,0)+COUNTIF('Final Calculation Sheet'!$BC14:$BS14,0)&gt;0,0,1)</f>
      </c>
      <c r="TC14" t="str">
        <f>IF($CQ$14="",FALSE,SUMPRODUCT(('Final Calculation Sheet'!$Q$4:$Q$40=$CQ$14)*($TB$4:$TB$40=1))&gt;0)</f>
      </c>
      <c r="TD14" t="str">
        <f>=$TD13+--($TC14)</f>
      </c>
      <c r="TE14" t="str">
        <f>IF(ROW()-3&gt;MAX($TD$4:$TD$40),"",INDEX($CQ$4:$CQ$40,MATCH(ROW()-3,$TD$4:$TD$40,0)))</f>
      </c>
      <c r="TF14" t="str">
        <f>IF(COUNTIF('Final Calculation Sheet'!$AL14:$BB14,0)+COUNTIF('Final Calculation Sheet'!$BD14:$BS14,0)&gt;0,0,1)</f>
      </c>
      <c r="TG14" t="str">
        <f>IF($CV$14="",FALSE,SUMPRODUCT(('Final Calculation Sheet'!$R$4:$R$40=$CV$14)*($TF$4:$TF$40=1))&gt;0)</f>
      </c>
      <c r="TH14" t="str">
        <f>=$TH13+--($TG14)</f>
      </c>
      <c r="TI14" t="str">
        <f>IF(ROW()-3&gt;MAX($TH$4:$TH$40),"",INDEX($CV$4:$CV$40,MATCH(ROW()-3,$TH$4:$TH$40,0)))</f>
      </c>
      <c r="TJ14" t="str">
        <f>IF(COUNTIF('Final Calculation Sheet'!$AL14:$BC14,0)+COUNTIF('Final Calculation Sheet'!$BE14:$BS14,0)&gt;0,0,1)</f>
      </c>
      <c r="TK14" t="str">
        <f>IF($DA$14="",FALSE,SUMPRODUCT(('Final Calculation Sheet'!$S$4:$S$40=$DA$14)*($TJ$4:$TJ$40=1))&gt;0)</f>
      </c>
      <c r="TL14" t="str">
        <f>=$TL13+--($TK14)</f>
      </c>
      <c r="TM14" t="str">
        <f>IF(ROW()-3&gt;MAX($TL$4:$TL$40),"",INDEX($DA$4:$DA$40,MATCH(ROW()-3,$TL$4:$TL$40,0)))</f>
      </c>
      <c r="TN14" t="str">
        <f>IF(COUNTIF('Final Calculation Sheet'!$AL14:$BD14,0)+COUNTIF('Final Calculation Sheet'!$BF14:$BS14,0)&gt;0,0,1)</f>
      </c>
      <c r="TO14" t="str">
        <f>IF($DF$14="",FALSE,SUMPRODUCT(('Final Calculation Sheet'!$T$4:$T$40=$DF$14)*($TN$4:$TN$40=1))&gt;0)</f>
      </c>
      <c r="TP14" t="str">
        <f>=$TP13+--($TO14)</f>
      </c>
      <c r="TQ14" t="str">
        <f>IF(ROW()-3&gt;MAX($TP$4:$TP$40),"",INDEX($DF$4:$DF$40,MATCH(ROW()-3,$TP$4:$TP$40,0)))</f>
      </c>
      <c r="TR14" t="str">
        <f>IF(COUNTIF('Final Calculation Sheet'!$AL14:$BE14,0)+COUNTIF('Final Calculation Sheet'!$BG14:$BS14,0)&gt;0,0,1)</f>
      </c>
      <c r="TS14" t="str">
        <f>IF($DK$14="",FALSE,SUMPRODUCT(('Final Calculation Sheet'!$U$4:$U$40=$DK$14)*($TR$4:$TR$40=1))&gt;0)</f>
      </c>
      <c r="TT14" t="str">
        <f>=$TT13+--($TS14)</f>
      </c>
      <c r="TU14" t="str">
        <f>IF(ROW()-3&gt;MAX($TT$4:$TT$40),"",INDEX($DK$4:$DK$40,MATCH(ROW()-3,$TT$4:$TT$40,0)))</f>
      </c>
      <c r="TV14" t="str">
        <f>IF(COUNTIF('Final Calculation Sheet'!$AL14:$BF14,0)+COUNTIF('Final Calculation Sheet'!$BH14:$BS14,0)&gt;0,0,1)</f>
      </c>
      <c r="TW14" t="str">
        <f>IF($DP$14="",FALSE,SUMPRODUCT(('Final Calculation Sheet'!$V$4:$V$40=$DP$14)*($TV$4:$TV$40=1))&gt;0)</f>
      </c>
      <c r="TX14" t="str">
        <f>=$TX13+--($TW14)</f>
      </c>
      <c r="TY14" t="str">
        <f>IF(ROW()-3&gt;MAX($TX$4:$TX$40),"",INDEX($DP$4:$DP$40,MATCH(ROW()-3,$TX$4:$TX$40,0)))</f>
      </c>
      <c r="TZ14" t="str">
        <f>IF(COUNTIF('Final Calculation Sheet'!$AL14:$BG14,0)+COUNTIF('Final Calculation Sheet'!$BI14:$BS14,0)&gt;0,0,1)</f>
      </c>
      <c r="UA14" t="str">
        <f>IF($DU$14="",FALSE,SUMPRODUCT(('Final Calculation Sheet'!$W$4:$W$40=$DU$14)*($TZ$4:$TZ$40=1))&gt;0)</f>
      </c>
      <c r="UB14" t="str">
        <f>=$UB13+--($UA14)</f>
      </c>
      <c r="UC14" t="str">
        <f>IF(ROW()-3&gt;MAX($UB$4:$UB$40),"",INDEX($DU$4:$DU$40,MATCH(ROW()-3,$UB$4:$UB$40,0)))</f>
      </c>
      <c r="UD14" t="str">
        <f>IF(COUNTIF('Final Calculation Sheet'!$AL14:$BH14,0)+COUNTIF('Final Calculation Sheet'!$BJ14:$BS14,0)&gt;0,0,1)</f>
      </c>
      <c r="UE14" t="str">
        <f>IF($DZ$14="",FALSE,SUMPRODUCT(('Final Calculation Sheet'!$X$4:$X$40=$DZ$14)*($UD$4:$UD$40=1))&gt;0)</f>
      </c>
      <c r="UF14" t="str">
        <f>=$UF13+--($UE14)</f>
      </c>
      <c r="UG14" t="str">
        <f>IF(ROW()-3&gt;MAX($UF$4:$UF$40),"",INDEX($DZ$4:$DZ$40,MATCH(ROW()-3,$UF$4:$UF$40,0)))</f>
      </c>
      <c r="UH14" t="str">
        <f>IF(COUNTIF('Final Calculation Sheet'!$AL14:$BI14,0)+COUNTIF('Final Calculation Sheet'!$BK14:$BS14,0)&gt;0,0,1)</f>
      </c>
      <c r="UI14" t="str">
        <f>IF($EE$14="",FALSE,SUMPRODUCT(('Final Calculation Sheet'!$Y$4:$Y$40=$EE$14)*($UH$4:$UH$40=1))&gt;0)</f>
      </c>
      <c r="UJ14" t="str">
        <f>=$UJ13+--($UI14)</f>
      </c>
      <c r="UK14" t="str">
        <f>IF(ROW()-3&gt;MAX($UJ$4:$UJ$40),"",INDEX($EE$4:$EE$40,MATCH(ROW()-3,$UJ$4:$UJ$40,0)))</f>
      </c>
      <c r="UL14" t="str">
        <f>IF(COUNTIF('Final Calculation Sheet'!$AL14:$BJ14,0)+COUNTIF('Final Calculation Sheet'!$BL14:$BS14,0)&gt;0,0,1)</f>
      </c>
      <c r="UM14" t="str">
        <f>IF($EJ$14="",FALSE,SUMPRODUCT(('Final Calculation Sheet'!$Z$4:$Z$40=$EJ$14)*($UL$4:$UL$40=1))&gt;0)</f>
      </c>
      <c r="UN14" t="str">
        <f>=$UN13+--($UM14)</f>
      </c>
      <c r="UO14" t="str">
        <f>IF(ROW()-3&gt;MAX($UN$4:$UN$40),"",INDEX($EJ$4:$EJ$40,MATCH(ROW()-3,$UN$4:$UN$40,0)))</f>
      </c>
      <c r="UP14" t="str">
        <f>IF(COUNTIF('Final Calculation Sheet'!$AL14:$BK14,0)+COUNTIF('Final Calculation Sheet'!$BM14:$BS14,0)&gt;0,0,1)</f>
      </c>
      <c r="UQ14" t="str">
        <f>IF($EO$14="",FALSE,SUMPRODUCT(('Final Calculation Sheet'!$AA$4:$AA$40=$EO$14)*($UP$4:$UP$40=1))&gt;0)</f>
      </c>
      <c r="UR14" t="str">
        <f>=$UR13+--($UQ14)</f>
      </c>
      <c r="US14" t="str">
        <f>IF(ROW()-3&gt;MAX($UR$4:$UR$40),"",INDEX($EO$4:$EO$40,MATCH(ROW()-3,$UR$4:$UR$40,0)))</f>
      </c>
      <c r="UT14" t="str">
        <f>IF(COUNTIF('Final Calculation Sheet'!$AL14:$BL14,0)+COUNTIF('Final Calculation Sheet'!$BN14:$BS14,0)&gt;0,0,1)</f>
      </c>
      <c r="UU14" t="str">
        <f>IF($ET$14="",FALSE,SUMPRODUCT(('Final Calculation Sheet'!$AB$4:$AB$40=$ET$14)*($UT$4:$UT$40=1))&gt;0)</f>
      </c>
      <c r="UV14" t="str">
        <f>=$UV13+--($UU14)</f>
      </c>
      <c r="UW14" t="str">
        <f>IF(ROW()-3&gt;MAX($UV$4:$UV$40),"",INDEX($ET$4:$ET$40,MATCH(ROW()-3,$UV$4:$UV$40,0)))</f>
      </c>
      <c r="UX14" t="str">
        <f>IF(COUNTIF('Final Calculation Sheet'!$AL14:$BM14,0)+COUNTIF('Final Calculation Sheet'!$BO14:$BS14,0)&gt;0,0,1)</f>
      </c>
      <c r="UY14" t="str">
        <f>IF($EY$14="",FALSE,SUMPRODUCT(('Final Calculation Sheet'!$AC$4:$AC$40=$EY$14)*($UX$4:$UX$40=1))&gt;0)</f>
      </c>
      <c r="UZ14" t="str">
        <f>=$UZ13+--($UY14)</f>
      </c>
      <c r="VA14" t="str">
        <f>IF(ROW()-3&gt;MAX($UZ$4:$UZ$40),"",INDEX($EY$4:$EY$40,MATCH(ROW()-3,$UZ$4:$UZ$40,0)))</f>
      </c>
      <c r="VB14" t="str">
        <f>IF(COUNTIF('Final Calculation Sheet'!$AL14:$BN14,0)+COUNTIF('Final Calculation Sheet'!$BP14:$BS14,0)&gt;0,0,1)</f>
      </c>
      <c r="VC14" t="str">
        <f>IF($FD$14="",FALSE,SUMPRODUCT(('Final Calculation Sheet'!$AD$4:$AD$40=$FD$14)*($VB$4:$VB$40=1))&gt;0)</f>
      </c>
      <c r="VD14" t="str">
        <f>=$VD13+--($VC14)</f>
      </c>
      <c r="VE14" t="str">
        <f>IF(ROW()-3&gt;MAX($VD$4:$VD$40),"",INDEX($FD$4:$FD$40,MATCH(ROW()-3,$VD$4:$VD$40,0)))</f>
      </c>
      <c r="VF14" t="str">
        <f>IF(COUNTIF('Final Calculation Sheet'!$AL14:$BO14,0)+COUNTIF('Final Calculation Sheet'!$BQ14:$BS14,0)&gt;0,0,1)</f>
      </c>
      <c r="VG14" t="str">
        <f>IF($FI$14="",FALSE,SUMPRODUCT(('Final Calculation Sheet'!$AE$4:$AE$40=$FI$14)*($VF$4:$VF$40=1))&gt;0)</f>
      </c>
      <c r="VH14" t="str">
        <f>=$VH13+--($VG14)</f>
      </c>
      <c r="VI14" t="str">
        <f>IF(ROW()-3&gt;MAX($VH$4:$VH$40),"",INDEX($FI$4:$FI$40,MATCH(ROW()-3,$VH$4:$VH$40,0)))</f>
      </c>
      <c r="VJ14" t="str">
        <f>IF(COUNTIF('Final Calculation Sheet'!$AL14:$BP14,0)+COUNTIF('Final Calculation Sheet'!$BR14:$BS14,0)&gt;0,0,1)</f>
      </c>
      <c r="VK14" t="str">
        <f>IF($FN$14="",FALSE,SUMPRODUCT(('Final Calculation Sheet'!$AF$4:$AF$40=$FN$14)*($VJ$4:$VJ$40=1))&gt;0)</f>
      </c>
      <c r="VL14" t="str">
        <f>=$VL13+--($VK14)</f>
      </c>
      <c r="VM14" t="str">
        <f>IF(ROW()-3&gt;MAX($VL$4:$VL$40),"",INDEX($FN$4:$FN$40,MATCH(ROW()-3,$VL$4:$VL$40,0)))</f>
      </c>
      <c r="VN14" t="str">
        <f>IF(COUNTIF('Final Calculation Sheet'!$AL14:$BQ14,0)+COUNTIF('Final Calculation Sheet'!$BS14:$BS14,0)&gt;0,0,1)</f>
      </c>
      <c r="VO14" t="str">
        <f>IF($FS$14="",FALSE,SUMPRODUCT(('Final Calculation Sheet'!$AG$4:$AG$40=$FS$14)*($VN$4:$VN$40=1))&gt;0)</f>
      </c>
      <c r="VP14" t="str">
        <f>=$VP13+--($VO14)</f>
      </c>
      <c r="VQ14" t="str">
        <f>IF(ROW()-3&gt;MAX($VP$4:$VP$40),"",INDEX($FS$4:$FS$40,MATCH(ROW()-3,$VP$4:$VP$40,0)))</f>
      </c>
      <c r="VR14" t="str">
        <f>IF(COUNTIF('Final Calculation Sheet'!$AL14:$BR14,0)&gt;0,0,1)</f>
      </c>
      <c r="VS14" t="str">
        <f>IF($QO$14="",FALSE,SUMPRODUCT(('Final Calculation Sheet'!$AH$4:$AH$40=$QO$14)*($VR$4:$VR$40=1))&gt;0)</f>
      </c>
      <c r="VT14" t="str">
        <f>=$VT13+--($VS14)</f>
      </c>
      <c r="VU14" t="str">
        <f>IF(ROW()-3&gt;MAX($VT$4:$VT$40),"",INDEX($QO$4:$QO$40,MATCH(ROW()-3,$VT$4:$VT$40,0)))</f>
      </c>
    </row>
    <row r="15">
      <c r="A15">
        <f>IF(IFERROR('Final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IF(IFERROR('Final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s="55">
        <f>IF('Final Calculation Sheet'!$C$15="","",'Final Calculation Sheet'!$C$15)</f>
        <v/>
      </c>
      <c r="AP15">
        <f>IF(AO15="","",COUNTIFS(AO$4:AO$40,"&lt;"&amp;AO15,AO$4:AO$40,"&lt;&gt;"&amp;"")+COUNTIF(AO$4:AO15,AO15))</f>
        <v/>
      </c>
      <c r="AQ15" s="55">
        <f>IF(ROW()-3&gt;COUNTIF(AO$4:AO$40,"&lt;&gt;"&amp;""),"",INDEX(AO$4:AO$40,MATCH(ROW()-3,AP$4:AP$40,0)))</f>
        <v/>
      </c>
      <c r="AR15">
        <f>AR14+IF(AND(AQ15&lt;&gt;"",COUNTIF(AQ$4:AQ15,AQ15)=1),1,0)</f>
        <v/>
      </c>
      <c r="AS15" s="55">
        <f>IF(ROW()-3&gt;MAX(AR$4:AR$40),"",INDEX(AQ$4:AQ$40,MATCH(ROW()-3,AR$4:AR$40,0)))</f>
        <v/>
      </c>
      <c r="AT15" s="55">
        <f>IF('Final Calculation Sheet'!$H$15="","",'Final Calculation Sheet'!$H$15)</f>
        <v/>
      </c>
      <c r="AU15">
        <f>IF(AT15="","",COUNTIFS(AT$4:AT$40,"&lt;"&amp;AT15,AT$4:AT$40,"&lt;&gt;"&amp;"")+COUNTIF(AT$4:AT15,AT15))</f>
        <v/>
      </c>
      <c r="AV15" s="55">
        <f>IF(ROW()-3&gt;COUNTIF(AT$4:AT$40,"&lt;&gt;"&amp;""),"",INDEX(AT$4:AT$40,MATCH(ROW()-3,AU$4:AU$40,0)))</f>
        <v/>
      </c>
      <c r="AW15">
        <f>AW14+IF(AND(AV15&lt;&gt;"",COUNTIF(AV$4:AV15,AV15)=1),1,0)</f>
        <v/>
      </c>
      <c r="AX15" s="55">
        <f>IF(ROW()-3&gt;MAX(AW$4:AW$40),"",INDEX(AV$4:AV$40,MATCH(ROW()-3,AW$4:AW$40,0)))</f>
        <v/>
      </c>
      <c r="AY15" s="55">
        <f>IF('Final Calculation Sheet'!$I$15="","",'Final Calculation Sheet'!$I$15)</f>
        <v/>
      </c>
      <c r="AZ15">
        <f>IF(AY15="","",COUNTIFS(AY$4:AY$40,"&lt;"&amp;AY15,AY$4:AY$40,"&lt;&gt;"&amp;"")+COUNTIF(AY$4:AY15,AY15))</f>
        <v/>
      </c>
      <c r="BA15" s="55">
        <f>IF(ROW()-3&gt;COUNTIF(AY$4:AY$40,"&lt;&gt;"&amp;""),"",INDEX(AY$4:AY$40,MATCH(ROW()-3,AZ$4:AZ$40,0)))</f>
        <v/>
      </c>
      <c r="BB15">
        <f>BB14+IF(AND(BA15&lt;&gt;"",COUNTIF(BA$4:BA15,BA15)=1),1,0)</f>
        <v/>
      </c>
      <c r="BC15" s="55">
        <f>IF(ROW()-3&gt;MAX(BB$4:BB$40),"",INDEX(BA$4:BA$40,MATCH(ROW()-3,BB$4:BB$40,0)))</f>
        <v/>
      </c>
      <c r="BD15" s="55">
        <f>IF('Final Calculation Sheet'!$J$15="","",'Final Calculation Sheet'!$J$15)</f>
        <v/>
      </c>
      <c r="BE15">
        <f>IF(BD15="","",COUNTIFS(BD$4:BD$40,"&lt;"&amp;BD15,BD$4:BD$40,"&lt;&gt;"&amp;"")+COUNTIF(BD$4:BD15,BD15))</f>
        <v/>
      </c>
      <c r="BF15" s="55">
        <f>IF(ROW()-3&gt;COUNTIF(BD$4:BD$40,"&lt;&gt;"&amp;""),"",INDEX(BD$4:BD$40,MATCH(ROW()-3,BE$4:BE$40,0)))</f>
        <v/>
      </c>
      <c r="BG15">
        <f>BG14+IF(AND(BF15&lt;&gt;"",COUNTIF(BF$4:BF15,BF15)=1),1,0)</f>
        <v/>
      </c>
      <c r="BH15" s="55">
        <f>IF(ROW()-3&gt;MAX(BG$4:BG$40),"",INDEX(BF$4:BF$40,MATCH(ROW()-3,BG$4:BG$40,0)))</f>
        <v/>
      </c>
      <c r="BI15" s="55">
        <f>IF('Final Calculation Sheet'!$K$15="","",'Final Calculation Sheet'!$K$15)</f>
        <v/>
      </c>
      <c r="BJ15">
        <f>IF(BI15="","",COUNTIFS(BI$4:BI$40,"&lt;"&amp;BI15,BI$4:BI$40,"&lt;&gt;"&amp;"")+COUNTIF(BI$4:BI15,BI15))</f>
        <v/>
      </c>
      <c r="BK15" s="55">
        <f>IF(ROW()-3&gt;COUNTIF(BI$4:BI$40,"&lt;&gt;"&amp;""),"",INDEX(BI$4:BI$40,MATCH(ROW()-3,BJ$4:BJ$40,0)))</f>
        <v/>
      </c>
      <c r="BL15">
        <f>BL14+IF(AND(BK15&lt;&gt;"",COUNTIF(BK$4:BK15,BK15)=1),1,0)</f>
        <v/>
      </c>
      <c r="BM15" s="55">
        <f>IF(ROW()-3&gt;MAX(BL$4:BL$40),"",INDEX(BK$4:BK$40,MATCH(ROW()-3,BL$4:BL$40,0)))</f>
        <v/>
      </c>
      <c r="BN15" s="55">
        <f>IF('Final Calculation Sheet'!$L$15="","",'Final Calculation Sheet'!$L$15)</f>
        <v/>
      </c>
      <c r="BO15">
        <f>IF(BN15="","",COUNTIFS(BN$4:BN$40,"&lt;"&amp;BN15,BN$4:BN$40,"&lt;&gt;"&amp;"")+COUNTIF(BN$4:BN15,BN15))</f>
        <v/>
      </c>
      <c r="BP15" s="55">
        <f>IF(ROW()-3&gt;COUNTIF(BN$4:BN$40,"&lt;&gt;"&amp;""),"",INDEX(BN$4:BN$40,MATCH(ROW()-3,BO$4:BO$40,0)))</f>
        <v/>
      </c>
      <c r="BQ15">
        <f>BQ14+IF(AND(BP15&lt;&gt;"",COUNTIF(BP$4:BP15,BP15)=1),1,0)</f>
        <v/>
      </c>
      <c r="BR15" s="55">
        <f>IF(ROW()-3&gt;MAX(BQ$4:BQ$40),"",INDEX(BP$4:BP$40,MATCH(ROW()-3,BQ$4:BQ$40,0)))</f>
        <v/>
      </c>
      <c r="BS15" s="55">
        <f>IF('Final Calculation Sheet'!$M$15="","",'Final Calculation Sheet'!$M$15)</f>
        <v/>
      </c>
      <c r="BT15">
        <f>IF(BS15="","",COUNTIFS(BS$4:BS$40,"&lt;"&amp;BS15,BS$4:BS$40,"&lt;&gt;"&amp;"")+COUNTIF(BS$4:BS15,BS15))</f>
        <v/>
      </c>
      <c r="BU15" s="55">
        <f>IF(ROW()-3&gt;COUNTIF(BS$4:BS$40,"&lt;&gt;"&amp;""),"",INDEX(BS$4:BS$40,MATCH(ROW()-3,BT$4:BT$40,0)))</f>
        <v/>
      </c>
      <c r="BV15">
        <f>BV14+IF(AND(BU15&lt;&gt;"",COUNTIF(BU$4:BU15,BU15)=1),1,0)</f>
        <v/>
      </c>
      <c r="BW15" s="55">
        <f>IF(ROW()-3&gt;MAX(BV$4:BV$40),"",INDEX(BU$4:BU$40,MATCH(ROW()-3,BV$4:BV$40,0)))</f>
        <v/>
      </c>
      <c r="BX15" s="138">
        <f>IF('Final Calculation Sheet'!$N$15="","",'Final Calculation Sheet'!$N$15)</f>
        <v/>
      </c>
      <c r="BY15">
        <f>IF(BX15="","",COUNTIFS(BX$4:BX$40,"&lt;"&amp;BX15,BX$4:BX$40,"&lt;&gt;"&amp;"")+COUNTIF(BX$4:BX15,BX15))</f>
        <v/>
      </c>
      <c r="BZ15" s="138">
        <f>IF(ROW()-3&gt;COUNTIF(BX$4:BX$40,"&lt;&gt;"&amp;""),"",INDEX(BX$4:BX$40,MATCH(ROW()-3,BY$4:BY$40,0)))</f>
        <v/>
      </c>
      <c r="CA15">
        <f>CA14+IF(AND(BZ15&lt;&gt;"",COUNTIF(BZ$4:BZ15,BZ15)=1),1,0)</f>
        <v/>
      </c>
      <c r="CB15" s="138">
        <f>IF(ROW()-3&gt;MAX(CA$4:CA$40),"",INDEX(BZ$4:BZ$40,MATCH(ROW()-3,CA$4:CA$40,0)))</f>
        <v/>
      </c>
      <c r="CC15" s="55">
        <f>IF('Final Calculation Sheet'!$O$15="","",'Final Calculation Sheet'!$O$15)</f>
        <v/>
      </c>
      <c r="CD15">
        <f>IF(CC15="","",COUNTIFS(CC$4:CC$40,"&lt;"&amp;CC15,CC$4:CC$40,"&lt;&gt;"&amp;"")+COUNTIF(CC$4:CC15,CC15))</f>
        <v/>
      </c>
      <c r="CE15" s="55">
        <f>IF(ROW()-3&gt;COUNTIF(CC$4:CC$40,"&lt;&gt;"&amp;""),"",INDEX(CC$4:CC$40,MATCH(ROW()-3,CD$4:CD$40,0)))</f>
        <v/>
      </c>
      <c r="CF15">
        <f>CF14+IF(AND(CE15&lt;&gt;"",COUNTIF(CE$4:CE15,CE15)=1),1,0)</f>
        <v/>
      </c>
      <c r="CG15" s="55">
        <f>IF(ROW()-3&gt;MAX(CF$4:CF$40),"",INDEX(CE$4:CE$40,MATCH(ROW()-3,CF$4:CF$40,0)))</f>
        <v/>
      </c>
      <c r="CH15" s="55">
        <f>IF('Final Calculation Sheet'!$P$15="","",'Final Calculation Sheet'!$P$15)</f>
        <v/>
      </c>
      <c r="CI15">
        <f>IF(CH15="","",COUNTIFS(CH$4:CH$40,"&lt;"&amp;CH15,CH$4:CH$40,"&lt;&gt;"&amp;"")+COUNTIF(CH$4:CH15,CH15))</f>
        <v/>
      </c>
      <c r="CJ15" s="55">
        <f>IF(ROW()-3&gt;COUNTIF(CH$4:CH$40,"&lt;&gt;"&amp;""),"",INDEX(CH$4:CH$40,MATCH(ROW()-3,CI$4:CI$40,0)))</f>
        <v/>
      </c>
      <c r="CK15">
        <f>CK14+IF(AND(CJ15&lt;&gt;"",COUNTIF(CJ$4:CJ15,CJ15)=1),1,0)</f>
        <v/>
      </c>
      <c r="CL15" s="55">
        <f>IF(ROW()-3&gt;MAX(CK$4:CK$40),"",INDEX(CJ$4:CJ$40,MATCH(ROW()-3,CK$4:CK$40,0)))</f>
        <v/>
      </c>
      <c r="CM15" s="139">
        <f>IF('Final Calculation Sheet'!$Q$15="","",'Final Calculation Sheet'!$Q$15)</f>
        <v/>
      </c>
      <c r="CN15">
        <f>IF(CM15="","",COUNTIFS(CM$4:CM$40,"&lt;"&amp;CM15,CM$4:CM$40,"&lt;&gt;"&amp;"")+COUNTIF(CM$4:CM15,CM15))</f>
        <v/>
      </c>
      <c r="CO15" s="139">
        <f>IF(ROW()-3&gt;COUNTIF(CM$4:CM$40,"&lt;&gt;"&amp;""),"",INDEX(CM$4:CM$40,MATCH(ROW()-3,CN$4:CN$40,0)))</f>
        <v/>
      </c>
      <c r="CP15">
        <f>CP14+IF(AND(CO15&lt;&gt;"",COUNTIF(CO$4:CO15,CO15)=1),1,0)</f>
        <v/>
      </c>
      <c r="CQ15">
        <f>IF(ROW()-3&gt;MAX(CP$4:CP$40),"",INDEX(CO$4:CO$40,MATCH(ROW()-3,CP$4:CP$40,0)))</f>
        <v/>
      </c>
      <c r="CR15" s="55">
        <f>IF('Final Calculation Sheet'!$R$15="","",'Final Calculation Sheet'!$R$15)</f>
        <v/>
      </c>
      <c r="CS15">
        <f>IF(CR15="","",COUNTIFS(CR$4:CR$40,"&lt;"&amp;CR15,CR$4:CR$40,"&lt;&gt;"&amp;"")+COUNTIF(CR$4:CR15,CR15))</f>
        <v/>
      </c>
      <c r="CT15" s="55">
        <f>IF(ROW()-3&gt;COUNTIF(CR$4:CR$40,"&lt;&gt;"&amp;""),"",INDEX(CR$4:CR$40,MATCH(ROW()-3,CS$4:CS$40,0)))</f>
        <v/>
      </c>
      <c r="CU15">
        <f>CU14+IF(AND(CT15&lt;&gt;"",COUNTIF(CT$4:CT15,CT15)=1),1,0)</f>
        <v/>
      </c>
      <c r="CV15">
        <f>IF(ROW()-3&gt;MAX(CU$4:CU$40),"",INDEX(CT$4:CT$40,MATCH(ROW()-3,CU$4:CU$40,0)))</f>
        <v/>
      </c>
      <c r="CW15" s="55">
        <f>IF('Final Calculation Sheet'!$S$15="","",'Final Calculation Sheet'!$S$15)</f>
        <v/>
      </c>
      <c r="CX15">
        <f>IF(CW15="","",COUNTIFS(CW$4:CW$40,"&lt;"&amp;CW15,CW$4:CW$40,"&lt;&gt;"&amp;"")+COUNTIF(CW$4:CW15,CW15))</f>
        <v/>
      </c>
      <c r="CY15" s="55">
        <f>IF(ROW()-3&gt;COUNTIF(CW$4:CW$40,"&lt;&gt;"&amp;""),"",INDEX(CW$4:CW$40,MATCH(ROW()-3,CX$4:CX$40,0)))</f>
        <v/>
      </c>
      <c r="CZ15">
        <f>CZ14+IF(AND(CY15&lt;&gt;"",COUNTIF(CY$4:CY15,CY15)=1),1,0)</f>
        <v/>
      </c>
      <c r="DA15" s="55">
        <f>IF(ROW()-3&gt;MAX(CZ$4:CZ$40),"",INDEX(CY$4:CY$40,MATCH(ROW()-3,CZ$4:CZ$40,0)))</f>
        <v/>
      </c>
      <c r="DB15" s="55">
        <f>IF('Final Calculation Sheet'!$T$15="","",'Final Calculation Sheet'!$T$15)</f>
        <v/>
      </c>
      <c r="DC15">
        <f>IF(DB15="","",COUNTIFS(DB$4:DB$40,"&lt;"&amp;DB15,DB$4:DB$40,"&lt;&gt;"&amp;"")+COUNTIF(DB$4:DB15,DB15))</f>
        <v/>
      </c>
      <c r="DD15" s="55">
        <f>IF(ROW()-3&gt;COUNTIF(DB$4:DB$40,"&lt;&gt;"&amp;""),"",INDEX(DB$4:DB$40,MATCH(ROW()-3,DC$4:DC$40,0)))</f>
        <v/>
      </c>
      <c r="DE15">
        <f>DE14+IF(AND(DD15&lt;&gt;"",COUNTIF(DD$4:DD15,DD15)=1),1,0)</f>
        <v/>
      </c>
      <c r="DF15" s="55">
        <f>IF(ROW()-3&gt;MAX(DE$4:DE$40),"",INDEX(DD$4:DD$40,MATCH(ROW()-3,DE$4:DE$40,0)))</f>
        <v/>
      </c>
      <c r="DG15" s="140">
        <f>IF('Final Calculation Sheet'!$U$15="","",'Final Calculation Sheet'!$U$15)</f>
        <v/>
      </c>
      <c r="DH15">
        <f>IF(DG15="","",COUNTIFS(DG$4:DG$40,"&lt;"&amp;DG15,DG$4:DG$40,"&lt;&gt;"&amp;"")+COUNTIF(DG$4:DG15,DG15))</f>
        <v/>
      </c>
      <c r="DI15" s="140">
        <f>IF(ROW()-3&gt;COUNTIF(DG$4:DG$40,"&lt;&gt;"&amp;""),"",INDEX(DG$4:DG$40,MATCH(ROW()-3,DH$4:DH$40,0)))</f>
        <v/>
      </c>
      <c r="DJ15">
        <f>DJ14+IF(AND(DI15&lt;&gt;"",COUNTIF(DI$4:DI15,DI15)=1),1,0)</f>
        <v/>
      </c>
      <c r="DK15" s="140">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s="55">
        <f>IF('Final Calculation Sheet'!$W$15="","",'Final Calculation Sheet'!$W$15)</f>
        <v/>
      </c>
      <c r="DR15">
        <f>IF(DQ15="","",COUNTIFS(DQ$4:DQ$40,"&lt;"&amp;DQ15,DQ$4:DQ$40,"&lt;&gt;"&amp;"")+COUNTIF(DQ$4:DQ15,DQ15))</f>
        <v/>
      </c>
      <c r="DS15" s="55">
        <f>IF(ROW()-3&gt;COUNTIF(DQ$4:DQ$40,"&lt;&gt;"&amp;""),"",INDEX(DQ$4:DQ$40,MATCH(ROW()-3,DR$4:DR$40,0)))</f>
        <v/>
      </c>
      <c r="DT15">
        <f>DT14+IF(AND(DS15&lt;&gt;"",COUNTIF(DS$4:DS15,DS15)=1),1,0)</f>
        <v/>
      </c>
      <c r="DU15" s="55">
        <f>IF(ROW()-3&gt;MAX(DT$4:DT$40),"",INDEX(DS$4:DS$40,MATCH(ROW()-3,DT$4:DT$40,0)))</f>
        <v/>
      </c>
      <c r="DV15" s="55">
        <f>IF('Final Calculation Sheet'!$X$15="","",'Final Calculation Sheet'!$X$15)</f>
        <v/>
      </c>
      <c r="DW15">
        <f>IF(DV15="","",COUNTIFS(DV$4:DV$40,"&lt;"&amp;DV15,DV$4:DV$40,"&lt;&gt;"&amp;"")+COUNTIF(DV$4:DV15,DV15))</f>
        <v/>
      </c>
      <c r="DX15" s="5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s="55">
        <f>IF('Final Calculation Sheet'!$Z$15="","",'Final Calculation Sheet'!$Z$15)</f>
        <v/>
      </c>
      <c r="EG15">
        <f>IF(EF15="","",COUNTIFS(EF$4:EF$40,"&lt;"&amp;EF15,EF$4:EF$40,"&lt;&gt;"&amp;"")+COUNTIF(EF$4:EF15,EF15))</f>
        <v/>
      </c>
      <c r="EH15" s="5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s="55">
        <f>IF('Final Calculation Sheet'!$AC$15="","",'Final Calculation Sheet'!$AC$15)</f>
        <v/>
      </c>
      <c r="EV15">
        <f>IF(EU15="","",COUNTIFS(EU$4:EU$40,"&lt;"&amp;EU15,EU$4:EU$40,"&lt;&gt;"&amp;"")+COUNTIF(EU$4:EU15,EU15))</f>
        <v/>
      </c>
      <c r="EW15" s="55">
        <f>IF(ROW()-3&gt;COUNTIF(EU$4:EU$40,"&lt;&gt;"&amp;""),"",INDEX(EU$4:EU$40,MATCH(ROW()-3,EV$4:EV$40,0)))</f>
        <v/>
      </c>
      <c r="EX15">
        <f>EX14+IF(AND(EW15&lt;&gt;"",COUNTIF(EW$4:EW15,EW15)=1),1,0)</f>
        <v/>
      </c>
      <c r="EY15" s="55">
        <f>IF(ROW()-3&gt;MAX(EX$4:EX$40),"",INDEX(EW$4:EW$40,MATCH(ROW()-3,EX$4:EX$40,0)))</f>
        <v/>
      </c>
      <c r="EZ15" s="55">
        <f>IF('Final Calculation Sheet'!$AD$15="","",'Final Calculation Sheet'!$AD$15)</f>
        <v/>
      </c>
      <c r="FA15">
        <f>IF(EZ15="","",COUNTIFS(EZ$4:EZ$40,"&lt;"&amp;EZ15,EZ$4:EZ$40,"&lt;&gt;"&amp;"")+COUNTIF(EZ$4:EZ15,EZ15))</f>
        <v/>
      </c>
      <c r="FB15" s="55">
        <f>IF(ROW()-3&gt;COUNTIF(EZ$4:EZ$40,"&lt;&gt;"&amp;""),"",INDEX(EZ$4:EZ$40,MATCH(ROW()-3,FA$4:FA$40,0)))</f>
        <v/>
      </c>
      <c r="FC15">
        <f>FC14+IF(AND(FB15&lt;&gt;"",COUNTIF(FB$4:FB15,FB15)=1),1,0)</f>
        <v/>
      </c>
      <c r="FD15">
        <f>IF(ROW()-3&gt;MAX(FC$4:FC$40),"",INDEX(FB$4:FB$40,MATCH(ROW()-3,FC$4:FC$40,0)))</f>
        <v/>
      </c>
      <c r="FE15">
        <f>IF('Final Calculation Sheet'!$AF$15="","",'Final Calculation Sheet'!$AF$15)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s="141">
        <f>IF('Final Calculation Sheet'!$AG$15="","",'Final Calculation Sheet'!$AG$15)</f>
        <v/>
      </c>
      <c r="FK15">
        <f>IF(FJ15="","",COUNTIFS(FJ$4:FJ$40,"&lt;"&amp;FJ15,FJ$4:FJ$40,"&lt;&gt;"&amp;"")+COUNTIF(FJ$4:FJ15,FJ15))</f>
        <v/>
      </c>
      <c r="FL15" s="141">
        <f>IF(ROW()-3&gt;COUNTIF(FJ$4:FJ$40,"&lt;&gt;"&amp;""),"",INDEX(FJ$4:FJ$40,MATCH(ROW()-3,FK$4:FK$40,0)))</f>
        <v/>
      </c>
      <c r="FM15">
        <f>FM14+IF(AND(FL15&lt;&gt;"",COUNTIF(FL$4:FL15,FL15)=1),1,0)</f>
        <v/>
      </c>
      <c r="FN15">
        <f>IF(ROW()-3&gt;MAX(FM$4:FM$40),"",INDEX(FL$4:FL$40,MATCH(ROW()-3,FM$4:FM$40,0)))</f>
        <v/>
      </c>
      <c r="FO15">
        <f>IF('Final Calculation Sheet'!$AH$15="","",'Final Calculation Sheet'!$AH$15)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c r="FY15">
        <f>IF(COUNTIF('Live Search'!BM$14:BO$14,0)+COUNTIF('Live Search'!BQ$14:CU$14,0)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5">
        <f>IF($Y$15="",FALSE,SUMPRODUCT(('Final Calculation Sheet'!$B$4:$B$40=$Y$15)*($FY$6:$FY$42=1))&gt;0)</f>
        <v/>
      </c>
      <c r="GA15">
        <f>$GA$14+--($FZ$15)</f>
        <v/>
      </c>
      <c r="GB15">
        <f>IF(ROW()-3&gt;MAX($GA$4:$GA$40),"",INDEX($Y$4:$Y$40,MATCH(ROW()-3,$GA$4:$GA$40,0)))</f>
        <v/>
      </c>
      <c r="GC15">
        <f>IF(COUNTIF('Live Search'!BM$14:BM$14,0)+COUNTIF('Live Search'!BO$14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D15">
        <f>IF($O$15="",FALSE,SUMPRODUCT(('Final Calculation Sheet'!$F$4:$F$40=$O$15)*($GC$6:$GC$42=1))&gt;0)</f>
        <v/>
      </c>
      <c r="GE15">
        <f>$GE$14+--($GD15)</f>
        <v/>
      </c>
      <c r="GF15">
        <f>IF(ROW()-3&gt;MAX($GE$4:$GE$40),"",INDEX($O$4:$O$40,MATCH(ROW()-3,$GE$4:$GE$40,0)))</f>
        <v/>
      </c>
      <c r="GG15">
        <f>IF(COUNTIF('Live Search'!BM$14:BN$14,0)+COUNTIF('Live Search'!BP$14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H15">
        <f>IF($T$15="",FALSE,SUMPRODUCT(('Final Calculation Sheet'!$G$4:$G$40=$T$15)*($GG$6:$GG$42=1))&gt;0)</f>
        <v/>
      </c>
      <c r="GI15">
        <f>$GI$14+--($GH15)</f>
        <v/>
      </c>
      <c r="GJ15">
        <f>IF(ROW()-3&gt;MAX($GI$4:$GI$40),"",INDEX($T$4:$T$40,MATCH(ROW()-3,$GI$4:$GI$40,0)))</f>
        <v/>
      </c>
      <c r="GK15">
        <f>IF(COUNTIF('Live Search'!BM$14:BP$14,0)+COUNTIF('Live Search'!BR$14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L15">
        <f>IF($AD$15="",FALSE,SUMPRODUCT(('Final Calculation Sheet'!$D$4:$D$40=$AD$15)*($GK$6:$GK$42=1))&gt;0)</f>
        <v/>
      </c>
      <c r="GM15">
        <f>$GM$14+--($GL15)</f>
        <v/>
      </c>
      <c r="GN15">
        <f>IF(ROW()-3&gt;MAX($GM$4:$GM$40),"",INDEX($AD$4:$AD$40,MATCH(ROW()-3,$GM$4:$GM$40,0)))</f>
        <v/>
      </c>
      <c r="GO15">
        <f>IF(COUNTIF('Live Search'!BM$14:BQ$14,0)+COUNTIF('Live Search'!BS$14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P15">
        <f>IF($AI$15="",FALSE,SUMPRODUCT(('Final Calculation Sheet'!$A$4:$A$40=$AI$15)*($GO$6:$GO$42=1))&gt;0)</f>
        <v/>
      </c>
      <c r="GQ15">
        <f>$GQ$14+--($GP15)</f>
        <v/>
      </c>
      <c r="GR15">
        <f>IF(ROW()-3&gt;MAX($GQ$4:$GQ$40),"",INDEX($AI$4:$AI$40,MATCH(ROW()-3,$GQ$4:$GQ$40,0)))</f>
        <v/>
      </c>
      <c r="GS15">
        <f>IF(COUNTIF('Live Search'!BM$14:BR$14,0)+COUNTIF('Live Search'!BT$14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T15">
        <f>IF($AN$15="",FALSE,SUMPRODUCT(('Final Calculation Sheet'!$E$4:$E$40=$AN$15)*($GS$6:$GS$42=1))&gt;0)</f>
        <v/>
      </c>
      <c r="GU15">
        <f>$GU$14+--($GT15)</f>
        <v/>
      </c>
      <c r="GV15">
        <f>IF(ROW()-3&gt;MAX($GU$4:$GU$40),"",INDEX($AN$4:$AN$40,MATCH(ROW()-3,$GU$4:$GU$40,0)))</f>
        <v/>
      </c>
      <c r="GW15">
        <f>IF(COUNTIF('Live Search'!BM$14:BS$14,0)+COUNTIF('Live Search'!BU$14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GX15">
        <f>IF($AS$15="",FALSE,SUMPRODUCT(('Final Calculation Sheet'!$C$4:$C$40=$AS$15)*($GW$6:$GW$42=1))&gt;0)</f>
        <v/>
      </c>
      <c r="GY15">
        <f>$GY$14+--($GX15)</f>
        <v/>
      </c>
      <c r="GZ15">
        <f>IF(ROW()-3&gt;MAX($GY$4:$GY$40),"",INDEX($AS$4:$AS$40,MATCH(ROW()-3,$GY$4:$GY$40,0)))</f>
        <v/>
      </c>
      <c r="HA15">
        <f>IF(COUNTIF('Live Search'!BM$14:BT$14,0)+COUNTIF('Live Search'!BV$14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B15">
        <f>IF($AX$15="",FALSE,SUMPRODUCT(('Final Calculation Sheet'!$H$4:$H$40=$AX$15)*($HA$6:$HA$42=1))&gt;0)</f>
        <v/>
      </c>
      <c r="HC15">
        <f>$HC$14+--($HB15)</f>
        <v/>
      </c>
      <c r="HD15">
        <f>IF(ROW()-3&gt;MAX($HC$4:$HC$40),"",INDEX($AX$4:$AX$40,MATCH(ROW()-3,$HC$4:$HC$40,0)))</f>
        <v/>
      </c>
      <c r="HE15">
        <f>IF(COUNTIF('Live Search'!BM$14:BU$14,0)+COUNTIF('Live Search'!BW$14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F15">
        <f>IF($BC$15="",FALSE,SUMPRODUCT(('Final Calculation Sheet'!$I$4:$I$40=$BC$15)*($HE$6:$HE$42=1))&gt;0)</f>
        <v/>
      </c>
      <c r="HG15">
        <f>$HG$14+--($HF15)</f>
        <v/>
      </c>
      <c r="HH15">
        <f>IF(ROW()-3&gt;MAX($HG$4:$HG$40),"",INDEX($BC$4:$BC$40,MATCH(ROW()-3,$HG$4:$HG$40,0)))</f>
        <v/>
      </c>
      <c r="HI15">
        <f>IF(COUNTIF('Live Search'!BM$14:BV$14,0)+COUNTIF('Live Search'!BX$14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J15">
        <f>IF($BH$15="",FALSE,SUMPRODUCT(('Final Calculation Sheet'!$J$4:$J$40=$BH$15)*($HI$6:$HI$42=1))&gt;0)</f>
        <v/>
      </c>
      <c r="HK15">
        <f>$HK$14+--($HJ15)</f>
        <v/>
      </c>
      <c r="HL15">
        <f>IF(ROW()-3&gt;MAX($HK$4:$HK$40),"",INDEX($BH$4:$BH$40,MATCH(ROW()-3,$HK$4:$HK$40,0)))</f>
        <v/>
      </c>
      <c r="HM15">
        <f>IF(COUNTIF('Live Search'!BM$14:BW$14,0)+COUNTIF('Live Search'!BY$14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N15">
        <f>IF($BM$15="",FALSE,SUMPRODUCT(('Final Calculation Sheet'!$K$4:$K$40=$BM$15)*($HM$6:$HM$42=1))&gt;0)</f>
        <v/>
      </c>
      <c r="HO15">
        <f>$HO$14+--($HN15)</f>
        <v/>
      </c>
      <c r="HP15">
        <f>IF(ROW()-3&gt;MAX($HO$4:$HO$40),"",INDEX($BM$4:$BM$40,MATCH(ROW()-3,$HO$4:$HO$40,0)))</f>
        <v/>
      </c>
      <c r="HQ15">
        <f>IF(COUNTIF('Live Search'!BM$14:BX$14,0)+COUNTIF('Live Search'!BZ$14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R15">
        <f>IF($BR$15="",FALSE,SUMPRODUCT(('Final Calculation Sheet'!$L$4:$L$40=$BR$15)*($HQ$6:$HQ$42=1))&gt;0)</f>
        <v/>
      </c>
      <c r="HS15">
        <f>$HS$14+--($HR15)</f>
        <v/>
      </c>
      <c r="HT15">
        <f>IF(ROW()-3&gt;MAX($HS$4:$HS$40),"",INDEX($BR$4:$BR$40,MATCH(ROW()-3,$HS$4:$HS$40,0)))</f>
        <v/>
      </c>
      <c r="HU15">
        <f>IF(COUNTIF('Live Search'!BM$14:BY$14,0)+COUNTIF('Live Search'!CA$14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V15">
        <f>IF($BW$15="",FALSE,SUMPRODUCT(('Final Calculation Sheet'!$M$4:$M$40=$BW$15)*($HU$6:$HU$42=1))&gt;0)</f>
        <v/>
      </c>
      <c r="HW15">
        <f>$HW$14+--($HV15)</f>
        <v/>
      </c>
      <c r="HX15">
        <f>IF(ROW()-3&gt;MAX($HW$4:$HW$40),"",INDEX($BW$4:$BW$40,MATCH(ROW()-3,$HW$4:$HW$40,0)))</f>
        <v/>
      </c>
      <c r="HY15">
        <f>IF(COUNTIF('Live Search'!BM$14:BZ$14,0)+COUNTIF('Live Search'!CB$14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HZ15">
        <f>IF($CB$15="",FALSE,SUMPRODUCT(('Final Calculation Sheet'!$N$4:$N$40=$CB$15)*($HY$6:$HY$42=1))&gt;0)</f>
        <v/>
      </c>
      <c r="IA15">
        <f>$IA$14+--($HZ15)</f>
        <v/>
      </c>
      <c r="IB15">
        <f>IF(ROW()-3&gt;MAX($IA$4:$IA$40),"",INDEX($CB$4:$CB$40,MATCH(ROW()-3,$IA$4:$IA$40,0)))</f>
        <v/>
      </c>
      <c r="IC15">
        <f>IF(COUNTIF('Live Search'!BM$14:CA$14,0)+COUNTIF('Live Search'!CC$14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D15">
        <f>IF($CG$15="",FALSE,SUMPRODUCT(('Final Calculation Sheet'!$O$4:$O$40=$CG$15)*($IC$6:$IC$42=1))&gt;0)</f>
        <v/>
      </c>
      <c r="IE15">
        <f>$IE$14+--($ID15)</f>
        <v/>
      </c>
      <c r="IF15">
        <f>IF(ROW()-3&gt;MAX($IE$4:$IE$40),"",INDEX($CG$4:$CG$40,MATCH(ROW()-3,$IE$4:$IE$40,0)))</f>
        <v/>
      </c>
      <c r="IG15">
        <f>IF(COUNTIF('Live Search'!BM$14:CB$14,0)+COUNTIF('Live Search'!CD$14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H15">
        <f>IF($CL$15="",FALSE,SUMPRODUCT(('Final Calculation Sheet'!$P$4:$P$40=$CL$15)*($IG$6:$IG$42=1))&gt;0)</f>
        <v/>
      </c>
      <c r="II15">
        <f>$II$14+--($IH15)</f>
        <v/>
      </c>
      <c r="IJ15">
        <f>IF(ROW()-3&gt;MAX($II$4:$II$40),"",INDEX($CL$4:$CL$40,MATCH(ROW()-3,$II$4:$II$40,0)))</f>
        <v/>
      </c>
      <c r="IK15">
        <f>IF(COUNTIF('Live Search'!BM$14:CC$14,0)+COUNTIF('Live Search'!CE$14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L15">
        <f>IF($CQ$15="",FALSE,SUMPRODUCT(('Final Calculation Sheet'!$Q$4:$Q$40=$CQ$15)*($IK$6:$IK$42=1))&gt;0)</f>
        <v/>
      </c>
      <c r="IM15">
        <f>$IM$14+--($IL15)</f>
        <v/>
      </c>
      <c r="IN15">
        <f>IF(ROW()-3&gt;MAX($IM$4:$IM$40),"",INDEX($CQ$4:$CQ$40,MATCH(ROW()-3,$IM$4:$IM$40,0)))</f>
        <v/>
      </c>
      <c r="IO15">
        <f>IF(COUNTIF('Live Search'!BM$14:CD$14,0)+COUNTIF('Live Search'!CF$14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P15">
        <f>IF($CV$15="",FALSE,SUMPRODUCT(('Final Calculation Sheet'!$R$4:$R$40=$CV$15)*($IO$6:$IO$42=1))&gt;0)</f>
        <v/>
      </c>
      <c r="IQ15">
        <f>$IQ$14+--($IP15)</f>
        <v/>
      </c>
      <c r="IR15">
        <f>IF(ROW()-3&gt;MAX($IQ$4:$IQ$40),"",INDEX($CV$4:$CV$40,MATCH(ROW()-3,$IQ$4:$IQ$40,0)))</f>
        <v/>
      </c>
      <c r="IS15">
        <f>IF(COUNTIF('Live Search'!BM$14:CE$14,0)+COUNTIF('Live Search'!CG$14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T15">
        <f>IF($DA$15="",FALSE,SUMPRODUCT(('Final Calculation Sheet'!$S$4:$S$40=$DA$15)*($IS$6:$IS$42=1))&gt;0)</f>
        <v/>
      </c>
      <c r="IU15">
        <f>$IU$14+--($IT15)</f>
        <v/>
      </c>
      <c r="IV15">
        <f>IF(ROW()-3&gt;MAX($IU$4:$IU$40),"",INDEX($DA$4:$DA$40,MATCH(ROW()-3,$IU$4:$IU$40,0)))</f>
        <v/>
      </c>
      <c r="IW15">
        <f>IF(COUNTIF('Live Search'!BM$14:CF$14,0)+COUNTIF('Live Search'!CH$14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IX15">
        <f>IF($DF$15="",FALSE,SUMPRODUCT(('Final Calculation Sheet'!$T$4:$T$40=$DF$15)*($IW$6:$IW$42=1))&gt;0)</f>
        <v/>
      </c>
      <c r="IY15">
        <f>$IY$14+--($IX15)</f>
        <v/>
      </c>
      <c r="IZ15">
        <f>IF(ROW()-3&gt;MAX($IY$4:$IY$40),"",INDEX($DF$4:$DF$40,MATCH(ROW()-3,$IY$4:$IY$40,0)))</f>
        <v/>
      </c>
      <c r="JA15">
        <f>IF(COUNTIF('Live Search'!BM$14:CG$14,0)+COUNTIF('Live Search'!CI$14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B15">
        <f>IF($DK$15="",FALSE,SUMPRODUCT(('Final Calculation Sheet'!$U$4:$U$40=$DK$15)*($JA$6:$JA$42=1))&gt;0)</f>
        <v/>
      </c>
      <c r="JC15">
        <f>$JC$14+--($JB15)</f>
        <v/>
      </c>
      <c r="JD15">
        <f>IF(ROW()-3&gt;MAX($JC$4:$JC$40),"",INDEX($DK$4:$DK$40,MATCH(ROW()-3,$JC$4:$JC$40,0)))</f>
        <v/>
      </c>
      <c r="JE15">
        <f>IF(COUNTIF('Live Search'!BM$14:CH$14,0)+COUNTIF('Live Search'!CJ$14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F15">
        <f>IF($DP$15="",FALSE,SUMPRODUCT(('Final Calculation Sheet'!$V$4:$V$40=$DP$15)*($JE$6:$JE$42=1))&gt;0)</f>
        <v/>
      </c>
      <c r="JG15">
        <f>$JG$14+--($JF15)</f>
        <v/>
      </c>
      <c r="JH15">
        <f>IF(ROW()-3&gt;MAX($JG$4:$JG$40),"",INDEX($DP$4:$DP$40,MATCH(ROW()-3,$JG$4:$JG$40,0)))</f>
        <v/>
      </c>
      <c r="JI15">
        <f>IF(COUNTIF('Live Search'!BM$14:CI$14,0)+COUNTIF('Live Search'!CK$14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J15">
        <f>IF($DU$15="",FALSE,SUMPRODUCT(('Final Calculation Sheet'!$W$4:$W$40=$DU$15)*($JI$6:$JI$42=1))&gt;0)</f>
        <v/>
      </c>
      <c r="JK15">
        <f>$JK$14+--($JJ15)</f>
        <v/>
      </c>
      <c r="JL15">
        <f>IF(ROW()-3&gt;MAX($JK$4:$JK$40),"",INDEX($DU$4:$DU$40,MATCH(ROW()-3,$JK$4:$JK$40,0)))</f>
        <v/>
      </c>
      <c r="JM15">
        <f>IF(COUNTIF('Live Search'!BM$14:CJ$14,0)+COUNTIF('Live Search'!CL$14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N15">
        <f>IF($DZ$15="",FALSE,SUMPRODUCT(('Final Calculation Sheet'!$X$4:$X$40=$DZ$15)*($JM$6:$JM$42=1))&gt;0)</f>
        <v/>
      </c>
      <c r="JO15">
        <f>$JO$14+--($JN15)</f>
        <v/>
      </c>
      <c r="JP15">
        <f>IF(ROW()-3&gt;MAX($JO$4:$JO$40),"",INDEX($DZ$4:$DZ$40,MATCH(ROW()-3,$JO$4:$JO$40,0)))</f>
        <v/>
      </c>
      <c r="JQ15">
        <f>IF(COUNTIF('Live Search'!BM$14:CK$14,0)+COUNTIF('Live Search'!C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R15">
        <f>IF($EE$15="",FALSE,SUMPRODUCT(('Final Calculation Sheet'!$Y$4:$Y$40=$EE$15)*($JQ$6:$JQ$42=1))&gt;0)</f>
        <v/>
      </c>
      <c r="JS15">
        <f>$JS$14+--($JR15)</f>
        <v/>
      </c>
      <c r="JT15">
        <f>IF(ROW()-3&gt;MAX($JS$4:$JS$40),"",INDEX($EE$4:$EE$40,MATCH(ROW()-3,$JS$4:$JS$40,0)))</f>
        <v/>
      </c>
      <c r="JU15">
        <f>IF(COUNTIF('Live Search'!BM$14:CL$14,0)+COUNTIF('Live Search'!CN$14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V15">
        <f>IF($EJ$15="",FALSE,SUMPRODUCT(('Final Calculation Sheet'!$Z$4:$Z$40=$EJ$15)*($JU$6:$JU$42=1))&gt;0)</f>
        <v/>
      </c>
      <c r="JW15">
        <f>$JW$14+--($JV15)</f>
        <v/>
      </c>
      <c r="JX15">
        <f>IF(ROW()-3&gt;MAX($JW$4:$JW$40),"",INDEX($EJ$4:$EJ$40,MATCH(ROW()-3,$JW$4:$JW$40,0)))</f>
        <v/>
      </c>
      <c r="JY15">
        <f>IF(COUNTIF('Live Search'!BM$14:CM$14,0)+COUNTIF('Live Search'!CO$14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JZ15">
        <f>IF($EO$15="",FALSE,SUMPRODUCT(('Final Calculation Sheet'!$AA$4:$AA$40=$EO$15)*($JY$6:$JY$42=1))&gt;0)</f>
        <v/>
      </c>
      <c r="KA15">
        <f>$KA$14+--($JZ15)</f>
        <v/>
      </c>
      <c r="KB15">
        <f>IF(ROW()-3&gt;MAX($KA$4:$KA$40),"",INDEX($EO$4:$EO$40,MATCH(ROW()-3,$KA$4:$KA$40,0)))</f>
        <v/>
      </c>
      <c r="KC15">
        <f>IF(COUNTIF('Live Search'!BM$14:CN$14,0)+COUNTIF('Live Search'!CP$14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D15">
        <f>IF($ET$15="",FALSE,SUMPRODUCT(('Final Calculation Sheet'!$AB$4:$AB$40=$ET$15)*($KC$6:$KC$42=1))&gt;0)</f>
        <v/>
      </c>
      <c r="KE15">
        <f>$KE$14+--($KD15)</f>
        <v/>
      </c>
      <c r="KF15">
        <f>IF(ROW()-3&gt;MAX($KE$4:$KE$40),"",INDEX($ET$4:$ET$40,MATCH(ROW()-3,$KE$4:$KE$40,0)))</f>
        <v/>
      </c>
      <c r="KG15">
        <f>IF(COUNTIF('Live Search'!BM$14:CO$14,0)+COUNTIF('Live Search'!CQ$14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H15">
        <f>IF($EY$15="",FALSE,SUMPRODUCT(('Final Calculation Sheet'!$AC$4:$AC$40=$EY$15)*($KG$6:$KG$42=1))&gt;0)</f>
        <v/>
      </c>
      <c r="KI15">
        <f>$KI$14+--($KH15)</f>
        <v/>
      </c>
      <c r="KJ15">
        <f>IF(ROW()-3&gt;MAX($KI$4:$KI$40),"",INDEX($EY$4:$EY$40,MATCH(ROW()-3,$KI$4:$KI$40,0)))</f>
        <v/>
      </c>
      <c r="KK15">
        <f>IF(COUNTIF('Live Search'!BM$14:CP$14,0)+COUNTIF('Live Search'!CR$14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L15">
        <f>IF($FD$15="",FALSE,SUMPRODUCT(('Final Calculation Sheet'!$AD$4:$AD$40=$FD$15)*($KK$6:$KK$42=1))&gt;0)</f>
        <v/>
      </c>
      <c r="KM15">
        <f>$KM$14+--($KL15)</f>
        <v/>
      </c>
      <c r="KN15">
        <f>IF(ROW()-3&gt;MAX($KM$4:$KM$40),"",INDEX($FD$4:$FD$40,MATCH(ROW()-3,$KM$4:$KM$40,0)))</f>
        <v/>
      </c>
      <c r="KO15">
        <f>IF(COUNTIF('Live Search'!BM$14:CT$14,0)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P15">
        <f>IF($FX$15="",FALSE,SUMPRODUCT((IF('Final Calculation Sheet'!$AD$4:$AD$40&lt;=5,"SETTLED","OUTSTANDING")=$FX$15)*($KO$6:$KO$42=1))&gt;0)</f>
        <v/>
      </c>
      <c r="KQ15">
        <f>$KQ$14+--($KP15)</f>
        <v/>
      </c>
      <c r="KR15">
        <f>IF(ROW()-3&gt;MAX($KQ$4:$KQ$40),"",INDEX($FX$4:$FX$40,MATCH(ROW()-3,$KQ$4:$KQ$40,0)))</f>
        <v/>
      </c>
      <c r="KS15">
        <f>IF(COUNTIF('Live Search'!BM$14:CQ$14,0)+COUNTIF('Live Search'!CS$14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T15">
        <f>IF($FI$15="",FALSE,SUMPRODUCT(('Final Calculation Sheet'!$AF$4:$AF$40=$FI$15)*($KS$6:$KS$42=1))&gt;0)</f>
        <v/>
      </c>
      <c r="KU15">
        <f>$KU$14+--($KT15)</f>
        <v/>
      </c>
      <c r="KV15">
        <f>IF(ROW()-3&gt;MAX($KU$4:$KU$40),"",INDEX($FI$4:$FI$40,MATCH(ROW()-3,$KU$4:$KU$40,0)))</f>
        <v/>
      </c>
      <c r="KW15">
        <f>IF(COUNTIF('Live Search'!BM$14:CR$14,0)+COUNTIF('Live Search'!CT$14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KX15">
        <f>IF($FN$15="",FALSE,SUMPRODUCT(('Final Calculation Sheet'!$AG$4:$AG$40=$FN$15)*($KW$6:$KW$42=1))&gt;0)</f>
        <v/>
      </c>
      <c r="KY15">
        <f>$KY$14+--($KX15)</f>
        <v/>
      </c>
      <c r="KZ15">
        <f>IF(ROW()-3&gt;MAX($KY$4:$KY$40),"",INDEX($FN$4:$FN$40,MATCH(ROW()-3,$KY$4:$KY$40,0)))</f>
        <v/>
      </c>
      <c r="LA15">
        <f>IF(COUNTIF('Live Search'!BM$14:CS$14,0)+COUNTIF('Live Search'!CU$14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LB15">
        <f>IF($FS$15="",FALSE,SUMPRODUCT(('Final Calculation Sheet'!$AH$4:$AH$40=$FS$15)*($LA$6:$LA$42=1))&gt;0)</f>
        <v/>
      </c>
      <c r="LC15">
        <f>$LC$14+--($LB15)</f>
        <v/>
      </c>
      <c r="LD15">
        <f>IF(ROW()-3&gt;MAX($LC$4:$LC$40),"",INDEX($FS$4:$FS$40,MATCH(ROW()-3,$LC$4:$LC$40,0)))</f>
        <v/>
      </c>
      <c r="LE15">
        <f>IF(COUNTIF('Buyer Groups'!DH68:EN68,0)&gt;0,0,1)</f>
        <v/>
      </c>
      <c r="LF15">
        <f>IF($O$15="",FALSE,SUMPRODUCT(('Final Calculation Sheet'!$F$4:$F$40=$O$15)*($LE$6:$LE$42=1))&gt;0)</f>
        <v/>
      </c>
      <c r="LG15">
        <f>$LG$14+--($LF15)</f>
        <v/>
      </c>
      <c r="LH15">
        <f>IF(ROW()-3&gt;MAX($LG$4:$LG$40),"",INDEX($O$4:$O$40,MATCH(ROW()-3,$LG$4:$LG$40,0)))</f>
        <v/>
      </c>
      <c r="LI15">
        <f>IF(COUNTIF('Buyer Groups'!DG68:DG68,0)+COUNTIF('Buyer Groups'!DI68:EN68,0)&gt;0,0,1)</f>
        <v/>
      </c>
      <c r="LJ15">
        <f>IF($T$15="",FALSE,SUMPRODUCT(('Final Calculation Sheet'!$G$4:$G$40=$T$15)*($LI$6:$LI$42=1))&gt;0)</f>
        <v/>
      </c>
      <c r="LK15">
        <f>$LK$14+--($LJ15)</f>
        <v/>
      </c>
      <c r="LL15">
        <f>IF(ROW()-3&gt;MAX($LK$4:$LK$40),"",INDEX($T$4:$T$40,MATCH(ROW()-3,$LK$4:$LK$40,0)))</f>
        <v/>
      </c>
      <c r="LM15">
        <f>IF(COUNTIF('Buyer Groups'!DG68:DH68,0)+COUNTIF('Buyer Groups'!DJ68:EN68,0)&gt;0,0,1)</f>
        <v/>
      </c>
      <c r="LN15">
        <f>IF($Y$15="",FALSE,SUMPRODUCT(('Final Calculation Sheet'!$B$4:$B$40=$Y$15)*($LM$6:$LM$42=1))&gt;0)</f>
        <v/>
      </c>
      <c r="LO15">
        <f>$LO$14+--($LN15)</f>
        <v/>
      </c>
      <c r="LP15">
        <f>IF(ROW()-3&gt;MAX($LO$4:$LO$40),"",INDEX($Y$4:$Y$40,MATCH(ROW()-3,$LO$4:$LO$40,0)))</f>
        <v/>
      </c>
      <c r="LQ15">
        <f>IF(COUNTIF('Buyer Groups'!DG68:DI68,0)+COUNTIF('Buyer Groups'!DK68:EN68,0)&gt;0,0,1)</f>
        <v/>
      </c>
      <c r="LR15">
        <f>IF($AD$15="",FALSE,SUMPRODUCT(('Final Calculation Sheet'!$D$4:$D$40=$AD$15)*($LQ$6:$LQ$42=1))&gt;0)</f>
        <v/>
      </c>
      <c r="LS15">
        <f>$LS$14+--($LR15)</f>
        <v/>
      </c>
      <c r="LT15">
        <f>IF(ROW()-3&gt;MAX($LS$4:$LS$40),"",INDEX($AD$4:$AD$40,MATCH(ROW()-3,$LS$4:$LS$40,0)))</f>
        <v/>
      </c>
      <c r="LU15">
        <f>IF(COUNTIF('Buyer Groups'!DG68:DJ68,0)+COUNTIF('Buyer Groups'!DL68:EN68,0)&gt;0,0,1)</f>
        <v/>
      </c>
      <c r="LV15">
        <f>IF($AI$15="",FALSE,SUMPRODUCT(('Final Calculation Sheet'!$A$4:$A$40=$AI$15)*($LU$6:$LU$42=1))&gt;0)</f>
        <v/>
      </c>
      <c r="LW15">
        <f>$LW$14+--($LV15)</f>
        <v/>
      </c>
      <c r="LX15">
        <f>IF(ROW()-3&gt;MAX($LW$4:$LW$40),"",INDEX($AI$4:$AI$40,MATCH(ROW()-3,$LW$4:$LW$40,0)))</f>
        <v/>
      </c>
      <c r="LY15">
        <f>IF(COUNTIF('Buyer Groups'!DG68:DK68,0)+COUNTIF('Buyer Groups'!DM68:EN68,0)&gt;0,0,1)</f>
        <v/>
      </c>
      <c r="LZ15">
        <f>IF($AN$15="",FALSE,SUMPRODUCT(('Final Calculation Sheet'!$E$4:$E$40=$AN$15)*($LY$6:$LY$42=1))&gt;0)</f>
        <v/>
      </c>
      <c r="MA15">
        <f>$MA$14+--($LZ15)</f>
        <v/>
      </c>
      <c r="MB15">
        <f>IF(ROW()-3&gt;MAX($MA$4:$MA$40),"",INDEX($AN$4:$AN$40,MATCH(ROW()-3,$MA$4:$MA$40,0)))</f>
        <v/>
      </c>
      <c r="MC15">
        <f>IF(COUNTIF('Buyer Groups'!DG68:DL68,0)+COUNTIF('Buyer Groups'!DN68:EN68,0)&gt;0,0,1)</f>
        <v/>
      </c>
      <c r="MD15">
        <f>IF($AS$15="",FALSE,SUMPRODUCT(('Final Calculation Sheet'!$C$4:$C$40=$AS$15)*($MC$6:$MC$42=1))&gt;0)</f>
        <v/>
      </c>
      <c r="ME15">
        <f>$ME$14+--($MD15)</f>
        <v/>
      </c>
      <c r="MF15">
        <f>IF(ROW()-3&gt;MAX($ME$4:$ME$40),"",INDEX($AS$4:$AS$40,MATCH(ROW()-3,$ME$4:$ME$40,0)))</f>
        <v/>
      </c>
      <c r="MG15">
        <f>IF(COUNTIF('Buyer Groups'!DG68:DM68,0)+COUNTIF('Buyer Groups'!DO68:EN68,0)&gt;0,0,1)</f>
        <v/>
      </c>
      <c r="MH15">
        <f>IF($AX$15="",FALSE,SUMPRODUCT(('Final Calculation Sheet'!$H$4:$H$40=$AX$15)*($MG$6:$MG$42=1))&gt;0)</f>
        <v/>
      </c>
      <c r="MI15">
        <f>$MI$14+--($MH15)</f>
        <v/>
      </c>
      <c r="MJ15">
        <f>IF(ROW()-3&gt;MAX($MI$4:$MI$40),"",INDEX($AX$4:$AX$40,MATCH(ROW()-3,$MI$4:$MI$40,0)))</f>
        <v/>
      </c>
      <c r="MK15">
        <f>IF(COUNTIF('Buyer Groups'!DG68:DN68,0)+COUNTIF('Buyer Groups'!DP68:EN68,0)&gt;0,0,1)</f>
        <v/>
      </c>
      <c r="ML15">
        <f>IF($BC$15="",FALSE,SUMPRODUCT(('Final Calculation Sheet'!$I$4:$I$40=$BC$15)*($MK$6:$MK$42=1))&gt;0)</f>
        <v/>
      </c>
      <c r="MM15">
        <f>$MM$14+--($ML15)</f>
        <v/>
      </c>
      <c r="MN15">
        <f>IF(ROW()-3&gt;MAX($MM$4:$MM$40),"",INDEX($BC$4:$BC$40,MATCH(ROW()-3,$MM$4:$MM$40,0)))</f>
        <v/>
      </c>
      <c r="MO15">
        <f>IF(COUNTIF('Buyer Groups'!DG68:DO68,0)+COUNTIF('Buyer Groups'!DQ68:EN68,0)&gt;0,0,1)</f>
        <v/>
      </c>
      <c r="MP15">
        <f>IF($BH$15="",FALSE,SUMPRODUCT(('Final Calculation Sheet'!$J$4:$J$40=$BH$15)*($MO$6:$MO$42=1))&gt;0)</f>
        <v/>
      </c>
      <c r="MQ15">
        <f>$MQ$14+--($MP15)</f>
        <v/>
      </c>
      <c r="MR15">
        <f>IF(ROW()-3&gt;MAX($MQ$4:$MQ$40),"",INDEX($BH$4:$BH$40,MATCH(ROW()-3,$MQ$4:$MQ$40,0)))</f>
        <v/>
      </c>
      <c r="MS15">
        <f>IF(COUNTIF('Buyer Groups'!DG68:DP68,0)+COUNTIF('Buyer Groups'!DR68:EN68,0)&gt;0,0,1)</f>
        <v/>
      </c>
      <c r="MT15">
        <f>IF($BM$15="",FALSE,SUMPRODUCT(('Final Calculation Sheet'!$K$4:$K$40=$BM$15)*($MS$6:$MS$42=1))&gt;0)</f>
        <v/>
      </c>
      <c r="MU15">
        <f>$MU$14+--($MT15)</f>
        <v/>
      </c>
      <c r="MV15">
        <f>IF(ROW()-3&gt;MAX($MU$4:$MU$40),"",INDEX($BM$4:$BM$40,MATCH(ROW()-3,$MU$4:$MU$40,0)))</f>
        <v/>
      </c>
      <c r="MW15">
        <f>IF(COUNTIF('Buyer Groups'!DG68:DQ68,0)+COUNTIF('Buyer Groups'!DS68:EN68,0)&gt;0,0,1)</f>
        <v/>
      </c>
      <c r="MX15">
        <f>IF($BR$15="",FALSE,SUMPRODUCT(('Final Calculation Sheet'!$L$4:$L$40=$BR$15)*($MW$6:$MW$42=1))&gt;0)</f>
        <v/>
      </c>
      <c r="MY15">
        <f>$MY$14+--($MX15)</f>
        <v/>
      </c>
      <c r="MZ15">
        <f>IF(ROW()-3&gt;MAX($MY$4:$MY$40),"",INDEX($BR$4:$BR$40,MATCH(ROW()-3,$MY$4:$MY$40,0)))</f>
        <v/>
      </c>
      <c r="NA15">
        <f>IF(COUNTIF('Buyer Groups'!DG68:DR68,0)+COUNTIF('Buyer Groups'!DT68:EN68,0)&gt;0,0,1)</f>
        <v/>
      </c>
      <c r="NB15">
        <f>IF($BW$15="",FALSE,SUMPRODUCT(('Final Calculation Sheet'!$M$4:$M$40=$BW$15)*($NA$6:$NA$42=1))&gt;0)</f>
        <v/>
      </c>
      <c r="NC15">
        <f>$NC$14+--($NB15)</f>
        <v/>
      </c>
      <c r="ND15">
        <f>IF(ROW()-3&gt;MAX($NC$4:$NC$40),"",INDEX($BW$4:$BW$40,MATCH(ROW()-3,$NC$4:$NC$40,0)))</f>
        <v/>
      </c>
      <c r="NE15">
        <f>IF(COUNTIF('Buyer Groups'!DG68:DS68,0)+COUNTIF('Buyer Groups'!DU68:EN68,0)&gt;0,0,1)</f>
        <v/>
      </c>
      <c r="NF15">
        <f>IF($CB$15="",FALSE,SUMPRODUCT(('Final Calculation Sheet'!$N$4:$N$40=$CB$15)*($NE$6:$NE$42=1))&gt;0)</f>
        <v/>
      </c>
      <c r="NG15">
        <f>$NG$14+--($NF15)</f>
        <v/>
      </c>
      <c r="NH15">
        <f>IF(ROW()-3&gt;MAX($NG$4:$NG$40),"",INDEX($CB$4:$CB$40,MATCH(ROW()-3,$NG$4:$NG$40,0)))</f>
        <v/>
      </c>
      <c r="NI15">
        <f>IF(COUNTIF('Buyer Groups'!DG68:DT68,0)+COUNTIF('Buyer Groups'!DV68:EN68,0)&gt;0,0,1)</f>
        <v/>
      </c>
      <c r="NJ15">
        <f>IF($CG$15="",FALSE,SUMPRODUCT(('Final Calculation Sheet'!$O$4:$O$40=$CG$15)*($NI$6:$NI$42=1))&gt;0)</f>
        <v/>
      </c>
      <c r="NK15">
        <f>$NK$14+--($NJ15)</f>
        <v/>
      </c>
      <c r="NL15">
        <f>IF(ROW()-3&gt;MAX($NK$4:$NK$40),"",INDEX($CG$4:$CG$40,MATCH(ROW()-3,$NK$4:$NK$40,0)))</f>
        <v/>
      </c>
      <c r="NM15">
        <f>IF(COUNTIF('Buyer Groups'!DG68:DU68,0)+COUNTIF('Buyer Groups'!DW68:EN68,0)&gt;0,0,1)</f>
        <v/>
      </c>
      <c r="NN15">
        <f>IF($CL$15="",FALSE,SUMPRODUCT(('Final Calculation Sheet'!$P$4:$P$40=$CL$15)*($NM$6:$NM$42=1))&gt;0)</f>
        <v/>
      </c>
      <c r="NO15">
        <f>$NO$14+--($NN15)</f>
        <v/>
      </c>
      <c r="NP15">
        <f>IF(ROW()-3&gt;MAX($NO$4:$NO$40),"",INDEX($CL$4:$CL$40,MATCH(ROW()-3,$NO$4:$NO$40,0)))</f>
        <v/>
      </c>
      <c r="NQ15">
        <f>IF(COUNTIF('Buyer Groups'!DG68:DV68,0)+COUNTIF('Buyer Groups'!DX68:EN68,0)&gt;0,0,1)</f>
        <v/>
      </c>
      <c r="NR15">
        <f>IF($CQ$15="",FALSE,SUMPRODUCT(('Final Calculation Sheet'!$Q$4:$Q$40=$CQ$15)*($NQ$6:$NQ$42=1))&gt;0)</f>
        <v/>
      </c>
      <c r="NS15">
        <f>$NS$14+--($NR15)</f>
        <v/>
      </c>
      <c r="NT15">
        <f>IF(ROW()-3&gt;MAX($NS$4:$NS$40),"",INDEX($CQ$4:$CQ$40,MATCH(ROW()-3,$NS$4:$NS$40,0)))</f>
        <v/>
      </c>
      <c r="NU15">
        <f>IF(COUNTIF('Buyer Groups'!DG68:DW68,0)+COUNTIF('Buyer Groups'!DY68:EN68,0)&gt;0,0,1)</f>
        <v/>
      </c>
      <c r="NV15">
        <f>IF($CV$15="",FALSE,SUMPRODUCT(('Final Calculation Sheet'!$R$4:$R$40=$CV$15)*($NU$6:$NU$42=1))&gt;0)</f>
        <v/>
      </c>
      <c r="NW15">
        <f>$NW$14+--($NV15)</f>
        <v/>
      </c>
      <c r="NX15">
        <f>IF(ROW()-3&gt;MAX($NW$4:$NW$40),"",INDEX($CV$4:$CV$40,MATCH(ROW()-3,$NW$4:$NW$40,0)))</f>
        <v/>
      </c>
      <c r="NY15">
        <f>IF(COUNTIF('Buyer Groups'!DG68:DX68,0)+COUNTIF('Buyer Groups'!DZ68:EN68,0)&gt;0,0,1)</f>
        <v/>
      </c>
      <c r="NZ15">
        <f>IF($DA$15="",FALSE,SUMPRODUCT(('Final Calculation Sheet'!$S$4:$S$40=$DA$15)*($NY$6:$NY$42=1))&gt;0)</f>
        <v/>
      </c>
      <c r="OA15">
        <f>$OA$14+--($NZ15)</f>
        <v/>
      </c>
      <c r="OB15">
        <f>IF(ROW()-3&gt;MAX($OA$4:$OA$40),"",INDEX($DA$4:$DA$40,MATCH(ROW()-3,$OA$4:$OA$40,0)))</f>
        <v/>
      </c>
      <c r="OC15">
        <f>IF(COUNTIF('Buyer Groups'!DG68:DY68,0)+COUNTIF('Buyer Groups'!EA68:EN68,0)&gt;0,0,1)</f>
        <v/>
      </c>
      <c r="OD15">
        <f>IF($DF$15="",FALSE,SUMPRODUCT(('Final Calculation Sheet'!$T$4:$T$40=$DF$15)*($OC$6:$OC$42=1))&gt;0)</f>
        <v/>
      </c>
      <c r="OE15">
        <f>$OE$14+--($OD15)</f>
        <v/>
      </c>
      <c r="OF15">
        <f>IF(ROW()-3&gt;MAX($OE$4:$OE$40),"",INDEX($DF$4:$DF$40,MATCH(ROW()-3,$OE$4:$OE$40,0)))</f>
        <v/>
      </c>
      <c r="OG15">
        <f>IF(COUNTIF('Buyer Groups'!DG68:DZ68,0)+COUNTIF('Buyer Groups'!EB68:EN68,0)&gt;0,0,1)</f>
        <v/>
      </c>
      <c r="OH15">
        <f>IF($DK$15="",FALSE,SUMPRODUCT(('Final Calculation Sheet'!$U$4:$U$40=$DK$15)*($OG$6:$OG$42=1))&gt;0)</f>
        <v/>
      </c>
      <c r="OI15">
        <f>$OI$14+--($OH15)</f>
        <v/>
      </c>
      <c r="OJ15">
        <f>IF(ROW()-3&gt;MAX($OI$4:$OI$40),"",INDEX($DK$4:$DK$40,MATCH(ROW()-3,$OI$4:$OI$40,0)))</f>
        <v/>
      </c>
      <c r="OK15">
        <f>IF(COUNTIF('Buyer Groups'!DG68:EA68,0)+COUNTIF('Buyer Groups'!EC68:EN68,0)&gt;0,0,1)</f>
        <v/>
      </c>
      <c r="OL15">
        <f>IF($DP$15="",FALSE,SUMPRODUCT(('Final Calculation Sheet'!$V$4:$V$40=$DP$15)*($OK$6:$OK$42=1))&gt;0)</f>
        <v/>
      </c>
      <c r="OM15">
        <f>$OM$14+--($OL15)</f>
        <v/>
      </c>
      <c r="ON15">
        <f>IF(ROW()-3&gt;MAX($OM$4:$OM$40),"",INDEX($DP$4:$DP$40,MATCH(ROW()-3,$OM$4:$OM$40,0)))</f>
        <v/>
      </c>
      <c r="OO15">
        <f>IF(COUNTIF('Buyer Groups'!DG68:EB68,0)+COUNTIF('Buyer Groups'!ED68:EN68,0)&gt;0,0,1)</f>
        <v/>
      </c>
      <c r="OP15">
        <f>IF($DU$15="",FALSE,SUMPRODUCT(('Final Calculation Sheet'!$W$4:$W$40=$DU$15)*($OO$6:$OO$42=1))&gt;0)</f>
        <v/>
      </c>
      <c r="OQ15">
        <f>$OQ$14+--($OP15)</f>
        <v/>
      </c>
      <c r="OR15">
        <f>IF(ROW()-3&gt;MAX($OQ$4:$OQ$40),"",INDEX($DU$4:$DU$40,MATCH(ROW()-3,$OQ$4:$OQ$40,0)))</f>
        <v/>
      </c>
      <c r="OS15">
        <f>IF(COUNTIF('Buyer Groups'!DG68:EC68,0)+COUNTIF('Buyer Groups'!EE68:EN68,0)&gt;0,0,1)</f>
        <v/>
      </c>
      <c r="OT15">
        <f>IF($DZ$15="",FALSE,SUMPRODUCT(('Final Calculation Sheet'!$X$4:$X$40=$DZ$15)*($OS$6:$OS$42=1))&gt;0)</f>
        <v/>
      </c>
      <c r="OU15">
        <f>$OU$14+--($OT15)</f>
        <v/>
      </c>
      <c r="OV15">
        <f>IF(ROW()-3&gt;MAX($OU$4:$OU$40),"",INDEX($DZ$4:$DZ$40,MATCH(ROW()-3,$OU$4:$OU$40,0)))</f>
        <v/>
      </c>
      <c r="OW15">
        <f>IF(COUNTIF('Buyer Groups'!DG68:ED68,0)+COUNTIF('Buyer Groups'!EF68:EN68,0)&gt;0,0,1)</f>
        <v/>
      </c>
      <c r="OX15">
        <f>IF($EE$15="",FALSE,SUMPRODUCT(('Final Calculation Sheet'!$Y$4:$Y$40=$EE$15)*($OW$6:$OW$42=1))&gt;0)</f>
        <v/>
      </c>
      <c r="OY15">
        <f>$OY$14+--($OX15)</f>
        <v/>
      </c>
      <c r="OZ15">
        <f>IF(ROW()-3&gt;MAX($OY$4:$OY$40),"",INDEX($EE$4:$EE$40,MATCH(ROW()-3,$OY$4:$OY$40,0)))</f>
        <v/>
      </c>
      <c r="PA15">
        <f>IF(COUNTIF('Buyer Groups'!DG68:EE68,0)+COUNTIF('Buyer Groups'!EG68:EN68,0)&gt;0,0,1)</f>
        <v/>
      </c>
      <c r="PB15">
        <f>IF($EJ$15="",FALSE,SUMPRODUCT(('Final Calculation Sheet'!$Z$4:$Z$40=$EJ$15)*($PA$6:$PA$42=1))&gt;0)</f>
        <v/>
      </c>
      <c r="PC15">
        <f>$PC$14+--($PB15)</f>
        <v/>
      </c>
      <c r="PD15">
        <f>IF(ROW()-3&gt;MAX($PC$4:$PC$40),"",INDEX($EJ$4:$EJ$40,MATCH(ROW()-3,$PC$4:$PC$40,0)))</f>
        <v/>
      </c>
      <c r="PE15">
        <f>IF(COUNTIF('Buyer Groups'!DG68:EF68,0)+COUNTIF('Buyer Groups'!EH68:EN68,0)&gt;0,0,1)</f>
        <v/>
      </c>
      <c r="PF15">
        <f>IF($EO$15="",FALSE,SUMPRODUCT(('Final Calculation Sheet'!$AA$4:$AA$40=$EO$15)*($PE$6:$PE$42=1))&gt;0)</f>
        <v/>
      </c>
      <c r="PG15">
        <f>$PG$14+--($PF15)</f>
        <v/>
      </c>
      <c r="PH15">
        <f>IF(ROW()-3&gt;MAX($PG$4:$PG$40),"",INDEX($EO$4:$EO$40,MATCH(ROW()-3,$PG$4:$PG$40,0)))</f>
        <v/>
      </c>
      <c r="PI15">
        <f>IF(COUNTIF('Buyer Groups'!DG68:EG68,0)+COUNTIF('Buyer Groups'!EI68:EN68,0)&gt;0,0,1)</f>
        <v/>
      </c>
      <c r="PJ15">
        <f>IF($ET$15="",FALSE,SUMPRODUCT(('Final Calculation Sheet'!$AB$4:$AB$40=$ET$15)*($PI$6:$PI$42=1))&gt;0)</f>
        <v/>
      </c>
      <c r="PK15">
        <f>$PK$14+--($PJ15)</f>
        <v/>
      </c>
      <c r="PL15">
        <f>IF(ROW()-3&gt;MAX($PK$4:$PK$40),"",INDEX($ET$4:$ET$40,MATCH(ROW()-3,$PK$4:$PK$40,0)))</f>
        <v/>
      </c>
      <c r="PM15">
        <f>IF(COUNTIF('Buyer Groups'!DG68:EH68,0)+COUNTIF('Buyer Groups'!EJ68:EN68,0)&gt;0,0,1)</f>
        <v/>
      </c>
      <c r="PN15">
        <f>IF($EY$15="",FALSE,SUMPRODUCT(('Final Calculation Sheet'!$AC$4:$AC$40=$EY$15)*($PM$6:$PM$42=1))&gt;0)</f>
        <v/>
      </c>
      <c r="PO15">
        <f>$PO$14+--($PN15)</f>
        <v/>
      </c>
      <c r="PP15">
        <f>IF(ROW()-3&gt;MAX($PO$4:$PO$40),"",INDEX($EY$4:$EY$40,MATCH(ROW()-3,$PO$4:$PO$40,0)))</f>
        <v/>
      </c>
      <c r="PQ15">
        <f>IF(COUNTIF('Buyer Groups'!DG68:EI68,0)+COUNTIF('Buyer Groups'!EK68:EN68,0)&gt;0,0,1)</f>
        <v/>
      </c>
      <c r="PR15">
        <f>IF($FD$15="",FALSE,SUMPRODUCT(('Final Calculation Sheet'!$AD$4:$AD$40=$FD$15)*($PQ$6:$PQ$42=1))&gt;0)</f>
        <v/>
      </c>
      <c r="PS15">
        <f>$PS$14+--($PR15)</f>
        <v/>
      </c>
      <c r="PT15">
        <f>IF(ROW()-3&gt;MAX($PS$4:$PS$40),"",INDEX($FD$4:$FD$40,MATCH(ROW()-3,$PS$4:$PS$40,0)))</f>
        <v/>
      </c>
      <c r="PU15">
        <f>IF(COUNTIF('Buyer Groups'!DG68:EJ68,0)+COUNTIF('Buyer Groups'!EL68:EN68,0)&gt;0,0,1)</f>
        <v/>
      </c>
      <c r="PV15">
        <f>IF($FX$15="",FALSE,SUMPRODUCT((IF('Final Calculation Sheet'!$AD$4:$AD$40&lt;=5,"SETTLED","OUTSTANDING")=$FX$15)*($PU$6:$PU$42=1))&gt;0)</f>
        <v/>
      </c>
      <c r="PW15">
        <f>$PW$14+--($PV15)</f>
        <v/>
      </c>
      <c r="PX15">
        <f>IF(ROW()-3&gt;MAX($PW$4:$PW$40),"",INDEX($FX$4:$FX$40,MATCH(ROW()-3,$PW$4:$PW$40,0)))</f>
        <v/>
      </c>
      <c r="PY15">
        <f>IF(COUNTIF('Buyer Groups'!DG68:EK68,0)+COUNTIF('Buyer Groups'!EM68:EN68,0)&gt;0,0,1)</f>
        <v/>
      </c>
      <c r="PZ15">
        <f>IF($FI$15="",FALSE,SUMPRODUCT(('Final Calculation Sheet'!$AF$4:$AF$40=$FI$15)*($PY$6:$PY$42=1))&gt;0)</f>
        <v/>
      </c>
      <c r="QA15">
        <f>$QA$14+--($PZ15)</f>
        <v/>
      </c>
      <c r="QB15">
        <f>IF(ROW()-3&gt;MAX($QA$4:$QA$40),"",INDEX($FI$4:$FI$40,MATCH(ROW()-3,$QA$4:$QA$40,0)))</f>
        <v/>
      </c>
      <c r="QC15">
        <f>IF(COUNTIF('Buyer Groups'!DG68:EL68,0)+COUNTIF('Buyer Groups'!EN68:EN68,0)&gt;0,0,1)</f>
        <v/>
      </c>
      <c r="QD15">
        <f>IF($FN$15="",FALSE,SUMPRODUCT(('Final Calculation Sheet'!$AG$4:$AG$40=$FN$15)*($QC$6:$QC$42=1))&gt;0)</f>
        <v/>
      </c>
      <c r="QE15">
        <f>$QE$14+--($QD15)</f>
        <v/>
      </c>
      <c r="QF15">
        <f>IF(ROW()-3&gt;MAX($QE$4:$QE$40),"",INDEX($FN$4:$FN$40,MATCH(ROW()-3,$QE$4:$QE$40,0)))</f>
        <v/>
      </c>
      <c r="QG15">
        <f>IF(COUNTIF('Buyer Groups'!DG68:EM68,0)&gt;0,0,1)</f>
        <v/>
      </c>
      <c r="QH15">
        <f>IF($FS$15="",FALSE,SUMPRODUCT(('Final Calculation Sheet'!$AH$4:$AH$40=$FS$15)*($QG$6:$QG$42=1))&gt;0)</f>
        <v/>
      </c>
      <c r="QI15">
        <f>$QI$14+--($QH15)</f>
        <v/>
      </c>
      <c r="QJ15">
        <f>IF(ROW()-3&gt;MAX($QI$4:$QI$40),"",INDEX($FS$4:$FS$40,MATCH(ROW()-3,$QI$4:$QI$40,0)))</f>
        <v/>
      </c>
      <c r="QK15" t="str">
        <f>IF('Final Calculation Sheet'!$AH$15="","",'Final Calculation Sheet'!$AH$15)</f>
      </c>
      <c r="QL15" t="str">
        <f>IF(QK15="","",COUNTIFS(QK$4:QK$40,"&lt;"&amp;QK15,QK$4:QK$40,"&lt;&gt;"&amp;"")+COUNTIF(QK$4:QK15,QK15))</f>
      </c>
      <c r="QM15" t="str">
        <f>IF(ROW()-3&gt;COUNTIF(QK$4:QK$40,"&lt;&gt;"&amp;""),"",INDEX(QK$4:QK$40,MATCH(ROW()-3,QL$4:QL$40,0)))</f>
      </c>
      <c r="QN15" t="str">
        <f>=QN14+F(AND(QM15&lt;&gt;"",COUNTIF(QM$4:QM15,QM15)=1),1,0)</f>
      </c>
      <c r="QO15" t="str">
        <f>IF(ROW()-3&gt;MAX(QN$4:QN$40),"",INDEX(QM$4:QM$40,MATCH(ROW()-3,QN$4:QN$40,0)))</f>
      </c>
      <c r="QP15" t="str">
        <f>IF(COUNTIF('Final Calculation Sheet'!$AM15:$BS15,0)&gt;0,0,1)</f>
      </c>
      <c r="QQ15" t="str">
        <f>IF($AI$15="",FALSE,SUMPRODUCT(('Final Calculation Sheet'!$A$4:$A$40=$AI$15)*($QP$4:$QP$40=1))&gt;0)</f>
      </c>
      <c r="QR15" t="str">
        <f>=$QR14+--($QQ15)</f>
      </c>
      <c r="QS15" t="str">
        <f>IF(ROW()-3&gt;MAX($QR$4:$QR$40),"",INDEX($AI$4:$AI$40,MATCH(ROW()-3,$QR$4:$QR$40,0)))</f>
      </c>
      <c r="QT15" t="str">
        <f>IF(COUNTIF('Final Calculation Sheet'!$AL15:$AL15,0)+COUNTIF('Final Calculation Sheet'!$AN15:$BS15,0)&gt;0,0,1)</f>
      </c>
      <c r="QU15" t="str">
        <f>IF($Y$15="",FALSE,SUMPRODUCT(('Final Calculation Sheet'!$B$4:$B$40=$Y$15)*($QT$4:$QT$40=1))&gt;0)</f>
      </c>
      <c r="QV15" t="str">
        <f>=$QV14+--($QU15)</f>
      </c>
      <c r="QW15" t="str">
        <f>IF(ROW()-3&gt;MAX($QV$4:$QV$40),"",INDEX($Y$4:$Y$40,MATCH(ROW()-3,$QV$4:$QV$40,0)))</f>
      </c>
      <c r="QX15" t="str">
        <f>IF(COUNTIF('Final Calculation Sheet'!$AL15:$AM15,0)+COUNTIF('Final Calculation Sheet'!$AO15:$BS15,0)&gt;0,0,1)</f>
      </c>
      <c r="QY15" t="str">
        <f>IF($AS$15="",FALSE,SUMPRODUCT(('Final Calculation Sheet'!$C$4:$C$40=$AS$15)*($QX$4:$QX$40=1))&gt;0)</f>
      </c>
      <c r="QZ15" t="str">
        <f>=$QZ14+--($QY15)</f>
      </c>
      <c r="RA15" t="str">
        <f>IF(ROW()-3&gt;MAX($QZ$4:$QZ$40),"",INDEX($AS$4:$AS$40,MATCH(ROW()-3,$QZ$4:$QZ$40,0)))</f>
      </c>
      <c r="RB15" t="str">
        <f>IF(COUNTIF('Final Calculation Sheet'!$AL15:$AN15,0)+COUNTIF('Final Calculation Sheet'!$AP15:$BS15,0)&gt;0,0,1)</f>
      </c>
      <c r="RC15" t="str">
        <f>IF($AD$15="",FALSE,SUMPRODUCT(('Final Calculation Sheet'!$D$4:$D$40=$AD$15)*($RB$4:$RB$40=1))&gt;0)</f>
      </c>
      <c r="RD15" t="str">
        <f>=$RD14+--($RC15)</f>
      </c>
      <c r="RE15" t="str">
        <f>IF(ROW()-3&gt;MAX($RD$4:$RD$40),"",INDEX($AD$4:$AD$40,MATCH(ROW()-3,$RD$4:$RD$40,0)))</f>
      </c>
      <c r="RF15" t="str">
        <f>IF(COUNTIF('Final Calculation Sheet'!$AL15:$AO15,0)+COUNTIF('Final Calculation Sheet'!$AQ15:$BS15,0)&gt;0,0,1)</f>
      </c>
      <c r="RG15" t="str">
        <f>IF($AN$15="",FALSE,SUMPRODUCT(('Final Calculation Sheet'!$E$4:$E$40=$AN$15)*($RF$4:$RF$40=1))&gt;0)</f>
      </c>
      <c r="RH15" t="str">
        <f>=$RH14+--($RG15)</f>
      </c>
      <c r="RI15" t="str">
        <f>IF(ROW()-3&gt;MAX($RH$4:$RH$40),"",INDEX($AN$4:$AN$40,MATCH(ROW()-3,$RH$4:$RH$40,0)))</f>
      </c>
      <c r="RJ15" t="str">
        <f>IF(COUNTIF('Final Calculation Sheet'!$AL15:$AP15,0)+COUNTIF('Final Calculation Sheet'!$AR15:$BS15,0)&gt;0,0,1)</f>
      </c>
      <c r="RK15" t="str">
        <f>IF($O$15="",FALSE,SUMPRODUCT(('Final Calculation Sheet'!$F$4:$F$40=$O$15)*($RJ$4:$RJ$40=1))&gt;0)</f>
      </c>
      <c r="RL15" t="str">
        <f>=$RL14+--($RK15)</f>
      </c>
      <c r="RM15" t="str">
        <f>IF(ROW()-3&gt;MAX($RL$4:$RL$40),"",INDEX($O$4:$O$40,MATCH(ROW()-3,$RL$4:$RL$40,0)))</f>
      </c>
      <c r="RN15" t="str">
        <f>IF(COUNTIF('Final Calculation Sheet'!$AL15:$AQ15,0)+COUNTIF('Final Calculation Sheet'!$AS15:$BS15,0)&gt;0,0,1)</f>
      </c>
      <c r="RO15" t="str">
        <f>IF($T$15="",FALSE,SUMPRODUCT(('Final Calculation Sheet'!$G$4:$G$40=$T$15)*($RN$4:$RN$40=1))&gt;0)</f>
      </c>
      <c r="RP15" t="str">
        <f>=$RP14+--($RO15)</f>
      </c>
      <c r="RQ15" t="str">
        <f>IF(ROW()-3&gt;MAX($RP$4:$RP$40),"",INDEX($T$4:$T$40,MATCH(ROW()-3,$RP$4:$RP$40,0)))</f>
      </c>
      <c r="RR15" t="str">
        <f>IF(COUNTIF('Final Calculation Sheet'!$AL15:$AR15,0)+COUNTIF('Final Calculation Sheet'!$AT15:$BS15,0)&gt;0,0,1)</f>
      </c>
      <c r="RS15" t="str">
        <f>IF($AX$15="",FALSE,SUMPRODUCT(('Final Calculation Sheet'!$H$4:$H$40=$AX$15)*($RR$4:$RR$40=1))&gt;0)</f>
      </c>
      <c r="RT15" t="str">
        <f>=$RT14+--($RS15)</f>
      </c>
      <c r="RU15" t="str">
        <f>IF(ROW()-3&gt;MAX($RT$4:$RT$40),"",INDEX($AX$4:$AX$40,MATCH(ROW()-3,$RT$4:$RT$40,0)))</f>
      </c>
      <c r="RV15" t="str">
        <f>IF(COUNTIF('Final Calculation Sheet'!$AL15:$AS15,0)+COUNTIF('Final Calculation Sheet'!$AU15:$BS15,0)&gt;0,0,1)</f>
      </c>
      <c r="RW15" t="str">
        <f>IF($BC$15="",FALSE,SUMPRODUCT(('Final Calculation Sheet'!$I$4:$I$40=$BC$15)*($RV$4:$RV$40=1))&gt;0)</f>
      </c>
      <c r="RX15" t="str">
        <f>=$RX14+--($RW15)</f>
      </c>
      <c r="RY15" t="str">
        <f>IF(ROW()-3&gt;MAX($RX$4:$RX$40),"",INDEX($BC$4:$BC$40,MATCH(ROW()-3,$RX$4:$RX$40,0)))</f>
      </c>
      <c r="RZ15" t="str">
        <f>IF(COUNTIF('Final Calculation Sheet'!$AL15:$AT15,0)+COUNTIF('Final Calculation Sheet'!$AV15:$BS15,0)&gt;0,0,1)</f>
      </c>
      <c r="SA15" t="str">
        <f>IF($BH$15="",FALSE,SUMPRODUCT(('Final Calculation Sheet'!$J$4:$J$40=$BH$15)*($RZ$4:$RZ$40=1))&gt;0)</f>
      </c>
      <c r="SB15" t="str">
        <f>=$SB14+--($SA15)</f>
      </c>
      <c r="SC15" t="str">
        <f>IF(ROW()-3&gt;MAX($SB$4:$SB$40),"",INDEX($BH$4:$BH$40,MATCH(ROW()-3,$SB$4:$SB$40,0)))</f>
      </c>
      <c r="SD15" t="str">
        <f>IF(COUNTIF('Final Calculation Sheet'!$AL15:$AU15,0)+COUNTIF('Final Calculation Sheet'!$AW15:$BS15,0)&gt;0,0,1)</f>
      </c>
      <c r="SE15" t="str">
        <f>IF($BM$15="",FALSE,SUMPRODUCT(('Final Calculation Sheet'!$K$4:$K$40=$BM$15)*($SD$4:$SD$40=1))&gt;0)</f>
      </c>
      <c r="SF15" t="str">
        <f>=$SF14+--($SE15)</f>
      </c>
      <c r="SG15" t="str">
        <f>IF(ROW()-3&gt;MAX($SF$4:$SF$40),"",INDEX($BM$4:$BM$40,MATCH(ROW()-3,$SF$4:$SF$40,0)))</f>
      </c>
      <c r="SH15" t="str">
        <f>IF(COUNTIF('Final Calculation Sheet'!$AL15:$AV15,0)+COUNTIF('Final Calculation Sheet'!$AX15:$BS15,0)&gt;0,0,1)</f>
      </c>
      <c r="SI15" t="str">
        <f>IF($BR$15="",FALSE,SUMPRODUCT(('Final Calculation Sheet'!$L$4:$L$40=$BR$15)*($SH$4:$SH$40=1))&gt;0)</f>
      </c>
      <c r="SJ15" t="str">
        <f>=$SJ14+--($SI15)</f>
      </c>
      <c r="SK15" t="str">
        <f>IF(ROW()-3&gt;MAX($SJ$4:$SJ$40),"",INDEX($BR$4:$BR$40,MATCH(ROW()-3,$SJ$4:$SJ$40,0)))</f>
      </c>
      <c r="SL15" t="str">
        <f>IF(COUNTIF('Final Calculation Sheet'!$AL15:$AW15,0)+COUNTIF('Final Calculation Sheet'!$AY15:$BS15,0)&gt;0,0,1)</f>
      </c>
      <c r="SM15" t="str">
        <f>IF($BW$15="",FALSE,SUMPRODUCT(('Final Calculation Sheet'!$M$4:$M$40=$BW$15)*($SL$4:$SL$40=1))&gt;0)</f>
      </c>
      <c r="SN15" t="str">
        <f>=$SN14+--($SM15)</f>
      </c>
      <c r="SO15" t="str">
        <f>IF(ROW()-3&gt;MAX($SN$4:$SN$40),"",INDEX($BW$4:$BW$40,MATCH(ROW()-3,$SN$4:$SN$40,0)))</f>
      </c>
      <c r="SP15" t="str">
        <f>IF(COUNTIF('Final Calculation Sheet'!$AL15:$AX15,0)+COUNTIF('Final Calculation Sheet'!$AZ15:$BS15,0)&gt;0,0,1)</f>
      </c>
      <c r="SQ15" t="str">
        <f>IF($CB$15="",FALSE,SUMPRODUCT(('Final Calculation Sheet'!$N$4:$N$40=$CB$15)*($SP$4:$SP$40=1))&gt;0)</f>
      </c>
      <c r="SR15" t="str">
        <f>=$SR14+--($SQ15)</f>
      </c>
      <c r="SS15" t="str">
        <f>IF(ROW()-3&gt;MAX($SR$4:$SR$40),"",INDEX($CB$4:$CB$40,MATCH(ROW()-3,$SR$4:$SR$40,0)))</f>
      </c>
      <c r="ST15" t="str">
        <f>IF(COUNTIF('Final Calculation Sheet'!$AL15:$AY15,0)+COUNTIF('Final Calculation Sheet'!$BA15:$BS15,0)&gt;0,0,1)</f>
      </c>
      <c r="SU15" t="str">
        <f>IF($CG$15="",FALSE,SUMPRODUCT(('Final Calculation Sheet'!$O$4:$O$40=$CG$15)*($ST$4:$ST$40=1))&gt;0)</f>
      </c>
      <c r="SV15" t="str">
        <f>=$SV14+--($SU15)</f>
      </c>
      <c r="SW15" t="str">
        <f>IF(ROW()-3&gt;MAX($SV$4:$SV$40),"",INDEX($CG$4:$CG$40,MATCH(ROW()-3,$SV$4:$SV$40,0)))</f>
      </c>
      <c r="SX15" t="str">
        <f>IF(COUNTIF('Final Calculation Sheet'!$AL15:$AZ15,0)+COUNTIF('Final Calculation Sheet'!$BB15:$BS15,0)&gt;0,0,1)</f>
      </c>
      <c r="SY15" t="str">
        <f>IF($CL$15="",FALSE,SUMPRODUCT(('Final Calculation Sheet'!$P$4:$P$40=$CL$15)*($SX$4:$SX$40=1))&gt;0)</f>
      </c>
      <c r="SZ15" t="str">
        <f>=$SZ14+--($SY15)</f>
      </c>
      <c r="TA15" t="str">
        <f>IF(ROW()-3&gt;MAX($SZ$4:$SZ$40),"",INDEX($CL$4:$CL$40,MATCH(ROW()-3,$SZ$4:$SZ$40,0)))</f>
      </c>
      <c r="TB15" t="str">
        <f>IF(COUNTIF('Final Calculation Sheet'!$AL15:$BA15,0)+COUNTIF('Final Calculation Sheet'!$BC15:$BS15,0)&gt;0,0,1)</f>
      </c>
      <c r="TC15" t="str">
        <f>IF($CQ$15="",FALSE,SUMPRODUCT(('Final Calculation Sheet'!$Q$4:$Q$40=$CQ$15)*($TB$4:$TB$40=1))&gt;0)</f>
      </c>
      <c r="TD15" t="str">
        <f>=$TD14+--($TC15)</f>
      </c>
      <c r="TE15" t="str">
        <f>IF(ROW()-3&gt;MAX($TD$4:$TD$40),"",INDEX($CQ$4:$CQ$40,MATCH(ROW()-3,$TD$4:$TD$40,0)))</f>
      </c>
      <c r="TF15" t="str">
        <f>IF(COUNTIF('Final Calculation Sheet'!$AL15:$BB15,0)+COUNTIF('Final Calculation Sheet'!$BD15:$BS15,0)&gt;0,0,1)</f>
      </c>
      <c r="TG15" t="str">
        <f>IF($CV$15="",FALSE,SUMPRODUCT(('Final Calculation Sheet'!$R$4:$R$40=$CV$15)*($TF$4:$TF$40=1))&gt;0)</f>
      </c>
      <c r="TH15" t="str">
        <f>=$TH14+--($TG15)</f>
      </c>
      <c r="TI15" t="str">
        <f>IF(ROW()-3&gt;MAX($TH$4:$TH$40),"",INDEX($CV$4:$CV$40,MATCH(ROW()-3,$TH$4:$TH$40,0)))</f>
      </c>
      <c r="TJ15" t="str">
        <f>IF(COUNTIF('Final Calculation Sheet'!$AL15:$BC15,0)+COUNTIF('Final Calculation Sheet'!$BE15:$BS15,0)&gt;0,0,1)</f>
      </c>
      <c r="TK15" t="str">
        <f>IF($DA$15="",FALSE,SUMPRODUCT(('Final Calculation Sheet'!$S$4:$S$40=$DA$15)*($TJ$4:$TJ$40=1))&gt;0)</f>
      </c>
      <c r="TL15" t="str">
        <f>=$TL14+--($TK15)</f>
      </c>
      <c r="TM15" t="str">
        <f>IF(ROW()-3&gt;MAX($TL$4:$TL$40),"",INDEX($DA$4:$DA$40,MATCH(ROW()-3,$TL$4:$TL$40,0)))</f>
      </c>
      <c r="TN15" t="str">
        <f>IF(COUNTIF('Final Calculation Sheet'!$AL15:$BD15,0)+COUNTIF('Final Calculation Sheet'!$BF15:$BS15,0)&gt;0,0,1)</f>
      </c>
      <c r="TO15" t="str">
        <f>IF($DF$15="",FALSE,SUMPRODUCT(('Final Calculation Sheet'!$T$4:$T$40=$DF$15)*($TN$4:$TN$40=1))&gt;0)</f>
      </c>
      <c r="TP15" t="str">
        <f>=$TP14+--($TO15)</f>
      </c>
      <c r="TQ15" t="str">
        <f>IF(ROW()-3&gt;MAX($TP$4:$TP$40),"",INDEX($DF$4:$DF$40,MATCH(ROW()-3,$TP$4:$TP$40,0)))</f>
      </c>
      <c r="TR15" t="str">
        <f>IF(COUNTIF('Final Calculation Sheet'!$AL15:$BE15,0)+COUNTIF('Final Calculation Sheet'!$BG15:$BS15,0)&gt;0,0,1)</f>
      </c>
      <c r="TS15" t="str">
        <f>IF($DK$15="",FALSE,SUMPRODUCT(('Final Calculation Sheet'!$U$4:$U$40=$DK$15)*($TR$4:$TR$40=1))&gt;0)</f>
      </c>
      <c r="TT15" t="str">
        <f>=$TT14+--($TS15)</f>
      </c>
      <c r="TU15" t="str">
        <f>IF(ROW()-3&gt;MAX($TT$4:$TT$40),"",INDEX($DK$4:$DK$40,MATCH(ROW()-3,$TT$4:$TT$40,0)))</f>
      </c>
      <c r="TV15" t="str">
        <f>IF(COUNTIF('Final Calculation Sheet'!$AL15:$BF15,0)+COUNTIF('Final Calculation Sheet'!$BH15:$BS15,0)&gt;0,0,1)</f>
      </c>
      <c r="TW15" t="str">
        <f>IF($DP$15="",FALSE,SUMPRODUCT(('Final Calculation Sheet'!$V$4:$V$40=$DP$15)*($TV$4:$TV$40=1))&gt;0)</f>
      </c>
      <c r="TX15" t="str">
        <f>=$TX14+--($TW15)</f>
      </c>
      <c r="TY15" t="str">
        <f>IF(ROW()-3&gt;MAX($TX$4:$TX$40),"",INDEX($DP$4:$DP$40,MATCH(ROW()-3,$TX$4:$TX$40,0)))</f>
      </c>
      <c r="TZ15" t="str">
        <f>IF(COUNTIF('Final Calculation Sheet'!$AL15:$BG15,0)+COUNTIF('Final Calculation Sheet'!$BI15:$BS15,0)&gt;0,0,1)</f>
      </c>
      <c r="UA15" t="str">
        <f>IF($DU$15="",FALSE,SUMPRODUCT(('Final Calculation Sheet'!$W$4:$W$40=$DU$15)*($TZ$4:$TZ$40=1))&gt;0)</f>
      </c>
      <c r="UB15" t="str">
        <f>=$UB14+--($UA15)</f>
      </c>
      <c r="UC15" t="str">
        <f>IF(ROW()-3&gt;MAX($UB$4:$UB$40),"",INDEX($DU$4:$DU$40,MATCH(ROW()-3,$UB$4:$UB$40,0)))</f>
      </c>
      <c r="UD15" t="str">
        <f>IF(COUNTIF('Final Calculation Sheet'!$AL15:$BH15,0)+COUNTIF('Final Calculation Sheet'!$BJ15:$BS15,0)&gt;0,0,1)</f>
      </c>
      <c r="UE15" t="str">
        <f>IF($DZ$15="",FALSE,SUMPRODUCT(('Final Calculation Sheet'!$X$4:$X$40=$DZ$15)*($UD$4:$UD$40=1))&gt;0)</f>
      </c>
      <c r="UF15" t="str">
        <f>=$UF14+--($UE15)</f>
      </c>
      <c r="UG15" t="str">
        <f>IF(ROW()-3&gt;MAX($UF$4:$UF$40),"",INDEX($DZ$4:$DZ$40,MATCH(ROW()-3,$UF$4:$UF$40,0)))</f>
      </c>
      <c r="UH15" t="str">
        <f>IF(COUNTIF('Final Calculation Sheet'!$AL15:$BI15,0)+COUNTIF('Final Calculation Sheet'!$BK15:$BS15,0)&gt;0,0,1)</f>
      </c>
      <c r="UI15" t="str">
        <f>IF($EE$15="",FALSE,SUMPRODUCT(('Final Calculation Sheet'!$Y$4:$Y$40=$EE$15)*($UH$4:$UH$40=1))&gt;0)</f>
      </c>
      <c r="UJ15" t="str">
        <f>=$UJ14+--($UI15)</f>
      </c>
      <c r="UK15" t="str">
        <f>IF(ROW()-3&gt;MAX($UJ$4:$UJ$40),"",INDEX($EE$4:$EE$40,MATCH(ROW()-3,$UJ$4:$UJ$40,0)))</f>
      </c>
      <c r="UL15" t="str">
        <f>IF(COUNTIF('Final Calculation Sheet'!$AL15:$BJ15,0)+COUNTIF('Final Calculation Sheet'!$BL15:$BS15,0)&gt;0,0,1)</f>
      </c>
      <c r="UM15" t="str">
        <f>IF($EJ$15="",FALSE,SUMPRODUCT(('Final Calculation Sheet'!$Z$4:$Z$40=$EJ$15)*($UL$4:$UL$40=1))&gt;0)</f>
      </c>
      <c r="UN15" t="str">
        <f>=$UN14+--($UM15)</f>
      </c>
      <c r="UO15" t="str">
        <f>IF(ROW()-3&gt;MAX($UN$4:$UN$40),"",INDEX($EJ$4:$EJ$40,MATCH(ROW()-3,$UN$4:$UN$40,0)))</f>
      </c>
      <c r="UP15" t="str">
        <f>IF(COUNTIF('Final Calculation Sheet'!$AL15:$BK15,0)+COUNTIF('Final Calculation Sheet'!$BM15:$BS15,0)&gt;0,0,1)</f>
      </c>
      <c r="UQ15" t="str">
        <f>IF($EO$15="",FALSE,SUMPRODUCT(('Final Calculation Sheet'!$AA$4:$AA$40=$EO$15)*($UP$4:$UP$40=1))&gt;0)</f>
      </c>
      <c r="UR15" t="str">
        <f>=$UR14+--($UQ15)</f>
      </c>
      <c r="US15" t="str">
        <f>IF(ROW()-3&gt;MAX($UR$4:$UR$40),"",INDEX($EO$4:$EO$40,MATCH(ROW()-3,$UR$4:$UR$40,0)))</f>
      </c>
      <c r="UT15" t="str">
        <f>IF(COUNTIF('Final Calculation Sheet'!$AL15:$BL15,0)+COUNTIF('Final Calculation Sheet'!$BN15:$BS15,0)&gt;0,0,1)</f>
      </c>
      <c r="UU15" t="str">
        <f>IF($ET$15="",FALSE,SUMPRODUCT(('Final Calculation Sheet'!$AB$4:$AB$40=$ET$15)*($UT$4:$UT$40=1))&gt;0)</f>
      </c>
      <c r="UV15" t="str">
        <f>=$UV14+--($UU15)</f>
      </c>
      <c r="UW15" t="str">
        <f>IF(ROW()-3&gt;MAX($UV$4:$UV$40),"",INDEX($ET$4:$ET$40,MATCH(ROW()-3,$UV$4:$UV$40,0)))</f>
      </c>
      <c r="UX15" t="str">
        <f>IF(COUNTIF('Final Calculation Sheet'!$AL15:$BM15,0)+COUNTIF('Final Calculation Sheet'!$BO15:$BS15,0)&gt;0,0,1)</f>
      </c>
      <c r="UY15" t="str">
        <f>IF($EY$15="",FALSE,SUMPRODUCT(('Final Calculation Sheet'!$AC$4:$AC$40=$EY$15)*($UX$4:$UX$40=1))&gt;0)</f>
      </c>
      <c r="UZ15" t="str">
        <f>=$UZ14+--($UY15)</f>
      </c>
      <c r="VA15" t="str">
        <f>IF(ROW()-3&gt;MAX($UZ$4:$UZ$40),"",INDEX($EY$4:$EY$40,MATCH(ROW()-3,$UZ$4:$UZ$40,0)))</f>
      </c>
      <c r="VB15" t="str">
        <f>IF(COUNTIF('Final Calculation Sheet'!$AL15:$BN15,0)+COUNTIF('Final Calculation Sheet'!$BP15:$BS15,0)&gt;0,0,1)</f>
      </c>
      <c r="VC15" t="str">
        <f>IF($FD$15="",FALSE,SUMPRODUCT(('Final Calculation Sheet'!$AD$4:$AD$40=$FD$15)*($VB$4:$VB$40=1))&gt;0)</f>
      </c>
      <c r="VD15" t="str">
        <f>=$VD14+--($VC15)</f>
      </c>
      <c r="VE15" t="str">
        <f>IF(ROW()-3&gt;MAX($VD$4:$VD$40),"",INDEX($FD$4:$FD$40,MATCH(ROW()-3,$VD$4:$VD$40,0)))</f>
      </c>
      <c r="VF15" t="str">
        <f>IF(COUNTIF('Final Calculation Sheet'!$AL15:$BO15,0)+COUNTIF('Final Calculation Sheet'!$BQ15:$BS15,0)&gt;0,0,1)</f>
      </c>
      <c r="VG15" t="str">
        <f>IF($FI$15="",FALSE,SUMPRODUCT(('Final Calculation Sheet'!$AE$4:$AE$40=$FI$15)*($VF$4:$VF$40=1))&gt;0)</f>
      </c>
      <c r="VH15" t="str">
        <f>=$VH14+--($VG15)</f>
      </c>
      <c r="VI15" t="str">
        <f>IF(ROW()-3&gt;MAX($VH$4:$VH$40),"",INDEX($FI$4:$FI$40,MATCH(ROW()-3,$VH$4:$VH$40,0)))</f>
      </c>
      <c r="VJ15" t="str">
        <f>IF(COUNTIF('Final Calculation Sheet'!$AL15:$BP15,0)+COUNTIF('Final Calculation Sheet'!$BR15:$BS15,0)&gt;0,0,1)</f>
      </c>
      <c r="VK15" t="str">
        <f>IF($FN$15="",FALSE,SUMPRODUCT(('Final Calculation Sheet'!$AF$4:$AF$40=$FN$15)*($VJ$4:$VJ$40=1))&gt;0)</f>
      </c>
      <c r="VL15" t="str">
        <f>=$VL14+--($VK15)</f>
      </c>
      <c r="VM15" t="str">
        <f>IF(ROW()-3&gt;MAX($VL$4:$VL$40),"",INDEX($FN$4:$FN$40,MATCH(ROW()-3,$VL$4:$VL$40,0)))</f>
      </c>
      <c r="VN15" t="str">
        <f>IF(COUNTIF('Final Calculation Sheet'!$AL15:$BQ15,0)+COUNTIF('Final Calculation Sheet'!$BS15:$BS15,0)&gt;0,0,1)</f>
      </c>
      <c r="VO15" t="str">
        <f>IF($FS$15="",FALSE,SUMPRODUCT(('Final Calculation Sheet'!$AG$4:$AG$40=$FS$15)*($VN$4:$VN$40=1))&gt;0)</f>
      </c>
      <c r="VP15" t="str">
        <f>=$VP14+--($VO15)</f>
      </c>
      <c r="VQ15" t="str">
        <f>IF(ROW()-3&gt;MAX($VP$4:$VP$40),"",INDEX($FS$4:$FS$40,MATCH(ROW()-3,$VP$4:$VP$40,0)))</f>
      </c>
      <c r="VR15" t="str">
        <f>IF(COUNTIF('Final Calculation Sheet'!$AL15:$BR15,0)&gt;0,0,1)</f>
      </c>
      <c r="VS15" t="str">
        <f>IF($QO$15="",FALSE,SUMPRODUCT(('Final Calculation Sheet'!$AH$4:$AH$40=$QO$15)*($VR$4:$VR$40=1))&gt;0)</f>
      </c>
      <c r="VT15" t="str">
        <f>=$VT14+--($VS15)</f>
      </c>
      <c r="VU15" t="str">
        <f>IF(ROW()-3&gt;MAX($VT$4:$VT$40),"",INDEX($QO$4:$QO$40,MATCH(ROW()-3,$VT$4:$VT$40,0)))</f>
      </c>
    </row>
    <row r="16">
      <c r="A16">
        <f>IF(IFERROR('Final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IF(IFERROR('Final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s="55">
        <f>IF('Final Calculation Sheet'!$C$16="","",'Final Calculation Sheet'!$C$16)</f>
        <v/>
      </c>
      <c r="AP16">
        <f>IF(AO16="","",COUNTIFS(AO$4:AO$40,"&lt;"&amp;AO16,AO$4:AO$40,"&lt;&gt;"&amp;"")+COUNTIF(AO$4:AO16,AO16))</f>
        <v/>
      </c>
      <c r="AQ16" s="55">
        <f>IF(ROW()-3&gt;COUNTIF(AO$4:AO$40,"&lt;&gt;"&amp;""),"",INDEX(AO$4:AO$40,MATCH(ROW()-3,AP$4:AP$40,0)))</f>
        <v/>
      </c>
      <c r="AR16">
        <f>AR15+IF(AND(AQ16&lt;&gt;"",COUNTIF(AQ$4:AQ16,AQ16)=1),1,0)</f>
        <v/>
      </c>
      <c r="AS16" s="55">
        <f>IF(ROW()-3&gt;MAX(AR$4:AR$40),"",INDEX(AQ$4:AQ$40,MATCH(ROW()-3,AR$4:AR$40,0)))</f>
        <v/>
      </c>
      <c r="AT16" s="55">
        <f>IF('Final Calculation Sheet'!$H$16="","",'Final Calculation Sheet'!$H$16)</f>
        <v/>
      </c>
      <c r="AU16">
        <f>IF(AT16="","",COUNTIFS(AT$4:AT$40,"&lt;"&amp;AT16,AT$4:AT$40,"&lt;&gt;"&amp;"")+COUNTIF(AT$4:AT16,AT16))</f>
        <v/>
      </c>
      <c r="AV16" s="55">
        <f>IF(ROW()-3&gt;COUNTIF(AT$4:AT$40,"&lt;&gt;"&amp;""),"",INDEX(AT$4:AT$40,MATCH(ROW()-3,AU$4:AU$40,0)))</f>
        <v/>
      </c>
      <c r="AW16">
        <f>AW15+IF(AND(AV16&lt;&gt;"",COUNTIF(AV$4:AV16,AV16)=1),1,0)</f>
        <v/>
      </c>
      <c r="AX16" s="55">
        <f>IF(ROW()-3&gt;MAX(AW$4:AW$40),"",INDEX(AV$4:AV$40,MATCH(ROW()-3,AW$4:AW$40,0)))</f>
        <v/>
      </c>
      <c r="AY16" s="55">
        <f>IF('Final Calculation Sheet'!$I$16="","",'Final Calculation Sheet'!$I$16)</f>
        <v/>
      </c>
      <c r="AZ16">
        <f>IF(AY16="","",COUNTIFS(AY$4:AY$40,"&lt;"&amp;AY16,AY$4:AY$40,"&lt;&gt;"&amp;"")+COUNTIF(AY$4:AY16,AY16))</f>
        <v/>
      </c>
      <c r="BA16" s="55">
        <f>IF(ROW()-3&gt;COUNTIF(AY$4:AY$40,"&lt;&gt;"&amp;""),"",INDEX(AY$4:AY$40,MATCH(ROW()-3,AZ$4:AZ$40,0)))</f>
        <v/>
      </c>
      <c r="BB16">
        <f>BB15+IF(AND(BA16&lt;&gt;"",COUNTIF(BA$4:BA16,BA16)=1),1,0)</f>
        <v/>
      </c>
      <c r="BC16" s="55">
        <f>IF(ROW()-3&gt;MAX(BB$4:BB$40),"",INDEX(BA$4:BA$40,MATCH(ROW()-3,BB$4:BB$40,0)))</f>
        <v/>
      </c>
      <c r="BD16" s="55">
        <f>IF('Final Calculation Sheet'!$J$16="","",'Final Calculation Sheet'!$J$16)</f>
        <v/>
      </c>
      <c r="BE16">
        <f>IF(BD16="","",COUNTIFS(BD$4:BD$40,"&lt;"&amp;BD16,BD$4:BD$40,"&lt;&gt;"&amp;"")+COUNTIF(BD$4:BD16,BD16))</f>
        <v/>
      </c>
      <c r="BF16" s="55">
        <f>IF(ROW()-3&gt;COUNTIF(BD$4:BD$40,"&lt;&gt;"&amp;""),"",INDEX(BD$4:BD$40,MATCH(ROW()-3,BE$4:BE$40,0)))</f>
        <v/>
      </c>
      <c r="BG16">
        <f>BG15+IF(AND(BF16&lt;&gt;"",COUNTIF(BF$4:BF16,BF16)=1),1,0)</f>
        <v/>
      </c>
      <c r="BH16" s="55">
        <f>IF(ROW()-3&gt;MAX(BG$4:BG$40),"",INDEX(BF$4:BF$40,MATCH(ROW()-3,BG$4:BG$40,0)))</f>
        <v/>
      </c>
      <c r="BI16" s="55">
        <f>IF('Final Calculation Sheet'!$K$16="","",'Final Calculation Sheet'!$K$16)</f>
        <v/>
      </c>
      <c r="BJ16">
        <f>IF(BI16="","",COUNTIFS(BI$4:BI$40,"&lt;"&amp;BI16,BI$4:BI$40,"&lt;&gt;"&amp;"")+COUNTIF(BI$4:BI16,BI16))</f>
        <v/>
      </c>
      <c r="BK16" s="55">
        <f>IF(ROW()-3&gt;COUNTIF(BI$4:BI$40,"&lt;&gt;"&amp;""),"",INDEX(BI$4:BI$40,MATCH(ROW()-3,BJ$4:BJ$40,0)))</f>
        <v/>
      </c>
      <c r="BL16">
        <f>BL15+IF(AND(BK16&lt;&gt;"",COUNTIF(BK$4:BK16,BK16)=1),1,0)</f>
        <v/>
      </c>
      <c r="BM16" s="55">
        <f>IF(ROW()-3&gt;MAX(BL$4:BL$40),"",INDEX(BK$4:BK$40,MATCH(ROW()-3,BL$4:BL$40,0)))</f>
        <v/>
      </c>
      <c r="BN16" s="55">
        <f>IF('Final Calculation Sheet'!$L$16="","",'Final Calculation Sheet'!$L$16)</f>
        <v/>
      </c>
      <c r="BO16">
        <f>IF(BN16="","",COUNTIFS(BN$4:BN$40,"&lt;"&amp;BN16,BN$4:BN$40,"&lt;&gt;"&amp;"")+COUNTIF(BN$4:BN16,BN16))</f>
        <v/>
      </c>
      <c r="BP16" s="55">
        <f>IF(ROW()-3&gt;COUNTIF(BN$4:BN$40,"&lt;&gt;"&amp;""),"",INDEX(BN$4:BN$40,MATCH(ROW()-3,BO$4:BO$40,0)))</f>
        <v/>
      </c>
      <c r="BQ16">
        <f>BQ15+IF(AND(BP16&lt;&gt;"",COUNTIF(BP$4:BP16,BP16)=1),1,0)</f>
        <v/>
      </c>
      <c r="BR16" s="55">
        <f>IF(ROW()-3&gt;MAX(BQ$4:BQ$40),"",INDEX(BP$4:BP$40,MATCH(ROW()-3,BQ$4:BQ$40,0)))</f>
        <v/>
      </c>
      <c r="BS16" s="55">
        <f>IF('Final Calculation Sheet'!$M$16="","",'Final Calculation Sheet'!$M$16)</f>
        <v/>
      </c>
      <c r="BT16">
        <f>IF(BS16="","",COUNTIFS(BS$4:BS$40,"&lt;"&amp;BS16,BS$4:BS$40,"&lt;&gt;"&amp;"")+COUNTIF(BS$4:BS16,BS16))</f>
        <v/>
      </c>
      <c r="BU16" s="55">
        <f>IF(ROW()-3&gt;COUNTIF(BS$4:BS$40,"&lt;&gt;"&amp;""),"",INDEX(BS$4:BS$40,MATCH(ROW()-3,BT$4:BT$40,0)))</f>
        <v/>
      </c>
      <c r="BV16">
        <f>BV15+IF(AND(BU16&lt;&gt;"",COUNTIF(BU$4:BU16,BU16)=1),1,0)</f>
        <v/>
      </c>
      <c r="BW16" s="55">
        <f>IF(ROW()-3&gt;MAX(BV$4:BV$40),"",INDEX(BU$4:BU$40,MATCH(ROW()-3,BV$4:BV$40,0)))</f>
        <v/>
      </c>
      <c r="BX16" s="138">
        <f>IF('Final Calculation Sheet'!$N$16="","",'Final Calculation Sheet'!$N$16)</f>
        <v/>
      </c>
      <c r="BY16">
        <f>IF(BX16="","",COUNTIFS(BX$4:BX$40,"&lt;"&amp;BX16,BX$4:BX$40,"&lt;&gt;"&amp;"")+COUNTIF(BX$4:BX16,BX16))</f>
        <v/>
      </c>
      <c r="BZ16" s="138">
        <f>IF(ROW()-3&gt;COUNTIF(BX$4:BX$40,"&lt;&gt;"&amp;""),"",INDEX(BX$4:BX$40,MATCH(ROW()-3,BY$4:BY$40,0)))</f>
        <v/>
      </c>
      <c r="CA16">
        <f>CA15+IF(AND(BZ16&lt;&gt;"",COUNTIF(BZ$4:BZ16,BZ16)=1),1,0)</f>
        <v/>
      </c>
      <c r="CB16" s="138">
        <f>IF(ROW()-3&gt;MAX(CA$4:CA$40),"",INDEX(BZ$4:BZ$40,MATCH(ROW()-3,CA$4:CA$40,0)))</f>
        <v/>
      </c>
      <c r="CC16" s="55">
        <f>IF('Final Calculation Sheet'!$O$16="","",'Final Calculation Sheet'!$O$16)</f>
        <v/>
      </c>
      <c r="CD16">
        <f>IF(CC16="","",COUNTIFS(CC$4:CC$40,"&lt;"&amp;CC16,CC$4:CC$40,"&lt;&gt;"&amp;"")+COUNTIF(CC$4:CC16,CC16))</f>
        <v/>
      </c>
      <c r="CE16" s="55">
        <f>IF(ROW()-3&gt;COUNTIF(CC$4:CC$40,"&lt;&gt;"&amp;""),"",INDEX(CC$4:CC$40,MATCH(ROW()-3,CD$4:CD$40,0)))</f>
        <v/>
      </c>
      <c r="CF16">
        <f>CF15+IF(AND(CE16&lt;&gt;"",COUNTIF(CE$4:CE16,CE16)=1),1,0)</f>
        <v/>
      </c>
      <c r="CG16" s="55">
        <f>IF(ROW()-3&gt;MAX(CF$4:CF$40),"",INDEX(CE$4:CE$40,MATCH(ROW()-3,CF$4:CF$40,0)))</f>
        <v/>
      </c>
      <c r="CH16" s="55">
        <f>IF('Final Calculation Sheet'!$P$16="","",'Final Calculation Sheet'!$P$16)</f>
        <v/>
      </c>
      <c r="CI16">
        <f>IF(CH16="","",COUNTIFS(CH$4:CH$40,"&lt;"&amp;CH16,CH$4:CH$40,"&lt;&gt;"&amp;"")+COUNTIF(CH$4:CH16,CH16))</f>
        <v/>
      </c>
      <c r="CJ16" s="55">
        <f>IF(ROW()-3&gt;COUNTIF(CH$4:CH$40,"&lt;&gt;"&amp;""),"",INDEX(CH$4:CH$40,MATCH(ROW()-3,CI$4:CI$40,0)))</f>
        <v/>
      </c>
      <c r="CK16">
        <f>CK15+IF(AND(CJ16&lt;&gt;"",COUNTIF(CJ$4:CJ16,CJ16)=1),1,0)</f>
        <v/>
      </c>
      <c r="CL16" s="55">
        <f>IF(ROW()-3&gt;MAX(CK$4:CK$40),"",INDEX(CJ$4:CJ$40,MATCH(ROW()-3,CK$4:CK$40,0)))</f>
        <v/>
      </c>
      <c r="CM16" s="139">
        <f>IF('Final Calculation Sheet'!$Q$16="","",'Final Calculation Sheet'!$Q$16)</f>
        <v/>
      </c>
      <c r="CN16">
        <f>IF(CM16="","",COUNTIFS(CM$4:CM$40,"&lt;"&amp;CM16,CM$4:CM$40,"&lt;&gt;"&amp;"")+COUNTIF(CM$4:CM16,CM16))</f>
        <v/>
      </c>
      <c r="CO16" s="139">
        <f>IF(ROW()-3&gt;COUNTIF(CM$4:CM$40,"&lt;&gt;"&amp;""),"",INDEX(CM$4:CM$40,MATCH(ROW()-3,CN$4:CN$40,0)))</f>
        <v/>
      </c>
      <c r="CP16">
        <f>CP15+IF(AND(CO16&lt;&gt;"",COUNTIF(CO$4:CO16,CO16)=1),1,0)</f>
        <v/>
      </c>
      <c r="CQ16">
        <f>IF(ROW()-3&gt;MAX(CP$4:CP$40),"",INDEX(CO$4:CO$40,MATCH(ROW()-3,CP$4:CP$40,0)))</f>
        <v/>
      </c>
      <c r="CR16" s="55">
        <f>IF('Final Calculation Sheet'!$R$16="","",'Final Calculation Sheet'!$R$16)</f>
        <v/>
      </c>
      <c r="CS16">
        <f>IF(CR16="","",COUNTIFS(CR$4:CR$40,"&lt;"&amp;CR16,CR$4:CR$40,"&lt;&gt;"&amp;"")+COUNTIF(CR$4:CR16,CR16))</f>
        <v/>
      </c>
      <c r="CT16" s="55">
        <f>IF(ROW()-3&gt;COUNTIF(CR$4:CR$40,"&lt;&gt;"&amp;""),"",INDEX(CR$4:CR$40,MATCH(ROW()-3,CS$4:CS$40,0)))</f>
        <v/>
      </c>
      <c r="CU16">
        <f>CU15+IF(AND(CT16&lt;&gt;"",COUNTIF(CT$4:CT16,CT16)=1),1,0)</f>
        <v/>
      </c>
      <c r="CV16">
        <f>IF(ROW()-3&gt;MAX(CU$4:CU$40),"",INDEX(CT$4:CT$40,MATCH(ROW()-3,CU$4:CU$40,0)))</f>
        <v/>
      </c>
      <c r="CW16" s="55">
        <f>IF('Final Calculation Sheet'!$S$16="","",'Final Calculation Sheet'!$S$16)</f>
        <v/>
      </c>
      <c r="CX16">
        <f>IF(CW16="","",COUNTIFS(CW$4:CW$40,"&lt;"&amp;CW16,CW$4:CW$40,"&lt;&gt;"&amp;"")+COUNTIF(CW$4:CW16,CW16))</f>
        <v/>
      </c>
      <c r="CY16" s="55">
        <f>IF(ROW()-3&gt;COUNTIF(CW$4:CW$40,"&lt;&gt;"&amp;""),"",INDEX(CW$4:CW$40,MATCH(ROW()-3,CX$4:CX$40,0)))</f>
        <v/>
      </c>
      <c r="CZ16">
        <f>CZ15+IF(AND(CY16&lt;&gt;"",COUNTIF(CY$4:CY16,CY16)=1),1,0)</f>
        <v/>
      </c>
      <c r="DA16" s="55">
        <f>IF(ROW()-3&gt;MAX(CZ$4:CZ$40),"",INDEX(CY$4:CY$40,MATCH(ROW()-3,CZ$4:CZ$40,0)))</f>
        <v/>
      </c>
      <c r="DB16" s="55">
        <f>IF('Final Calculation Sheet'!$T$16="","",'Final Calculation Sheet'!$T$16)</f>
        <v/>
      </c>
      <c r="DC16">
        <f>IF(DB16="","",COUNTIFS(DB$4:DB$40,"&lt;"&amp;DB16,DB$4:DB$40,"&lt;&gt;"&amp;"")+COUNTIF(DB$4:DB16,DB16))</f>
        <v/>
      </c>
      <c r="DD16" s="55">
        <f>IF(ROW()-3&gt;COUNTIF(DB$4:DB$40,"&lt;&gt;"&amp;""),"",INDEX(DB$4:DB$40,MATCH(ROW()-3,DC$4:DC$40,0)))</f>
        <v/>
      </c>
      <c r="DE16">
        <f>DE15+IF(AND(DD16&lt;&gt;"",COUNTIF(DD$4:DD16,DD16)=1),1,0)</f>
        <v/>
      </c>
      <c r="DF16" s="55">
        <f>IF(ROW()-3&gt;MAX(DE$4:DE$40),"",INDEX(DD$4:DD$40,MATCH(ROW()-3,DE$4:DE$40,0)))</f>
        <v/>
      </c>
      <c r="DG16" s="140">
        <f>IF('Final Calculation Sheet'!$U$16="","",'Final Calculation Sheet'!$U$16)</f>
        <v/>
      </c>
      <c r="DH16">
        <f>IF(DG16="","",COUNTIFS(DG$4:DG$40,"&lt;"&amp;DG16,DG$4:DG$40,"&lt;&gt;"&amp;"")+COUNTIF(DG$4:DG16,DG16))</f>
        <v/>
      </c>
      <c r="DI16" s="140">
        <f>IF(ROW()-3&gt;COUNTIF(DG$4:DG$40,"&lt;&gt;"&amp;""),"",INDEX(DG$4:DG$40,MATCH(ROW()-3,DH$4:DH$40,0)))</f>
        <v/>
      </c>
      <c r="DJ16">
        <f>DJ15+IF(AND(DI16&lt;&gt;"",COUNTIF(DI$4:DI16,DI16)=1),1,0)</f>
        <v/>
      </c>
      <c r="DK16" s="140">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s="55">
        <f>IF('Final Calculation Sheet'!$W$16="","",'Final Calculation Sheet'!$W$16)</f>
        <v/>
      </c>
      <c r="DR16">
        <f>IF(DQ16="","",COUNTIFS(DQ$4:DQ$40,"&lt;"&amp;DQ16,DQ$4:DQ$40,"&lt;&gt;"&amp;"")+COUNTIF(DQ$4:DQ16,DQ16))</f>
        <v/>
      </c>
      <c r="DS16" s="55">
        <f>IF(ROW()-3&gt;COUNTIF(DQ$4:DQ$40,"&lt;&gt;"&amp;""),"",INDEX(DQ$4:DQ$40,MATCH(ROW()-3,DR$4:DR$40,0)))</f>
        <v/>
      </c>
      <c r="DT16">
        <f>DT15+IF(AND(DS16&lt;&gt;"",COUNTIF(DS$4:DS16,DS16)=1),1,0)</f>
        <v/>
      </c>
      <c r="DU16" s="55">
        <f>IF(ROW()-3&gt;MAX(DT$4:DT$40),"",INDEX(DS$4:DS$40,MATCH(ROW()-3,DT$4:DT$40,0)))</f>
        <v/>
      </c>
      <c r="DV16" s="55">
        <f>IF('Final Calculation Sheet'!$X$16="","",'Final Calculation Sheet'!$X$16)</f>
        <v/>
      </c>
      <c r="DW16">
        <f>IF(DV16="","",COUNTIFS(DV$4:DV$40,"&lt;"&amp;DV16,DV$4:DV$40,"&lt;&gt;"&amp;"")+COUNTIF(DV$4:DV16,DV16))</f>
        <v/>
      </c>
      <c r="DX16" s="55">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s="55">
        <f>IF('Final Calculation Sheet'!$Z$16="","",'Final Calculation Sheet'!$Z$16)</f>
        <v/>
      </c>
      <c r="EG16">
        <f>IF(EF16="","",COUNTIFS(EF$4:EF$40,"&lt;"&amp;EF16,EF$4:EF$40,"&lt;&gt;"&amp;"")+COUNTIF(EF$4:EF16,EF16))</f>
        <v/>
      </c>
      <c r="EH16" s="55">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s="55">
        <f>IF('Final Calculation Sheet'!$AC$16="","",'Final Calculation Sheet'!$AC$16)</f>
        <v/>
      </c>
      <c r="EV16">
        <f>IF(EU16="","",COUNTIFS(EU$4:EU$40,"&lt;"&amp;EU16,EU$4:EU$40,"&lt;&gt;"&amp;"")+COUNTIF(EU$4:EU16,EU16))</f>
        <v/>
      </c>
      <c r="EW16" s="55">
        <f>IF(ROW()-3&gt;COUNTIF(EU$4:EU$40,"&lt;&gt;"&amp;""),"",INDEX(EU$4:EU$40,MATCH(ROW()-3,EV$4:EV$40,0)))</f>
        <v/>
      </c>
      <c r="EX16">
        <f>EX15+IF(AND(EW16&lt;&gt;"",COUNTIF(EW$4:EW16,EW16)=1),1,0)</f>
        <v/>
      </c>
      <c r="EY16" s="55">
        <f>IF(ROW()-3&gt;MAX(EX$4:EX$40),"",INDEX(EW$4:EW$40,MATCH(ROW()-3,EX$4:EX$40,0)))</f>
        <v/>
      </c>
      <c r="EZ16" s="55">
        <f>IF('Final Calculation Sheet'!$AD$16="","",'Final Calculation Sheet'!$AD$16)</f>
        <v/>
      </c>
      <c r="FA16">
        <f>IF(EZ16="","",COUNTIFS(EZ$4:EZ$40,"&lt;"&amp;EZ16,EZ$4:EZ$40,"&lt;&gt;"&amp;"")+COUNTIF(EZ$4:EZ16,EZ16))</f>
        <v/>
      </c>
      <c r="FB16" s="55">
        <f>IF(ROW()-3&gt;COUNTIF(EZ$4:EZ$40,"&lt;&gt;"&amp;""),"",INDEX(EZ$4:EZ$40,MATCH(ROW()-3,FA$4:FA$40,0)))</f>
        <v/>
      </c>
      <c r="FC16">
        <f>FC15+IF(AND(FB16&lt;&gt;"",COUNTIF(FB$4:FB16,FB16)=1),1,0)</f>
        <v/>
      </c>
      <c r="FD16">
        <f>IF(ROW()-3&gt;MAX(FC$4:FC$40),"",INDEX(FB$4:FB$40,MATCH(ROW()-3,FC$4:FC$40,0)))</f>
        <v/>
      </c>
      <c r="FE16">
        <f>IF('Final Calculation Sheet'!$AF$16="","",'Final Calculation Sheet'!$AF$16)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s="141">
        <f>IF('Final Calculation Sheet'!$AG$16="","",'Final Calculation Sheet'!$AG$16)</f>
        <v/>
      </c>
      <c r="FK16">
        <f>IF(FJ16="","",COUNTIFS(FJ$4:FJ$40,"&lt;"&amp;FJ16,FJ$4:FJ$40,"&lt;&gt;"&amp;"")+COUNTIF(FJ$4:FJ16,FJ16))</f>
        <v/>
      </c>
      <c r="FL16" s="141">
        <f>IF(ROW()-3&gt;COUNTIF(FJ$4:FJ$40,"&lt;&gt;"&amp;""),"",INDEX(FJ$4:FJ$40,MATCH(ROW()-3,FK$4:FK$40,0)))</f>
        <v/>
      </c>
      <c r="FM16">
        <f>FM15+IF(AND(FL16&lt;&gt;"",COUNTIF(FL$4:FL16,FL16)=1),1,0)</f>
        <v/>
      </c>
      <c r="FN16">
        <f>IF(ROW()-3&gt;MAX(FM$4:FM$40),"",INDEX(FL$4:FL$40,MATCH(ROW()-3,FM$4:FM$40,0)))</f>
        <v/>
      </c>
      <c r="FO16">
        <f>IF('Final Calculation Sheet'!$AH$16="","",'Final Calculation Sheet'!$AH$16)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c r="FY16">
        <f>IF(COUNTIF('Live Search'!BM$15:BO$15,0)+COUNTIF('Live Search'!BQ$15:CU$15,0)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6">
        <f>IF($Y$16="",FALSE,SUMPRODUCT(('Final Calculation Sheet'!$B$4:$B$40=$Y$16)*($FY$6:$FY$42=1))&gt;0)</f>
        <v/>
      </c>
      <c r="GA16">
        <f>$GA$15+--($FZ$16)</f>
        <v/>
      </c>
      <c r="GB16">
        <f>IF(ROW()-3&gt;MAX($GA$4:$GA$40),"",INDEX($Y$4:$Y$40,MATCH(ROW()-3,$GA$4:$GA$40,0)))</f>
        <v/>
      </c>
      <c r="GC16">
        <f>IF(COUNTIF('Live Search'!BM$15:BM$15,0)+COUNTIF('Live Search'!BO$15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D16">
        <f>IF($O$16="",FALSE,SUMPRODUCT(('Final Calculation Sheet'!$F$4:$F$40=$O$16)*($GC$6:$GC$42=1))&gt;0)</f>
        <v/>
      </c>
      <c r="GE16">
        <f>$GE$15+--($GD16)</f>
        <v/>
      </c>
      <c r="GF16">
        <f>IF(ROW()-3&gt;MAX($GE$4:$GE$40),"",INDEX($O$4:$O$40,MATCH(ROW()-3,$GE$4:$GE$40,0)))</f>
        <v/>
      </c>
      <c r="GG16">
        <f>IF(COUNTIF('Live Search'!BM$15:BN$15,0)+COUNTIF('Live Search'!BP$15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H16">
        <f>IF($T$16="",FALSE,SUMPRODUCT(('Final Calculation Sheet'!$G$4:$G$40=$T$16)*($GG$6:$GG$42=1))&gt;0)</f>
        <v/>
      </c>
      <c r="GI16">
        <f>$GI$15+--($GH16)</f>
        <v/>
      </c>
      <c r="GJ16">
        <f>IF(ROW()-3&gt;MAX($GI$4:$GI$40),"",INDEX($T$4:$T$40,MATCH(ROW()-3,$GI$4:$GI$40,0)))</f>
        <v/>
      </c>
      <c r="GK16">
        <f>IF(COUNTIF('Live Search'!BM$15:BP$15,0)+COUNTIF('Live Search'!BR$15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L16">
        <f>IF($AD$16="",FALSE,SUMPRODUCT(('Final Calculation Sheet'!$D$4:$D$40=$AD$16)*($GK$6:$GK$42=1))&gt;0)</f>
        <v/>
      </c>
      <c r="GM16">
        <f>$GM$15+--($GL16)</f>
        <v/>
      </c>
      <c r="GN16">
        <f>IF(ROW()-3&gt;MAX($GM$4:$GM$40),"",INDEX($AD$4:$AD$40,MATCH(ROW()-3,$GM$4:$GM$40,0)))</f>
        <v/>
      </c>
      <c r="GO16">
        <f>IF(COUNTIF('Live Search'!BM$15:BQ$15,0)+COUNTIF('Live Search'!BS$15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P16">
        <f>IF($AI$16="",FALSE,SUMPRODUCT(('Final Calculation Sheet'!$A$4:$A$40=$AI$16)*($GO$6:$GO$42=1))&gt;0)</f>
        <v/>
      </c>
      <c r="GQ16">
        <f>$GQ$15+--($GP16)</f>
        <v/>
      </c>
      <c r="GR16">
        <f>IF(ROW()-3&gt;MAX($GQ$4:$GQ$40),"",INDEX($AI$4:$AI$40,MATCH(ROW()-3,$GQ$4:$GQ$40,0)))</f>
        <v/>
      </c>
      <c r="GS16">
        <f>IF(COUNTIF('Live Search'!BM$15:BR$15,0)+COUNTIF('Live Search'!BT$15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T16">
        <f>IF($AN$16="",FALSE,SUMPRODUCT(('Final Calculation Sheet'!$E$4:$E$40=$AN$16)*($GS$6:$GS$42=1))&gt;0)</f>
        <v/>
      </c>
      <c r="GU16">
        <f>$GU$15+--($GT16)</f>
        <v/>
      </c>
      <c r="GV16">
        <f>IF(ROW()-3&gt;MAX($GU$4:$GU$40),"",INDEX($AN$4:$AN$40,MATCH(ROW()-3,$GU$4:$GU$40,0)))</f>
        <v/>
      </c>
      <c r="GW16">
        <f>IF(COUNTIF('Live Search'!BM$15:BS$15,0)+COUNTIF('Live Search'!BU$15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GX16">
        <f>IF($AS$16="",FALSE,SUMPRODUCT(('Final Calculation Sheet'!$C$4:$C$40=$AS$16)*($GW$6:$GW$42=1))&gt;0)</f>
        <v/>
      </c>
      <c r="GY16">
        <f>$GY$15+--($GX16)</f>
        <v/>
      </c>
      <c r="GZ16">
        <f>IF(ROW()-3&gt;MAX($GY$4:$GY$40),"",INDEX($AS$4:$AS$40,MATCH(ROW()-3,$GY$4:$GY$40,0)))</f>
        <v/>
      </c>
      <c r="HA16">
        <f>IF(COUNTIF('Live Search'!BM$15:BT$15,0)+COUNTIF('Live Search'!BV$15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B16">
        <f>IF($AX$16="",FALSE,SUMPRODUCT(('Final Calculation Sheet'!$H$4:$H$40=$AX$16)*($HA$6:$HA$42=1))&gt;0)</f>
        <v/>
      </c>
      <c r="HC16">
        <f>$HC$15+--($HB16)</f>
        <v/>
      </c>
      <c r="HD16">
        <f>IF(ROW()-3&gt;MAX($HC$4:$HC$40),"",INDEX($AX$4:$AX$40,MATCH(ROW()-3,$HC$4:$HC$40,0)))</f>
        <v/>
      </c>
      <c r="HE16">
        <f>IF(COUNTIF('Live Search'!BM$15:BU$15,0)+COUNTIF('Live Search'!BW$15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F16">
        <f>IF($BC$16="",FALSE,SUMPRODUCT(('Final Calculation Sheet'!$I$4:$I$40=$BC$16)*($HE$6:$HE$42=1))&gt;0)</f>
        <v/>
      </c>
      <c r="HG16">
        <f>$HG$15+--($HF16)</f>
        <v/>
      </c>
      <c r="HH16">
        <f>IF(ROW()-3&gt;MAX($HG$4:$HG$40),"",INDEX($BC$4:$BC$40,MATCH(ROW()-3,$HG$4:$HG$40,0)))</f>
        <v/>
      </c>
      <c r="HI16">
        <f>IF(COUNTIF('Live Search'!BM$15:BV$15,0)+COUNTIF('Live Search'!BX$15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J16">
        <f>IF($BH$16="",FALSE,SUMPRODUCT(('Final Calculation Sheet'!$J$4:$J$40=$BH$16)*($HI$6:$HI$42=1))&gt;0)</f>
        <v/>
      </c>
      <c r="HK16">
        <f>$HK$15+--($HJ16)</f>
        <v/>
      </c>
      <c r="HL16">
        <f>IF(ROW()-3&gt;MAX($HK$4:$HK$40),"",INDEX($BH$4:$BH$40,MATCH(ROW()-3,$HK$4:$HK$40,0)))</f>
        <v/>
      </c>
      <c r="HM16">
        <f>IF(COUNTIF('Live Search'!BM$15:BW$15,0)+COUNTIF('Live Search'!BY$15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N16">
        <f>IF($BM$16="",FALSE,SUMPRODUCT(('Final Calculation Sheet'!$K$4:$K$40=$BM$16)*($HM$6:$HM$42=1))&gt;0)</f>
        <v/>
      </c>
      <c r="HO16">
        <f>$HO$15+--($HN16)</f>
        <v/>
      </c>
      <c r="HP16">
        <f>IF(ROW()-3&gt;MAX($HO$4:$HO$40),"",INDEX($BM$4:$BM$40,MATCH(ROW()-3,$HO$4:$HO$40,0)))</f>
        <v/>
      </c>
      <c r="HQ16">
        <f>IF(COUNTIF('Live Search'!BM$15:BX$15,0)+COUNTIF('Live Search'!BZ$15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R16">
        <f>IF($BR$16="",FALSE,SUMPRODUCT(('Final Calculation Sheet'!$L$4:$L$40=$BR$16)*($HQ$6:$HQ$42=1))&gt;0)</f>
        <v/>
      </c>
      <c r="HS16">
        <f>$HS$15+--($HR16)</f>
        <v/>
      </c>
      <c r="HT16">
        <f>IF(ROW()-3&gt;MAX($HS$4:$HS$40),"",INDEX($BR$4:$BR$40,MATCH(ROW()-3,$HS$4:$HS$40,0)))</f>
        <v/>
      </c>
      <c r="HU16">
        <f>IF(COUNTIF('Live Search'!BM$15:BY$15,0)+COUNTIF('Live Search'!CA$15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V16">
        <f>IF($BW$16="",FALSE,SUMPRODUCT(('Final Calculation Sheet'!$M$4:$M$40=$BW$16)*($HU$6:$HU$42=1))&gt;0)</f>
        <v/>
      </c>
      <c r="HW16">
        <f>$HW$15+--($HV16)</f>
        <v/>
      </c>
      <c r="HX16">
        <f>IF(ROW()-3&gt;MAX($HW$4:$HW$40),"",INDEX($BW$4:$BW$40,MATCH(ROW()-3,$HW$4:$HW$40,0)))</f>
        <v/>
      </c>
      <c r="HY16">
        <f>IF(COUNTIF('Live Search'!BM$15:BZ$15,0)+COUNTIF('Live Search'!CB$15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HZ16">
        <f>IF($CB$16="",FALSE,SUMPRODUCT(('Final Calculation Sheet'!$N$4:$N$40=$CB$16)*($HY$6:$HY$42=1))&gt;0)</f>
        <v/>
      </c>
      <c r="IA16">
        <f>$IA$15+--($HZ16)</f>
        <v/>
      </c>
      <c r="IB16">
        <f>IF(ROW()-3&gt;MAX($IA$4:$IA$40),"",INDEX($CB$4:$CB$40,MATCH(ROW()-3,$IA$4:$IA$40,0)))</f>
        <v/>
      </c>
      <c r="IC16">
        <f>IF(COUNTIF('Live Search'!BM$15:CA$15,0)+COUNTIF('Live Search'!CC$15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D16">
        <f>IF($CG$16="",FALSE,SUMPRODUCT(('Final Calculation Sheet'!$O$4:$O$40=$CG$16)*($IC$6:$IC$42=1))&gt;0)</f>
        <v/>
      </c>
      <c r="IE16">
        <f>$IE$15+--($ID16)</f>
        <v/>
      </c>
      <c r="IF16">
        <f>IF(ROW()-3&gt;MAX($IE$4:$IE$40),"",INDEX($CG$4:$CG$40,MATCH(ROW()-3,$IE$4:$IE$40,0)))</f>
        <v/>
      </c>
      <c r="IG16">
        <f>IF(COUNTIF('Live Search'!BM$15:CB$15,0)+COUNTIF('Live Search'!CD$15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H16">
        <f>IF($CL$16="",FALSE,SUMPRODUCT(('Final Calculation Sheet'!$P$4:$P$40=$CL$16)*($IG$6:$IG$42=1))&gt;0)</f>
        <v/>
      </c>
      <c r="II16">
        <f>$II$15+--($IH16)</f>
        <v/>
      </c>
      <c r="IJ16">
        <f>IF(ROW()-3&gt;MAX($II$4:$II$40),"",INDEX($CL$4:$CL$40,MATCH(ROW()-3,$II$4:$II$40,0)))</f>
        <v/>
      </c>
      <c r="IK16">
        <f>IF(COUNTIF('Live Search'!BM$15:CC$15,0)+COUNTIF('Live Search'!CE$15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L16">
        <f>IF($CQ$16="",FALSE,SUMPRODUCT(('Final Calculation Sheet'!$Q$4:$Q$40=$CQ$16)*($IK$6:$IK$42=1))&gt;0)</f>
        <v/>
      </c>
      <c r="IM16">
        <f>$IM$15+--($IL16)</f>
        <v/>
      </c>
      <c r="IN16">
        <f>IF(ROW()-3&gt;MAX($IM$4:$IM$40),"",INDEX($CQ$4:$CQ$40,MATCH(ROW()-3,$IM$4:$IM$40,0)))</f>
        <v/>
      </c>
      <c r="IO16">
        <f>IF(COUNTIF('Live Search'!BM$15:CD$15,0)+COUNTIF('Live Search'!CF$15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P16">
        <f>IF($CV$16="",FALSE,SUMPRODUCT(('Final Calculation Sheet'!$R$4:$R$40=$CV$16)*($IO$6:$IO$42=1))&gt;0)</f>
        <v/>
      </c>
      <c r="IQ16">
        <f>$IQ$15+--($IP16)</f>
        <v/>
      </c>
      <c r="IR16">
        <f>IF(ROW()-3&gt;MAX($IQ$4:$IQ$40),"",INDEX($CV$4:$CV$40,MATCH(ROW()-3,$IQ$4:$IQ$40,0)))</f>
        <v/>
      </c>
      <c r="IS16">
        <f>IF(COUNTIF('Live Search'!BM$15:CE$15,0)+COUNTIF('Live Search'!CG$15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T16">
        <f>IF($DA$16="",FALSE,SUMPRODUCT(('Final Calculation Sheet'!$S$4:$S$40=$DA$16)*($IS$6:$IS$42=1))&gt;0)</f>
        <v/>
      </c>
      <c r="IU16">
        <f>$IU$15+--($IT16)</f>
        <v/>
      </c>
      <c r="IV16">
        <f>IF(ROW()-3&gt;MAX($IU$4:$IU$40),"",INDEX($DA$4:$DA$40,MATCH(ROW()-3,$IU$4:$IU$40,0)))</f>
        <v/>
      </c>
      <c r="IW16">
        <f>IF(COUNTIF('Live Search'!BM$15:CF$15,0)+COUNTIF('Live Search'!CH$15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IX16">
        <f>IF($DF$16="",FALSE,SUMPRODUCT(('Final Calculation Sheet'!$T$4:$T$40=$DF$16)*($IW$6:$IW$42=1))&gt;0)</f>
        <v/>
      </c>
      <c r="IY16">
        <f>$IY$15+--($IX16)</f>
        <v/>
      </c>
      <c r="IZ16">
        <f>IF(ROW()-3&gt;MAX($IY$4:$IY$40),"",INDEX($DF$4:$DF$40,MATCH(ROW()-3,$IY$4:$IY$40,0)))</f>
        <v/>
      </c>
      <c r="JA16">
        <f>IF(COUNTIF('Live Search'!BM$15:CG$15,0)+COUNTIF('Live Search'!CI$15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B16">
        <f>IF($DK$16="",FALSE,SUMPRODUCT(('Final Calculation Sheet'!$U$4:$U$40=$DK$16)*($JA$6:$JA$42=1))&gt;0)</f>
        <v/>
      </c>
      <c r="JC16">
        <f>$JC$15+--($JB16)</f>
        <v/>
      </c>
      <c r="JD16">
        <f>IF(ROW()-3&gt;MAX($JC$4:$JC$40),"",INDEX($DK$4:$DK$40,MATCH(ROW()-3,$JC$4:$JC$40,0)))</f>
        <v/>
      </c>
      <c r="JE16">
        <f>IF(COUNTIF('Live Search'!BM$15:CH$15,0)+COUNTIF('Live Search'!CJ$15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F16">
        <f>IF($DP$16="",FALSE,SUMPRODUCT(('Final Calculation Sheet'!$V$4:$V$40=$DP$16)*($JE$6:$JE$42=1))&gt;0)</f>
        <v/>
      </c>
      <c r="JG16">
        <f>$JG$15+--($JF16)</f>
        <v/>
      </c>
      <c r="JH16">
        <f>IF(ROW()-3&gt;MAX($JG$4:$JG$40),"",INDEX($DP$4:$DP$40,MATCH(ROW()-3,$JG$4:$JG$40,0)))</f>
        <v/>
      </c>
      <c r="JI16">
        <f>IF(COUNTIF('Live Search'!BM$15:CI$15,0)+COUNTIF('Live Search'!CK$15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J16">
        <f>IF($DU$16="",FALSE,SUMPRODUCT(('Final Calculation Sheet'!$W$4:$W$40=$DU$16)*($JI$6:$JI$42=1))&gt;0)</f>
        <v/>
      </c>
      <c r="JK16">
        <f>$JK$15+--($JJ16)</f>
        <v/>
      </c>
      <c r="JL16">
        <f>IF(ROW()-3&gt;MAX($JK$4:$JK$40),"",INDEX($DU$4:$DU$40,MATCH(ROW()-3,$JK$4:$JK$40,0)))</f>
        <v/>
      </c>
      <c r="JM16">
        <f>IF(COUNTIF('Live Search'!BM$15:CJ$15,0)+COUNTIF('Live Search'!CL$15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N16">
        <f>IF($DZ$16="",FALSE,SUMPRODUCT(('Final Calculation Sheet'!$X$4:$X$40=$DZ$16)*($JM$6:$JM$42=1))&gt;0)</f>
        <v/>
      </c>
      <c r="JO16">
        <f>$JO$15+--($JN16)</f>
        <v/>
      </c>
      <c r="JP16">
        <f>IF(ROW()-3&gt;MAX($JO$4:$JO$40),"",INDEX($DZ$4:$DZ$40,MATCH(ROW()-3,$JO$4:$JO$40,0)))</f>
        <v/>
      </c>
      <c r="JQ16">
        <f>IF(COUNTIF('Live Search'!BM$15:CK$15,0)+COUNTIF('Live Search'!C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R16">
        <f>IF($EE$16="",FALSE,SUMPRODUCT(('Final Calculation Sheet'!$Y$4:$Y$40=$EE$16)*($JQ$6:$JQ$42=1))&gt;0)</f>
        <v/>
      </c>
      <c r="JS16">
        <f>$JS$15+--($JR16)</f>
        <v/>
      </c>
      <c r="JT16">
        <f>IF(ROW()-3&gt;MAX($JS$4:$JS$40),"",INDEX($EE$4:$EE$40,MATCH(ROW()-3,$JS$4:$JS$40,0)))</f>
        <v/>
      </c>
      <c r="JU16">
        <f>IF(COUNTIF('Live Search'!BM$15:CL$15,0)+COUNTIF('Live Search'!CN$15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V16">
        <f>IF($EJ$16="",FALSE,SUMPRODUCT(('Final Calculation Sheet'!$Z$4:$Z$40=$EJ$16)*($JU$6:$JU$42=1))&gt;0)</f>
        <v/>
      </c>
      <c r="JW16">
        <f>$JW$15+--($JV16)</f>
        <v/>
      </c>
      <c r="JX16">
        <f>IF(ROW()-3&gt;MAX($JW$4:$JW$40),"",INDEX($EJ$4:$EJ$40,MATCH(ROW()-3,$JW$4:$JW$40,0)))</f>
        <v/>
      </c>
      <c r="JY16">
        <f>IF(COUNTIF('Live Search'!BM$15:CM$15,0)+COUNTIF('Live Search'!CO$15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JZ16">
        <f>IF($EO$16="",FALSE,SUMPRODUCT(('Final Calculation Sheet'!$AA$4:$AA$40=$EO$16)*($JY$6:$JY$42=1))&gt;0)</f>
        <v/>
      </c>
      <c r="KA16">
        <f>$KA$15+--($JZ16)</f>
        <v/>
      </c>
      <c r="KB16">
        <f>IF(ROW()-3&gt;MAX($KA$4:$KA$40),"",INDEX($EO$4:$EO$40,MATCH(ROW()-3,$KA$4:$KA$40,0)))</f>
        <v/>
      </c>
      <c r="KC16">
        <f>IF(COUNTIF('Live Search'!BM$15:CN$15,0)+COUNTIF('Live Search'!CP$15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D16">
        <f>IF($ET$16="",FALSE,SUMPRODUCT(('Final Calculation Sheet'!$AB$4:$AB$40=$ET$16)*($KC$6:$KC$42=1))&gt;0)</f>
        <v/>
      </c>
      <c r="KE16">
        <f>$KE$15+--($KD16)</f>
        <v/>
      </c>
      <c r="KF16">
        <f>IF(ROW()-3&gt;MAX($KE$4:$KE$40),"",INDEX($ET$4:$ET$40,MATCH(ROW()-3,$KE$4:$KE$40,0)))</f>
        <v/>
      </c>
      <c r="KG16">
        <f>IF(COUNTIF('Live Search'!BM$15:CO$15,0)+COUNTIF('Live Search'!CQ$15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H16">
        <f>IF($EY$16="",FALSE,SUMPRODUCT(('Final Calculation Sheet'!$AC$4:$AC$40=$EY$16)*($KG$6:$KG$42=1))&gt;0)</f>
        <v/>
      </c>
      <c r="KI16">
        <f>$KI$15+--($KH16)</f>
        <v/>
      </c>
      <c r="KJ16">
        <f>IF(ROW()-3&gt;MAX($KI$4:$KI$40),"",INDEX($EY$4:$EY$40,MATCH(ROW()-3,$KI$4:$KI$40,0)))</f>
        <v/>
      </c>
      <c r="KK16">
        <f>IF(COUNTIF('Live Search'!BM$15:CP$15,0)+COUNTIF('Live Search'!CR$15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L16">
        <f>IF($FD$16="",FALSE,SUMPRODUCT(('Final Calculation Sheet'!$AD$4:$AD$40=$FD$16)*($KK$6:$KK$42=1))&gt;0)</f>
        <v/>
      </c>
      <c r="KM16">
        <f>$KM$15+--($KL16)</f>
        <v/>
      </c>
      <c r="KN16">
        <f>IF(ROW()-3&gt;MAX($KM$4:$KM$40),"",INDEX($FD$4:$FD$40,MATCH(ROW()-3,$KM$4:$KM$40,0)))</f>
        <v/>
      </c>
      <c r="KO16">
        <f>IF(COUNTIF('Live Search'!BM$15:CT$15,0)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P16">
        <f>IF($FX$16="",FALSE,SUMPRODUCT((IF('Final Calculation Sheet'!$AD$4:$AD$40&lt;=5,"SETTLED","OUTSTANDING")=$FX$16)*($KO$6:$KO$42=1))&gt;0)</f>
        <v/>
      </c>
      <c r="KQ16">
        <f>$KQ$15+--($KP16)</f>
        <v/>
      </c>
      <c r="KR16">
        <f>IF(ROW()-3&gt;MAX($KQ$4:$KQ$40),"",INDEX($FX$4:$FX$40,MATCH(ROW()-3,$KQ$4:$KQ$40,0)))</f>
        <v/>
      </c>
      <c r="KS16">
        <f>IF(COUNTIF('Live Search'!BM$15:CQ$15,0)+COUNTIF('Live Search'!CS$15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T16">
        <f>IF($FI$16="",FALSE,SUMPRODUCT(('Final Calculation Sheet'!$AF$4:$AF$40=$FI$16)*($KS$6:$KS$42=1))&gt;0)</f>
        <v/>
      </c>
      <c r="KU16">
        <f>$KU$15+--($KT16)</f>
        <v/>
      </c>
      <c r="KV16">
        <f>IF(ROW()-3&gt;MAX($KU$4:$KU$40),"",INDEX($FI$4:$FI$40,MATCH(ROW()-3,$KU$4:$KU$40,0)))</f>
        <v/>
      </c>
      <c r="KW16">
        <f>IF(COUNTIF('Live Search'!BM$15:CR$15,0)+COUNTIF('Live Search'!CT$15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KX16">
        <f>IF($FN$16="",FALSE,SUMPRODUCT(('Final Calculation Sheet'!$AG$4:$AG$40=$FN$16)*($KW$6:$KW$42=1))&gt;0)</f>
        <v/>
      </c>
      <c r="KY16">
        <f>$KY$15+--($KX16)</f>
        <v/>
      </c>
      <c r="KZ16">
        <f>IF(ROW()-3&gt;MAX($KY$4:$KY$40),"",INDEX($FN$4:$FN$40,MATCH(ROW()-3,$KY$4:$KY$40,0)))</f>
        <v/>
      </c>
      <c r="LA16">
        <f>IF(COUNTIF('Live Search'!BM$15:CS$15,0)+COUNTIF('Live Search'!CU$15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LB16">
        <f>IF($FS$16="",FALSE,SUMPRODUCT(('Final Calculation Sheet'!$AH$4:$AH$40=$FS$16)*($LA$6:$LA$42=1))&gt;0)</f>
        <v/>
      </c>
      <c r="LC16">
        <f>$LC$15+--($LB16)</f>
        <v/>
      </c>
      <c r="LD16">
        <f>IF(ROW()-3&gt;MAX($LC$4:$LC$40),"",INDEX($FS$4:$FS$40,MATCH(ROW()-3,$LC$4:$LC$40,0)))</f>
        <v/>
      </c>
      <c r="LE16">
        <f>IF(COUNTIF('Buyer Groups'!DH69:EN69,0)&gt;0,0,1)</f>
        <v/>
      </c>
      <c r="LF16">
        <f>IF($O$16="",FALSE,SUMPRODUCT(('Final Calculation Sheet'!$F$4:$F$40=$O$16)*($LE$6:$LE$42=1))&gt;0)</f>
        <v/>
      </c>
      <c r="LG16">
        <f>$LG$15+--($LF16)</f>
        <v/>
      </c>
      <c r="LH16">
        <f>IF(ROW()-3&gt;MAX($LG$4:$LG$40),"",INDEX($O$4:$O$40,MATCH(ROW()-3,$LG$4:$LG$40,0)))</f>
        <v/>
      </c>
      <c r="LI16">
        <f>IF(COUNTIF('Buyer Groups'!DG69:DG69,0)+COUNTIF('Buyer Groups'!DI69:EN69,0)&gt;0,0,1)</f>
        <v/>
      </c>
      <c r="LJ16">
        <f>IF($T$16="",FALSE,SUMPRODUCT(('Final Calculation Sheet'!$G$4:$G$40=$T$16)*($LI$6:$LI$42=1))&gt;0)</f>
        <v/>
      </c>
      <c r="LK16">
        <f>$LK$15+--($LJ16)</f>
        <v/>
      </c>
      <c r="LL16">
        <f>IF(ROW()-3&gt;MAX($LK$4:$LK$40),"",INDEX($T$4:$T$40,MATCH(ROW()-3,$LK$4:$LK$40,0)))</f>
        <v/>
      </c>
      <c r="LM16">
        <f>IF(COUNTIF('Buyer Groups'!DG69:DH69,0)+COUNTIF('Buyer Groups'!DJ69:EN69,0)&gt;0,0,1)</f>
        <v/>
      </c>
      <c r="LN16">
        <f>IF($Y$16="",FALSE,SUMPRODUCT(('Final Calculation Sheet'!$B$4:$B$40=$Y$16)*($LM$6:$LM$42=1))&gt;0)</f>
        <v/>
      </c>
      <c r="LO16">
        <f>$LO$15+--($LN16)</f>
        <v/>
      </c>
      <c r="LP16">
        <f>IF(ROW()-3&gt;MAX($LO$4:$LO$40),"",INDEX($Y$4:$Y$40,MATCH(ROW()-3,$LO$4:$LO$40,0)))</f>
        <v/>
      </c>
      <c r="LQ16">
        <f>IF(COUNTIF('Buyer Groups'!DG69:DI69,0)+COUNTIF('Buyer Groups'!DK69:EN69,0)&gt;0,0,1)</f>
        <v/>
      </c>
      <c r="LR16">
        <f>IF($AD$16="",FALSE,SUMPRODUCT(('Final Calculation Sheet'!$D$4:$D$40=$AD$16)*($LQ$6:$LQ$42=1))&gt;0)</f>
        <v/>
      </c>
      <c r="LS16">
        <f>$LS$15+--($LR16)</f>
        <v/>
      </c>
      <c r="LT16">
        <f>IF(ROW()-3&gt;MAX($LS$4:$LS$40),"",INDEX($AD$4:$AD$40,MATCH(ROW()-3,$LS$4:$LS$40,0)))</f>
        <v/>
      </c>
      <c r="LU16">
        <f>IF(COUNTIF('Buyer Groups'!DG69:DJ69,0)+COUNTIF('Buyer Groups'!DL69:EN69,0)&gt;0,0,1)</f>
        <v/>
      </c>
      <c r="LV16">
        <f>IF($AI$16="",FALSE,SUMPRODUCT(('Final Calculation Sheet'!$A$4:$A$40=$AI$16)*($LU$6:$LU$42=1))&gt;0)</f>
        <v/>
      </c>
      <c r="LW16">
        <f>$LW$15+--($LV16)</f>
        <v/>
      </c>
      <c r="LX16">
        <f>IF(ROW()-3&gt;MAX($LW$4:$LW$40),"",INDEX($AI$4:$AI$40,MATCH(ROW()-3,$LW$4:$LW$40,0)))</f>
        <v/>
      </c>
      <c r="LY16">
        <f>IF(COUNTIF('Buyer Groups'!DG69:DK69,0)+COUNTIF('Buyer Groups'!DM69:EN69,0)&gt;0,0,1)</f>
        <v/>
      </c>
      <c r="LZ16">
        <f>IF($AN$16="",FALSE,SUMPRODUCT(('Final Calculation Sheet'!$E$4:$E$40=$AN$16)*($LY$6:$LY$42=1))&gt;0)</f>
        <v/>
      </c>
      <c r="MA16">
        <f>$MA$15+--($LZ16)</f>
        <v/>
      </c>
      <c r="MB16">
        <f>IF(ROW()-3&gt;MAX($MA$4:$MA$40),"",INDEX($AN$4:$AN$40,MATCH(ROW()-3,$MA$4:$MA$40,0)))</f>
        <v/>
      </c>
      <c r="MC16">
        <f>IF(COUNTIF('Buyer Groups'!DG69:DL69,0)+COUNTIF('Buyer Groups'!DN69:EN69,0)&gt;0,0,1)</f>
        <v/>
      </c>
      <c r="MD16">
        <f>IF($AS$16="",FALSE,SUMPRODUCT(('Final Calculation Sheet'!$C$4:$C$40=$AS$16)*($MC$6:$MC$42=1))&gt;0)</f>
        <v/>
      </c>
      <c r="ME16">
        <f>$ME$15+--($MD16)</f>
        <v/>
      </c>
      <c r="MF16">
        <f>IF(ROW()-3&gt;MAX($ME$4:$ME$40),"",INDEX($AS$4:$AS$40,MATCH(ROW()-3,$ME$4:$ME$40,0)))</f>
        <v/>
      </c>
      <c r="MG16">
        <f>IF(COUNTIF('Buyer Groups'!DG69:DM69,0)+COUNTIF('Buyer Groups'!DO69:EN69,0)&gt;0,0,1)</f>
        <v/>
      </c>
      <c r="MH16">
        <f>IF($AX$16="",FALSE,SUMPRODUCT(('Final Calculation Sheet'!$H$4:$H$40=$AX$16)*($MG$6:$MG$42=1))&gt;0)</f>
        <v/>
      </c>
      <c r="MI16">
        <f>$MI$15+--($MH16)</f>
        <v/>
      </c>
      <c r="MJ16">
        <f>IF(ROW()-3&gt;MAX($MI$4:$MI$40),"",INDEX($AX$4:$AX$40,MATCH(ROW()-3,$MI$4:$MI$40,0)))</f>
        <v/>
      </c>
      <c r="MK16">
        <f>IF(COUNTIF('Buyer Groups'!DG69:DN69,0)+COUNTIF('Buyer Groups'!DP69:EN69,0)&gt;0,0,1)</f>
        <v/>
      </c>
      <c r="ML16">
        <f>IF($BC$16="",FALSE,SUMPRODUCT(('Final Calculation Sheet'!$I$4:$I$40=$BC$16)*($MK$6:$MK$42=1))&gt;0)</f>
        <v/>
      </c>
      <c r="MM16">
        <f>$MM$15+--($ML16)</f>
        <v/>
      </c>
      <c r="MN16">
        <f>IF(ROW()-3&gt;MAX($MM$4:$MM$40),"",INDEX($BC$4:$BC$40,MATCH(ROW()-3,$MM$4:$MM$40,0)))</f>
        <v/>
      </c>
      <c r="MO16">
        <f>IF(COUNTIF('Buyer Groups'!DG69:DO69,0)+COUNTIF('Buyer Groups'!DQ69:EN69,0)&gt;0,0,1)</f>
        <v/>
      </c>
      <c r="MP16">
        <f>IF($BH$16="",FALSE,SUMPRODUCT(('Final Calculation Sheet'!$J$4:$J$40=$BH$16)*($MO$6:$MO$42=1))&gt;0)</f>
        <v/>
      </c>
      <c r="MQ16">
        <f>$MQ$15+--($MP16)</f>
        <v/>
      </c>
      <c r="MR16">
        <f>IF(ROW()-3&gt;MAX($MQ$4:$MQ$40),"",INDEX($BH$4:$BH$40,MATCH(ROW()-3,$MQ$4:$MQ$40,0)))</f>
        <v/>
      </c>
      <c r="MS16">
        <f>IF(COUNTIF('Buyer Groups'!DG69:DP69,0)+COUNTIF('Buyer Groups'!DR69:EN69,0)&gt;0,0,1)</f>
        <v/>
      </c>
      <c r="MT16">
        <f>IF($BM$16="",FALSE,SUMPRODUCT(('Final Calculation Sheet'!$K$4:$K$40=$BM$16)*($MS$6:$MS$42=1))&gt;0)</f>
        <v/>
      </c>
      <c r="MU16">
        <f>$MU$15+--($MT16)</f>
        <v/>
      </c>
      <c r="MV16">
        <f>IF(ROW()-3&gt;MAX($MU$4:$MU$40),"",INDEX($BM$4:$BM$40,MATCH(ROW()-3,$MU$4:$MU$40,0)))</f>
        <v/>
      </c>
      <c r="MW16">
        <f>IF(COUNTIF('Buyer Groups'!DG69:DQ69,0)+COUNTIF('Buyer Groups'!DS69:EN69,0)&gt;0,0,1)</f>
        <v/>
      </c>
      <c r="MX16">
        <f>IF($BR$16="",FALSE,SUMPRODUCT(('Final Calculation Sheet'!$L$4:$L$40=$BR$16)*($MW$6:$MW$42=1))&gt;0)</f>
        <v/>
      </c>
      <c r="MY16">
        <f>$MY$15+--($MX16)</f>
        <v/>
      </c>
      <c r="MZ16">
        <f>IF(ROW()-3&gt;MAX($MY$4:$MY$40),"",INDEX($BR$4:$BR$40,MATCH(ROW()-3,$MY$4:$MY$40,0)))</f>
        <v/>
      </c>
      <c r="NA16">
        <f>IF(COUNTIF('Buyer Groups'!DG69:DR69,0)+COUNTIF('Buyer Groups'!DT69:EN69,0)&gt;0,0,1)</f>
        <v/>
      </c>
      <c r="NB16">
        <f>IF($BW$16="",FALSE,SUMPRODUCT(('Final Calculation Sheet'!$M$4:$M$40=$BW$16)*($NA$6:$NA$42=1))&gt;0)</f>
        <v/>
      </c>
      <c r="NC16">
        <f>$NC$15+--($NB16)</f>
        <v/>
      </c>
      <c r="ND16">
        <f>IF(ROW()-3&gt;MAX($NC$4:$NC$40),"",INDEX($BW$4:$BW$40,MATCH(ROW()-3,$NC$4:$NC$40,0)))</f>
        <v/>
      </c>
      <c r="NE16">
        <f>IF(COUNTIF('Buyer Groups'!DG69:DS69,0)+COUNTIF('Buyer Groups'!DU69:EN69,0)&gt;0,0,1)</f>
        <v/>
      </c>
      <c r="NF16">
        <f>IF($CB$16="",FALSE,SUMPRODUCT(('Final Calculation Sheet'!$N$4:$N$40=$CB$16)*($NE$6:$NE$42=1))&gt;0)</f>
        <v/>
      </c>
      <c r="NG16">
        <f>$NG$15+--($NF16)</f>
        <v/>
      </c>
      <c r="NH16">
        <f>IF(ROW()-3&gt;MAX($NG$4:$NG$40),"",INDEX($CB$4:$CB$40,MATCH(ROW()-3,$NG$4:$NG$40,0)))</f>
        <v/>
      </c>
      <c r="NI16">
        <f>IF(COUNTIF('Buyer Groups'!DG69:DT69,0)+COUNTIF('Buyer Groups'!DV69:EN69,0)&gt;0,0,1)</f>
        <v/>
      </c>
      <c r="NJ16">
        <f>IF($CG$16="",FALSE,SUMPRODUCT(('Final Calculation Sheet'!$O$4:$O$40=$CG$16)*($NI$6:$NI$42=1))&gt;0)</f>
        <v/>
      </c>
      <c r="NK16">
        <f>$NK$15+--($NJ16)</f>
        <v/>
      </c>
      <c r="NL16">
        <f>IF(ROW()-3&gt;MAX($NK$4:$NK$40),"",INDEX($CG$4:$CG$40,MATCH(ROW()-3,$NK$4:$NK$40,0)))</f>
        <v/>
      </c>
      <c r="NM16">
        <f>IF(COUNTIF('Buyer Groups'!DG69:DU69,0)+COUNTIF('Buyer Groups'!DW69:EN69,0)&gt;0,0,1)</f>
        <v/>
      </c>
      <c r="NN16">
        <f>IF($CL$16="",FALSE,SUMPRODUCT(('Final Calculation Sheet'!$P$4:$P$40=$CL$16)*($NM$6:$NM$42=1))&gt;0)</f>
        <v/>
      </c>
      <c r="NO16">
        <f>$NO$15+--($NN16)</f>
        <v/>
      </c>
      <c r="NP16">
        <f>IF(ROW()-3&gt;MAX($NO$4:$NO$40),"",INDEX($CL$4:$CL$40,MATCH(ROW()-3,$NO$4:$NO$40,0)))</f>
        <v/>
      </c>
      <c r="NQ16">
        <f>IF(COUNTIF('Buyer Groups'!DG69:DV69,0)+COUNTIF('Buyer Groups'!DX69:EN69,0)&gt;0,0,1)</f>
        <v/>
      </c>
      <c r="NR16">
        <f>IF($CQ$16="",FALSE,SUMPRODUCT(('Final Calculation Sheet'!$Q$4:$Q$40=$CQ$16)*($NQ$6:$NQ$42=1))&gt;0)</f>
        <v/>
      </c>
      <c r="NS16">
        <f>$NS$15+--($NR16)</f>
        <v/>
      </c>
      <c r="NT16">
        <f>IF(ROW()-3&gt;MAX($NS$4:$NS$40),"",INDEX($CQ$4:$CQ$40,MATCH(ROW()-3,$NS$4:$NS$40,0)))</f>
        <v/>
      </c>
      <c r="NU16">
        <f>IF(COUNTIF('Buyer Groups'!DG69:DW69,0)+COUNTIF('Buyer Groups'!DY69:EN69,0)&gt;0,0,1)</f>
        <v/>
      </c>
      <c r="NV16">
        <f>IF($CV$16="",FALSE,SUMPRODUCT(('Final Calculation Sheet'!$R$4:$R$40=$CV$16)*($NU$6:$NU$42=1))&gt;0)</f>
        <v/>
      </c>
      <c r="NW16">
        <f>$NW$15+--($NV16)</f>
        <v/>
      </c>
      <c r="NX16">
        <f>IF(ROW()-3&gt;MAX($NW$4:$NW$40),"",INDEX($CV$4:$CV$40,MATCH(ROW()-3,$NW$4:$NW$40,0)))</f>
        <v/>
      </c>
      <c r="NY16">
        <f>IF(COUNTIF('Buyer Groups'!DG69:DX69,0)+COUNTIF('Buyer Groups'!DZ69:EN69,0)&gt;0,0,1)</f>
        <v/>
      </c>
      <c r="NZ16">
        <f>IF($DA$16="",FALSE,SUMPRODUCT(('Final Calculation Sheet'!$S$4:$S$40=$DA$16)*($NY$6:$NY$42=1))&gt;0)</f>
        <v/>
      </c>
      <c r="OA16">
        <f>$OA$15+--($NZ16)</f>
        <v/>
      </c>
      <c r="OB16">
        <f>IF(ROW()-3&gt;MAX($OA$4:$OA$40),"",INDEX($DA$4:$DA$40,MATCH(ROW()-3,$OA$4:$OA$40,0)))</f>
        <v/>
      </c>
      <c r="OC16">
        <f>IF(COUNTIF('Buyer Groups'!DG69:DY69,0)+COUNTIF('Buyer Groups'!EA69:EN69,0)&gt;0,0,1)</f>
        <v/>
      </c>
      <c r="OD16">
        <f>IF($DF$16="",FALSE,SUMPRODUCT(('Final Calculation Sheet'!$T$4:$T$40=$DF$16)*($OC$6:$OC$42=1))&gt;0)</f>
        <v/>
      </c>
      <c r="OE16">
        <f>$OE$15+--($OD16)</f>
        <v/>
      </c>
      <c r="OF16">
        <f>IF(ROW()-3&gt;MAX($OE$4:$OE$40),"",INDEX($DF$4:$DF$40,MATCH(ROW()-3,$OE$4:$OE$40,0)))</f>
        <v/>
      </c>
      <c r="OG16">
        <f>IF(COUNTIF('Buyer Groups'!DG69:DZ69,0)+COUNTIF('Buyer Groups'!EB69:EN69,0)&gt;0,0,1)</f>
        <v/>
      </c>
      <c r="OH16">
        <f>IF($DK$16="",FALSE,SUMPRODUCT(('Final Calculation Sheet'!$U$4:$U$40=$DK$16)*($OG$6:$OG$42=1))&gt;0)</f>
        <v/>
      </c>
      <c r="OI16">
        <f>$OI$15+--($OH16)</f>
        <v/>
      </c>
      <c r="OJ16">
        <f>IF(ROW()-3&gt;MAX($OI$4:$OI$40),"",INDEX($DK$4:$DK$40,MATCH(ROW()-3,$OI$4:$OI$40,0)))</f>
        <v/>
      </c>
      <c r="OK16">
        <f>IF(COUNTIF('Buyer Groups'!DG69:EA69,0)+COUNTIF('Buyer Groups'!EC69:EN69,0)&gt;0,0,1)</f>
        <v/>
      </c>
      <c r="OL16">
        <f>IF($DP$16="",FALSE,SUMPRODUCT(('Final Calculation Sheet'!$V$4:$V$40=$DP$16)*($OK$6:$OK$42=1))&gt;0)</f>
        <v/>
      </c>
      <c r="OM16">
        <f>$OM$15+--($OL16)</f>
        <v/>
      </c>
      <c r="ON16">
        <f>IF(ROW()-3&gt;MAX($OM$4:$OM$40),"",INDEX($DP$4:$DP$40,MATCH(ROW()-3,$OM$4:$OM$40,0)))</f>
        <v/>
      </c>
      <c r="OO16">
        <f>IF(COUNTIF('Buyer Groups'!DG69:EB69,0)+COUNTIF('Buyer Groups'!ED69:EN69,0)&gt;0,0,1)</f>
        <v/>
      </c>
      <c r="OP16">
        <f>IF($DU$16="",FALSE,SUMPRODUCT(('Final Calculation Sheet'!$W$4:$W$40=$DU$16)*($OO$6:$OO$42=1))&gt;0)</f>
        <v/>
      </c>
      <c r="OQ16">
        <f>$OQ$15+--($OP16)</f>
        <v/>
      </c>
      <c r="OR16">
        <f>IF(ROW()-3&gt;MAX($OQ$4:$OQ$40),"",INDEX($DU$4:$DU$40,MATCH(ROW()-3,$OQ$4:$OQ$40,0)))</f>
        <v/>
      </c>
      <c r="OS16">
        <f>IF(COUNTIF('Buyer Groups'!DG69:EC69,0)+COUNTIF('Buyer Groups'!EE69:EN69,0)&gt;0,0,1)</f>
        <v/>
      </c>
      <c r="OT16">
        <f>IF($DZ$16="",FALSE,SUMPRODUCT(('Final Calculation Sheet'!$X$4:$X$40=$DZ$16)*($OS$6:$OS$42=1))&gt;0)</f>
        <v/>
      </c>
      <c r="OU16">
        <f>$OU$15+--($OT16)</f>
        <v/>
      </c>
      <c r="OV16">
        <f>IF(ROW()-3&gt;MAX($OU$4:$OU$40),"",INDEX($DZ$4:$DZ$40,MATCH(ROW()-3,$OU$4:$OU$40,0)))</f>
        <v/>
      </c>
      <c r="OW16">
        <f>IF(COUNTIF('Buyer Groups'!DG69:ED69,0)+COUNTIF('Buyer Groups'!EF69:EN69,0)&gt;0,0,1)</f>
        <v/>
      </c>
      <c r="OX16">
        <f>IF($EE$16="",FALSE,SUMPRODUCT(('Final Calculation Sheet'!$Y$4:$Y$40=$EE$16)*($OW$6:$OW$42=1))&gt;0)</f>
        <v/>
      </c>
      <c r="OY16">
        <f>$OY$15+--($OX16)</f>
        <v/>
      </c>
      <c r="OZ16">
        <f>IF(ROW()-3&gt;MAX($OY$4:$OY$40),"",INDEX($EE$4:$EE$40,MATCH(ROW()-3,$OY$4:$OY$40,0)))</f>
        <v/>
      </c>
      <c r="PA16">
        <f>IF(COUNTIF('Buyer Groups'!DG69:EE69,0)+COUNTIF('Buyer Groups'!EG69:EN69,0)&gt;0,0,1)</f>
        <v/>
      </c>
      <c r="PB16">
        <f>IF($EJ$16="",FALSE,SUMPRODUCT(('Final Calculation Sheet'!$Z$4:$Z$40=$EJ$16)*($PA$6:$PA$42=1))&gt;0)</f>
        <v/>
      </c>
      <c r="PC16">
        <f>$PC$15+--($PB16)</f>
        <v/>
      </c>
      <c r="PD16">
        <f>IF(ROW()-3&gt;MAX($PC$4:$PC$40),"",INDEX($EJ$4:$EJ$40,MATCH(ROW()-3,$PC$4:$PC$40,0)))</f>
        <v/>
      </c>
      <c r="PE16">
        <f>IF(COUNTIF('Buyer Groups'!DG69:EF69,0)+COUNTIF('Buyer Groups'!EH69:EN69,0)&gt;0,0,1)</f>
        <v/>
      </c>
      <c r="PF16">
        <f>IF($EO$16="",FALSE,SUMPRODUCT(('Final Calculation Sheet'!$AA$4:$AA$40=$EO$16)*($PE$6:$PE$42=1))&gt;0)</f>
        <v/>
      </c>
      <c r="PG16">
        <f>$PG$15+--($PF16)</f>
        <v/>
      </c>
      <c r="PH16">
        <f>IF(ROW()-3&gt;MAX($PG$4:$PG$40),"",INDEX($EO$4:$EO$40,MATCH(ROW()-3,$PG$4:$PG$40,0)))</f>
        <v/>
      </c>
      <c r="PI16">
        <f>IF(COUNTIF('Buyer Groups'!DG69:EG69,0)+COUNTIF('Buyer Groups'!EI69:EN69,0)&gt;0,0,1)</f>
        <v/>
      </c>
      <c r="PJ16">
        <f>IF($ET$16="",FALSE,SUMPRODUCT(('Final Calculation Sheet'!$AB$4:$AB$40=$ET$16)*($PI$6:$PI$42=1))&gt;0)</f>
        <v/>
      </c>
      <c r="PK16">
        <f>$PK$15+--($PJ16)</f>
        <v/>
      </c>
      <c r="PL16">
        <f>IF(ROW()-3&gt;MAX($PK$4:$PK$40),"",INDEX($ET$4:$ET$40,MATCH(ROW()-3,$PK$4:$PK$40,0)))</f>
        <v/>
      </c>
      <c r="PM16">
        <f>IF(COUNTIF('Buyer Groups'!DG69:EH69,0)+COUNTIF('Buyer Groups'!EJ69:EN69,0)&gt;0,0,1)</f>
        <v/>
      </c>
      <c r="PN16">
        <f>IF($EY$16="",FALSE,SUMPRODUCT(('Final Calculation Sheet'!$AC$4:$AC$40=$EY$16)*($PM$6:$PM$42=1))&gt;0)</f>
        <v/>
      </c>
      <c r="PO16">
        <f>$PO$15+--($PN16)</f>
        <v/>
      </c>
      <c r="PP16">
        <f>IF(ROW()-3&gt;MAX($PO$4:$PO$40),"",INDEX($EY$4:$EY$40,MATCH(ROW()-3,$PO$4:$PO$40,0)))</f>
        <v/>
      </c>
      <c r="PQ16">
        <f>IF(COUNTIF('Buyer Groups'!DG69:EI69,0)+COUNTIF('Buyer Groups'!EK69:EN69,0)&gt;0,0,1)</f>
        <v/>
      </c>
      <c r="PR16">
        <f>IF($FD$16="",FALSE,SUMPRODUCT(('Final Calculation Sheet'!$AD$4:$AD$40=$FD$16)*($PQ$6:$PQ$42=1))&gt;0)</f>
        <v/>
      </c>
      <c r="PS16">
        <f>$PS$15+--($PR16)</f>
        <v/>
      </c>
      <c r="PT16">
        <f>IF(ROW()-3&gt;MAX($PS$4:$PS$40),"",INDEX($FD$4:$FD$40,MATCH(ROW()-3,$PS$4:$PS$40,0)))</f>
        <v/>
      </c>
      <c r="PU16">
        <f>IF(COUNTIF('Buyer Groups'!DG69:EJ69,0)+COUNTIF('Buyer Groups'!EL69:EN69,0)&gt;0,0,1)</f>
        <v/>
      </c>
      <c r="PV16">
        <f>IF($FX$16="",FALSE,SUMPRODUCT((IF('Final Calculation Sheet'!$AD$4:$AD$40&lt;=5,"SETTLED","OUTSTANDING")=$FX$16)*($PU$6:$PU$42=1))&gt;0)</f>
        <v/>
      </c>
      <c r="PW16">
        <f>$PW$15+--($PV16)</f>
        <v/>
      </c>
      <c r="PX16">
        <f>IF(ROW()-3&gt;MAX($PW$4:$PW$40),"",INDEX($FX$4:$FX$40,MATCH(ROW()-3,$PW$4:$PW$40,0)))</f>
        <v/>
      </c>
      <c r="PY16">
        <f>IF(COUNTIF('Buyer Groups'!DG69:EK69,0)+COUNTIF('Buyer Groups'!EM69:EN69,0)&gt;0,0,1)</f>
        <v/>
      </c>
      <c r="PZ16">
        <f>IF($FI$16="",FALSE,SUMPRODUCT(('Final Calculation Sheet'!$AF$4:$AF$40=$FI$16)*($PY$6:$PY$42=1))&gt;0)</f>
        <v/>
      </c>
      <c r="QA16">
        <f>$QA$15+--($PZ16)</f>
        <v/>
      </c>
      <c r="QB16">
        <f>IF(ROW()-3&gt;MAX($QA$4:$QA$40),"",INDEX($FI$4:$FI$40,MATCH(ROW()-3,$QA$4:$QA$40,0)))</f>
        <v/>
      </c>
      <c r="QC16">
        <f>IF(COUNTIF('Buyer Groups'!DG69:EL69,0)+COUNTIF('Buyer Groups'!EN69:EN69,0)&gt;0,0,1)</f>
        <v/>
      </c>
      <c r="QD16">
        <f>IF($FN$16="",FALSE,SUMPRODUCT(('Final Calculation Sheet'!$AG$4:$AG$40=$FN$16)*($QC$6:$QC$42=1))&gt;0)</f>
        <v/>
      </c>
      <c r="QE16">
        <f>$QE$15+--($QD16)</f>
        <v/>
      </c>
      <c r="QF16">
        <f>IF(ROW()-3&gt;MAX($QE$4:$QE$40),"",INDEX($FN$4:$FN$40,MATCH(ROW()-3,$QE$4:$QE$40,0)))</f>
        <v/>
      </c>
      <c r="QG16">
        <f>IF(COUNTIF('Buyer Groups'!DG69:EM69,0)&gt;0,0,1)</f>
        <v/>
      </c>
      <c r="QH16">
        <f>IF($FS$16="",FALSE,SUMPRODUCT(('Final Calculation Sheet'!$AH$4:$AH$40=$FS$16)*($QG$6:$QG$42=1))&gt;0)</f>
        <v/>
      </c>
      <c r="QI16">
        <f>$QI$15+--($QH16)</f>
        <v/>
      </c>
      <c r="QJ16">
        <f>IF(ROW()-3&gt;MAX($QI$4:$QI$40),"",INDEX($FS$4:$FS$40,MATCH(ROW()-3,$QI$4:$QI$40,0)))</f>
        <v/>
      </c>
      <c r="QK16" t="str">
        <f>IF('Final Calculation Sheet'!$AH$16="","",'Final Calculation Sheet'!$AH$16)</f>
      </c>
      <c r="QL16" t="str">
        <f>IF(QK16="","",COUNTIFS(QK$4:QK$40,"&lt;"&amp;QK16,QK$4:QK$40,"&lt;&gt;"&amp;"")+COUNTIF(QK$4:QK16,QK16))</f>
      </c>
      <c r="QM16" t="str">
        <f>IF(ROW()-3&gt;COUNTIF(QK$4:QK$40,"&lt;&gt;"&amp;""),"",INDEX(QK$4:QK$40,MATCH(ROW()-3,QL$4:QL$40,0)))</f>
      </c>
      <c r="QN16" t="str">
        <f>=QN15+F(AND(QM16&lt;&gt;"",COUNTIF(QM$4:QM16,QM16)=1),1,0)</f>
      </c>
      <c r="QO16" t="str">
        <f>IF(ROW()-3&gt;MAX(QN$4:QN$40),"",INDEX(QM$4:QM$40,MATCH(ROW()-3,QN$4:QN$40,0)))</f>
      </c>
      <c r="QP16" t="str">
        <f>IF(COUNTIF('Final Calculation Sheet'!$AM16:$BS16,0)&gt;0,0,1)</f>
      </c>
      <c r="QQ16" t="str">
        <f>IF($AI$16="",FALSE,SUMPRODUCT(('Final Calculation Sheet'!$A$4:$A$40=$AI$16)*($QP$4:$QP$40=1))&gt;0)</f>
      </c>
      <c r="QR16" t="str">
        <f>=$QR15+--($QQ16)</f>
      </c>
      <c r="QS16" t="str">
        <f>IF(ROW()-3&gt;MAX($QR$4:$QR$40),"",INDEX($AI$4:$AI$40,MATCH(ROW()-3,$QR$4:$QR$40,0)))</f>
      </c>
      <c r="QT16" t="str">
        <f>IF(COUNTIF('Final Calculation Sheet'!$AL16:$AL16,0)+COUNTIF('Final Calculation Sheet'!$AN16:$BS16,0)&gt;0,0,1)</f>
      </c>
      <c r="QU16" t="str">
        <f>IF($Y$16="",FALSE,SUMPRODUCT(('Final Calculation Sheet'!$B$4:$B$40=$Y$16)*($QT$4:$QT$40=1))&gt;0)</f>
      </c>
      <c r="QV16" t="str">
        <f>=$QV15+--($QU16)</f>
      </c>
      <c r="QW16" t="str">
        <f>IF(ROW()-3&gt;MAX($QV$4:$QV$40),"",INDEX($Y$4:$Y$40,MATCH(ROW()-3,$QV$4:$QV$40,0)))</f>
      </c>
      <c r="QX16" t="str">
        <f>IF(COUNTIF('Final Calculation Sheet'!$AL16:$AM16,0)+COUNTIF('Final Calculation Sheet'!$AO16:$BS16,0)&gt;0,0,1)</f>
      </c>
      <c r="QY16" t="str">
        <f>IF($AS$16="",FALSE,SUMPRODUCT(('Final Calculation Sheet'!$C$4:$C$40=$AS$16)*($QX$4:$QX$40=1))&gt;0)</f>
      </c>
      <c r="QZ16" t="str">
        <f>=$QZ15+--($QY16)</f>
      </c>
      <c r="RA16" t="str">
        <f>IF(ROW()-3&gt;MAX($QZ$4:$QZ$40),"",INDEX($AS$4:$AS$40,MATCH(ROW()-3,$QZ$4:$QZ$40,0)))</f>
      </c>
      <c r="RB16" t="str">
        <f>IF(COUNTIF('Final Calculation Sheet'!$AL16:$AN16,0)+COUNTIF('Final Calculation Sheet'!$AP16:$BS16,0)&gt;0,0,1)</f>
      </c>
      <c r="RC16" t="str">
        <f>IF($AD$16="",FALSE,SUMPRODUCT(('Final Calculation Sheet'!$D$4:$D$40=$AD$16)*($RB$4:$RB$40=1))&gt;0)</f>
      </c>
      <c r="RD16" t="str">
        <f>=$RD15+--($RC16)</f>
      </c>
      <c r="RE16" t="str">
        <f>IF(ROW()-3&gt;MAX($RD$4:$RD$40),"",INDEX($AD$4:$AD$40,MATCH(ROW()-3,$RD$4:$RD$40,0)))</f>
      </c>
      <c r="RF16" t="str">
        <f>IF(COUNTIF('Final Calculation Sheet'!$AL16:$AO16,0)+COUNTIF('Final Calculation Sheet'!$AQ16:$BS16,0)&gt;0,0,1)</f>
      </c>
      <c r="RG16" t="str">
        <f>IF($AN$16="",FALSE,SUMPRODUCT(('Final Calculation Sheet'!$E$4:$E$40=$AN$16)*($RF$4:$RF$40=1))&gt;0)</f>
      </c>
      <c r="RH16" t="str">
        <f>=$RH15+--($RG16)</f>
      </c>
      <c r="RI16" t="str">
        <f>IF(ROW()-3&gt;MAX($RH$4:$RH$40),"",INDEX($AN$4:$AN$40,MATCH(ROW()-3,$RH$4:$RH$40,0)))</f>
      </c>
      <c r="RJ16" t="str">
        <f>IF(COUNTIF('Final Calculation Sheet'!$AL16:$AP16,0)+COUNTIF('Final Calculation Sheet'!$AR16:$BS16,0)&gt;0,0,1)</f>
      </c>
      <c r="RK16" t="str">
        <f>IF($O$16="",FALSE,SUMPRODUCT(('Final Calculation Sheet'!$F$4:$F$40=$O$16)*($RJ$4:$RJ$40=1))&gt;0)</f>
      </c>
      <c r="RL16" t="str">
        <f>=$RL15+--($RK16)</f>
      </c>
      <c r="RM16" t="str">
        <f>IF(ROW()-3&gt;MAX($RL$4:$RL$40),"",INDEX($O$4:$O$40,MATCH(ROW()-3,$RL$4:$RL$40,0)))</f>
      </c>
      <c r="RN16" t="str">
        <f>IF(COUNTIF('Final Calculation Sheet'!$AL16:$AQ16,0)+COUNTIF('Final Calculation Sheet'!$AS16:$BS16,0)&gt;0,0,1)</f>
      </c>
      <c r="RO16" t="str">
        <f>IF($T$16="",FALSE,SUMPRODUCT(('Final Calculation Sheet'!$G$4:$G$40=$T$16)*($RN$4:$RN$40=1))&gt;0)</f>
      </c>
      <c r="RP16" t="str">
        <f>=$RP15+--($RO16)</f>
      </c>
      <c r="RQ16" t="str">
        <f>IF(ROW()-3&gt;MAX($RP$4:$RP$40),"",INDEX($T$4:$T$40,MATCH(ROW()-3,$RP$4:$RP$40,0)))</f>
      </c>
      <c r="RR16" t="str">
        <f>IF(COUNTIF('Final Calculation Sheet'!$AL16:$AR16,0)+COUNTIF('Final Calculation Sheet'!$AT16:$BS16,0)&gt;0,0,1)</f>
      </c>
      <c r="RS16" t="str">
        <f>IF($AX$16="",FALSE,SUMPRODUCT(('Final Calculation Sheet'!$H$4:$H$40=$AX$16)*($RR$4:$RR$40=1))&gt;0)</f>
      </c>
      <c r="RT16" t="str">
        <f>=$RT15+--($RS16)</f>
      </c>
      <c r="RU16" t="str">
        <f>IF(ROW()-3&gt;MAX($RT$4:$RT$40),"",INDEX($AX$4:$AX$40,MATCH(ROW()-3,$RT$4:$RT$40,0)))</f>
      </c>
      <c r="RV16" t="str">
        <f>IF(COUNTIF('Final Calculation Sheet'!$AL16:$AS16,0)+COUNTIF('Final Calculation Sheet'!$AU16:$BS16,0)&gt;0,0,1)</f>
      </c>
      <c r="RW16" t="str">
        <f>IF($BC$16="",FALSE,SUMPRODUCT(('Final Calculation Sheet'!$I$4:$I$40=$BC$16)*($RV$4:$RV$40=1))&gt;0)</f>
      </c>
      <c r="RX16" t="str">
        <f>=$RX15+--($RW16)</f>
      </c>
      <c r="RY16" t="str">
        <f>IF(ROW()-3&gt;MAX($RX$4:$RX$40),"",INDEX($BC$4:$BC$40,MATCH(ROW()-3,$RX$4:$RX$40,0)))</f>
      </c>
      <c r="RZ16" t="str">
        <f>IF(COUNTIF('Final Calculation Sheet'!$AL16:$AT16,0)+COUNTIF('Final Calculation Sheet'!$AV16:$BS16,0)&gt;0,0,1)</f>
      </c>
      <c r="SA16" t="str">
        <f>IF($BH$16="",FALSE,SUMPRODUCT(('Final Calculation Sheet'!$J$4:$J$40=$BH$16)*($RZ$4:$RZ$40=1))&gt;0)</f>
      </c>
      <c r="SB16" t="str">
        <f>=$SB15+--($SA16)</f>
      </c>
      <c r="SC16" t="str">
        <f>IF(ROW()-3&gt;MAX($SB$4:$SB$40),"",INDEX($BH$4:$BH$40,MATCH(ROW()-3,$SB$4:$SB$40,0)))</f>
      </c>
      <c r="SD16" t="str">
        <f>IF(COUNTIF('Final Calculation Sheet'!$AL16:$AU16,0)+COUNTIF('Final Calculation Sheet'!$AW16:$BS16,0)&gt;0,0,1)</f>
      </c>
      <c r="SE16" t="str">
        <f>IF($BM$16="",FALSE,SUMPRODUCT(('Final Calculation Sheet'!$K$4:$K$40=$BM$16)*($SD$4:$SD$40=1))&gt;0)</f>
      </c>
      <c r="SF16" t="str">
        <f>=$SF15+--($SE16)</f>
      </c>
      <c r="SG16" t="str">
        <f>IF(ROW()-3&gt;MAX($SF$4:$SF$40),"",INDEX($BM$4:$BM$40,MATCH(ROW()-3,$SF$4:$SF$40,0)))</f>
      </c>
      <c r="SH16" t="str">
        <f>IF(COUNTIF('Final Calculation Sheet'!$AL16:$AV16,0)+COUNTIF('Final Calculation Sheet'!$AX16:$BS16,0)&gt;0,0,1)</f>
      </c>
      <c r="SI16" t="str">
        <f>IF($BR$16="",FALSE,SUMPRODUCT(('Final Calculation Sheet'!$L$4:$L$40=$BR$16)*($SH$4:$SH$40=1))&gt;0)</f>
      </c>
      <c r="SJ16" t="str">
        <f>=$SJ15+--($SI16)</f>
      </c>
      <c r="SK16" t="str">
        <f>IF(ROW()-3&gt;MAX($SJ$4:$SJ$40),"",INDEX($BR$4:$BR$40,MATCH(ROW()-3,$SJ$4:$SJ$40,0)))</f>
      </c>
      <c r="SL16" t="str">
        <f>IF(COUNTIF('Final Calculation Sheet'!$AL16:$AW16,0)+COUNTIF('Final Calculation Sheet'!$AY16:$BS16,0)&gt;0,0,1)</f>
      </c>
      <c r="SM16" t="str">
        <f>IF($BW$16="",FALSE,SUMPRODUCT(('Final Calculation Sheet'!$M$4:$M$40=$BW$16)*($SL$4:$SL$40=1))&gt;0)</f>
      </c>
      <c r="SN16" t="str">
        <f>=$SN15+--($SM16)</f>
      </c>
      <c r="SO16" t="str">
        <f>IF(ROW()-3&gt;MAX($SN$4:$SN$40),"",INDEX($BW$4:$BW$40,MATCH(ROW()-3,$SN$4:$SN$40,0)))</f>
      </c>
      <c r="SP16" t="str">
        <f>IF(COUNTIF('Final Calculation Sheet'!$AL16:$AX16,0)+COUNTIF('Final Calculation Sheet'!$AZ16:$BS16,0)&gt;0,0,1)</f>
      </c>
      <c r="SQ16" t="str">
        <f>IF($CB$16="",FALSE,SUMPRODUCT(('Final Calculation Sheet'!$N$4:$N$40=$CB$16)*($SP$4:$SP$40=1))&gt;0)</f>
      </c>
      <c r="SR16" t="str">
        <f>=$SR15+--($SQ16)</f>
      </c>
      <c r="SS16" t="str">
        <f>IF(ROW()-3&gt;MAX($SR$4:$SR$40),"",INDEX($CB$4:$CB$40,MATCH(ROW()-3,$SR$4:$SR$40,0)))</f>
      </c>
      <c r="ST16" t="str">
        <f>IF(COUNTIF('Final Calculation Sheet'!$AL16:$AY16,0)+COUNTIF('Final Calculation Sheet'!$BA16:$BS16,0)&gt;0,0,1)</f>
      </c>
      <c r="SU16" t="str">
        <f>IF($CG$16="",FALSE,SUMPRODUCT(('Final Calculation Sheet'!$O$4:$O$40=$CG$16)*($ST$4:$ST$40=1))&gt;0)</f>
      </c>
      <c r="SV16" t="str">
        <f>=$SV15+--($SU16)</f>
      </c>
      <c r="SW16" t="str">
        <f>IF(ROW()-3&gt;MAX($SV$4:$SV$40),"",INDEX($CG$4:$CG$40,MATCH(ROW()-3,$SV$4:$SV$40,0)))</f>
      </c>
      <c r="SX16" t="str">
        <f>IF(COUNTIF('Final Calculation Sheet'!$AL16:$AZ16,0)+COUNTIF('Final Calculation Sheet'!$BB16:$BS16,0)&gt;0,0,1)</f>
      </c>
      <c r="SY16" t="str">
        <f>IF($CL$16="",FALSE,SUMPRODUCT(('Final Calculation Sheet'!$P$4:$P$40=$CL$16)*($SX$4:$SX$40=1))&gt;0)</f>
      </c>
      <c r="SZ16" t="str">
        <f>=$SZ15+--($SY16)</f>
      </c>
      <c r="TA16" t="str">
        <f>IF(ROW()-3&gt;MAX($SZ$4:$SZ$40),"",INDEX($CL$4:$CL$40,MATCH(ROW()-3,$SZ$4:$SZ$40,0)))</f>
      </c>
      <c r="TB16" t="str">
        <f>IF(COUNTIF('Final Calculation Sheet'!$AL16:$BA16,0)+COUNTIF('Final Calculation Sheet'!$BC16:$BS16,0)&gt;0,0,1)</f>
      </c>
      <c r="TC16" t="str">
        <f>IF($CQ$16="",FALSE,SUMPRODUCT(('Final Calculation Sheet'!$Q$4:$Q$40=$CQ$16)*($TB$4:$TB$40=1))&gt;0)</f>
      </c>
      <c r="TD16" t="str">
        <f>=$TD15+--($TC16)</f>
      </c>
      <c r="TE16" t="str">
        <f>IF(ROW()-3&gt;MAX($TD$4:$TD$40),"",INDEX($CQ$4:$CQ$40,MATCH(ROW()-3,$TD$4:$TD$40,0)))</f>
      </c>
      <c r="TF16" t="str">
        <f>IF(COUNTIF('Final Calculation Sheet'!$AL16:$BB16,0)+COUNTIF('Final Calculation Sheet'!$BD16:$BS16,0)&gt;0,0,1)</f>
      </c>
      <c r="TG16" t="str">
        <f>IF($CV$16="",FALSE,SUMPRODUCT(('Final Calculation Sheet'!$R$4:$R$40=$CV$16)*($TF$4:$TF$40=1))&gt;0)</f>
      </c>
      <c r="TH16" t="str">
        <f>=$TH15+--($TG16)</f>
      </c>
      <c r="TI16" t="str">
        <f>IF(ROW()-3&gt;MAX($TH$4:$TH$40),"",INDEX($CV$4:$CV$40,MATCH(ROW()-3,$TH$4:$TH$40,0)))</f>
      </c>
      <c r="TJ16" t="str">
        <f>IF(COUNTIF('Final Calculation Sheet'!$AL16:$BC16,0)+COUNTIF('Final Calculation Sheet'!$BE16:$BS16,0)&gt;0,0,1)</f>
      </c>
      <c r="TK16" t="str">
        <f>IF($DA$16="",FALSE,SUMPRODUCT(('Final Calculation Sheet'!$S$4:$S$40=$DA$16)*($TJ$4:$TJ$40=1))&gt;0)</f>
      </c>
      <c r="TL16" t="str">
        <f>=$TL15+--($TK16)</f>
      </c>
      <c r="TM16" t="str">
        <f>IF(ROW()-3&gt;MAX($TL$4:$TL$40),"",INDEX($DA$4:$DA$40,MATCH(ROW()-3,$TL$4:$TL$40,0)))</f>
      </c>
      <c r="TN16" t="str">
        <f>IF(COUNTIF('Final Calculation Sheet'!$AL16:$BD16,0)+COUNTIF('Final Calculation Sheet'!$BF16:$BS16,0)&gt;0,0,1)</f>
      </c>
      <c r="TO16" t="str">
        <f>IF($DF$16="",FALSE,SUMPRODUCT(('Final Calculation Sheet'!$T$4:$T$40=$DF$16)*($TN$4:$TN$40=1))&gt;0)</f>
      </c>
      <c r="TP16" t="str">
        <f>=$TP15+--($TO16)</f>
      </c>
      <c r="TQ16" t="str">
        <f>IF(ROW()-3&gt;MAX($TP$4:$TP$40),"",INDEX($DF$4:$DF$40,MATCH(ROW()-3,$TP$4:$TP$40,0)))</f>
      </c>
      <c r="TR16" t="str">
        <f>IF(COUNTIF('Final Calculation Sheet'!$AL16:$BE16,0)+COUNTIF('Final Calculation Sheet'!$BG16:$BS16,0)&gt;0,0,1)</f>
      </c>
      <c r="TS16" t="str">
        <f>IF($DK$16="",FALSE,SUMPRODUCT(('Final Calculation Sheet'!$U$4:$U$40=$DK$16)*($TR$4:$TR$40=1))&gt;0)</f>
      </c>
      <c r="TT16" t="str">
        <f>=$TT15+--($TS16)</f>
      </c>
      <c r="TU16" t="str">
        <f>IF(ROW()-3&gt;MAX($TT$4:$TT$40),"",INDEX($DK$4:$DK$40,MATCH(ROW()-3,$TT$4:$TT$40,0)))</f>
      </c>
      <c r="TV16" t="str">
        <f>IF(COUNTIF('Final Calculation Sheet'!$AL16:$BF16,0)+COUNTIF('Final Calculation Sheet'!$BH16:$BS16,0)&gt;0,0,1)</f>
      </c>
      <c r="TW16" t="str">
        <f>IF($DP$16="",FALSE,SUMPRODUCT(('Final Calculation Sheet'!$V$4:$V$40=$DP$16)*($TV$4:$TV$40=1))&gt;0)</f>
      </c>
      <c r="TX16" t="str">
        <f>=$TX15+--($TW16)</f>
      </c>
      <c r="TY16" t="str">
        <f>IF(ROW()-3&gt;MAX($TX$4:$TX$40),"",INDEX($DP$4:$DP$40,MATCH(ROW()-3,$TX$4:$TX$40,0)))</f>
      </c>
      <c r="TZ16" t="str">
        <f>IF(COUNTIF('Final Calculation Sheet'!$AL16:$BG16,0)+COUNTIF('Final Calculation Sheet'!$BI16:$BS16,0)&gt;0,0,1)</f>
      </c>
      <c r="UA16" t="str">
        <f>IF($DU$16="",FALSE,SUMPRODUCT(('Final Calculation Sheet'!$W$4:$W$40=$DU$16)*($TZ$4:$TZ$40=1))&gt;0)</f>
      </c>
      <c r="UB16" t="str">
        <f>=$UB15+--($UA16)</f>
      </c>
      <c r="UC16" t="str">
        <f>IF(ROW()-3&gt;MAX($UB$4:$UB$40),"",INDEX($DU$4:$DU$40,MATCH(ROW()-3,$UB$4:$UB$40,0)))</f>
      </c>
      <c r="UD16" t="str">
        <f>IF(COUNTIF('Final Calculation Sheet'!$AL16:$BH16,0)+COUNTIF('Final Calculation Sheet'!$BJ16:$BS16,0)&gt;0,0,1)</f>
      </c>
      <c r="UE16" t="str">
        <f>IF($DZ$16="",FALSE,SUMPRODUCT(('Final Calculation Sheet'!$X$4:$X$40=$DZ$16)*($UD$4:$UD$40=1))&gt;0)</f>
      </c>
      <c r="UF16" t="str">
        <f>=$UF15+--($UE16)</f>
      </c>
      <c r="UG16" t="str">
        <f>IF(ROW()-3&gt;MAX($UF$4:$UF$40),"",INDEX($DZ$4:$DZ$40,MATCH(ROW()-3,$UF$4:$UF$40,0)))</f>
      </c>
      <c r="UH16" t="str">
        <f>IF(COUNTIF('Final Calculation Sheet'!$AL16:$BI16,0)+COUNTIF('Final Calculation Sheet'!$BK16:$BS16,0)&gt;0,0,1)</f>
      </c>
      <c r="UI16" t="str">
        <f>IF($EE$16="",FALSE,SUMPRODUCT(('Final Calculation Sheet'!$Y$4:$Y$40=$EE$16)*($UH$4:$UH$40=1))&gt;0)</f>
      </c>
      <c r="UJ16" t="str">
        <f>=$UJ15+--($UI16)</f>
      </c>
      <c r="UK16" t="str">
        <f>IF(ROW()-3&gt;MAX($UJ$4:$UJ$40),"",INDEX($EE$4:$EE$40,MATCH(ROW()-3,$UJ$4:$UJ$40,0)))</f>
      </c>
      <c r="UL16" t="str">
        <f>IF(COUNTIF('Final Calculation Sheet'!$AL16:$BJ16,0)+COUNTIF('Final Calculation Sheet'!$BL16:$BS16,0)&gt;0,0,1)</f>
      </c>
      <c r="UM16" t="str">
        <f>IF($EJ$16="",FALSE,SUMPRODUCT(('Final Calculation Sheet'!$Z$4:$Z$40=$EJ$16)*($UL$4:$UL$40=1))&gt;0)</f>
      </c>
      <c r="UN16" t="str">
        <f>=$UN15+--($UM16)</f>
      </c>
      <c r="UO16" t="str">
        <f>IF(ROW()-3&gt;MAX($UN$4:$UN$40),"",INDEX($EJ$4:$EJ$40,MATCH(ROW()-3,$UN$4:$UN$40,0)))</f>
      </c>
      <c r="UP16" t="str">
        <f>IF(COUNTIF('Final Calculation Sheet'!$AL16:$BK16,0)+COUNTIF('Final Calculation Sheet'!$BM16:$BS16,0)&gt;0,0,1)</f>
      </c>
      <c r="UQ16" t="str">
        <f>IF($EO$16="",FALSE,SUMPRODUCT(('Final Calculation Sheet'!$AA$4:$AA$40=$EO$16)*($UP$4:$UP$40=1))&gt;0)</f>
      </c>
      <c r="UR16" t="str">
        <f>=$UR15+--($UQ16)</f>
      </c>
      <c r="US16" t="str">
        <f>IF(ROW()-3&gt;MAX($UR$4:$UR$40),"",INDEX($EO$4:$EO$40,MATCH(ROW()-3,$UR$4:$UR$40,0)))</f>
      </c>
      <c r="UT16" t="str">
        <f>IF(COUNTIF('Final Calculation Sheet'!$AL16:$BL16,0)+COUNTIF('Final Calculation Sheet'!$BN16:$BS16,0)&gt;0,0,1)</f>
      </c>
      <c r="UU16" t="str">
        <f>IF($ET$16="",FALSE,SUMPRODUCT(('Final Calculation Sheet'!$AB$4:$AB$40=$ET$16)*($UT$4:$UT$40=1))&gt;0)</f>
      </c>
      <c r="UV16" t="str">
        <f>=$UV15+--($UU16)</f>
      </c>
      <c r="UW16" t="str">
        <f>IF(ROW()-3&gt;MAX($UV$4:$UV$40),"",INDEX($ET$4:$ET$40,MATCH(ROW()-3,$UV$4:$UV$40,0)))</f>
      </c>
      <c r="UX16" t="str">
        <f>IF(COUNTIF('Final Calculation Sheet'!$AL16:$BM16,0)+COUNTIF('Final Calculation Sheet'!$BO16:$BS16,0)&gt;0,0,1)</f>
      </c>
      <c r="UY16" t="str">
        <f>IF($EY$16="",FALSE,SUMPRODUCT(('Final Calculation Sheet'!$AC$4:$AC$40=$EY$16)*($UX$4:$UX$40=1))&gt;0)</f>
      </c>
      <c r="UZ16" t="str">
        <f>=$UZ15+--($UY16)</f>
      </c>
      <c r="VA16" t="str">
        <f>IF(ROW()-3&gt;MAX($UZ$4:$UZ$40),"",INDEX($EY$4:$EY$40,MATCH(ROW()-3,$UZ$4:$UZ$40,0)))</f>
      </c>
      <c r="VB16" t="str">
        <f>IF(COUNTIF('Final Calculation Sheet'!$AL16:$BN16,0)+COUNTIF('Final Calculation Sheet'!$BP16:$BS16,0)&gt;0,0,1)</f>
      </c>
      <c r="VC16" t="str">
        <f>IF($FD$16="",FALSE,SUMPRODUCT(('Final Calculation Sheet'!$AD$4:$AD$40=$FD$16)*($VB$4:$VB$40=1))&gt;0)</f>
      </c>
      <c r="VD16" t="str">
        <f>=$VD15+--($VC16)</f>
      </c>
      <c r="VE16" t="str">
        <f>IF(ROW()-3&gt;MAX($VD$4:$VD$40),"",INDEX($FD$4:$FD$40,MATCH(ROW()-3,$VD$4:$VD$40,0)))</f>
      </c>
      <c r="VF16" t="str">
        <f>IF(COUNTIF('Final Calculation Sheet'!$AL16:$BO16,0)+COUNTIF('Final Calculation Sheet'!$BQ16:$BS16,0)&gt;0,0,1)</f>
      </c>
      <c r="VG16" t="str">
        <f>IF($FI$16="",FALSE,SUMPRODUCT(('Final Calculation Sheet'!$AE$4:$AE$40=$FI$16)*($VF$4:$VF$40=1))&gt;0)</f>
      </c>
      <c r="VH16" t="str">
        <f>=$VH15+--($VG16)</f>
      </c>
      <c r="VI16" t="str">
        <f>IF(ROW()-3&gt;MAX($VH$4:$VH$40),"",INDEX($FI$4:$FI$40,MATCH(ROW()-3,$VH$4:$VH$40,0)))</f>
      </c>
      <c r="VJ16" t="str">
        <f>IF(COUNTIF('Final Calculation Sheet'!$AL16:$BP16,0)+COUNTIF('Final Calculation Sheet'!$BR16:$BS16,0)&gt;0,0,1)</f>
      </c>
      <c r="VK16" t="str">
        <f>IF($FN$16="",FALSE,SUMPRODUCT(('Final Calculation Sheet'!$AF$4:$AF$40=$FN$16)*($VJ$4:$VJ$40=1))&gt;0)</f>
      </c>
      <c r="VL16" t="str">
        <f>=$VL15+--($VK16)</f>
      </c>
      <c r="VM16" t="str">
        <f>IF(ROW()-3&gt;MAX($VL$4:$VL$40),"",INDEX($FN$4:$FN$40,MATCH(ROW()-3,$VL$4:$VL$40,0)))</f>
      </c>
      <c r="VN16" t="str">
        <f>IF(COUNTIF('Final Calculation Sheet'!$AL16:$BQ16,0)+COUNTIF('Final Calculation Sheet'!$BS16:$BS16,0)&gt;0,0,1)</f>
      </c>
      <c r="VO16" t="str">
        <f>IF($FS$16="",FALSE,SUMPRODUCT(('Final Calculation Sheet'!$AG$4:$AG$40=$FS$16)*($VN$4:$VN$40=1))&gt;0)</f>
      </c>
      <c r="VP16" t="str">
        <f>=$VP15+--($VO16)</f>
      </c>
      <c r="VQ16" t="str">
        <f>IF(ROW()-3&gt;MAX($VP$4:$VP$40),"",INDEX($FS$4:$FS$40,MATCH(ROW()-3,$VP$4:$VP$40,0)))</f>
      </c>
      <c r="VR16" t="str">
        <f>IF(COUNTIF('Final Calculation Sheet'!$AL16:$BR16,0)&gt;0,0,1)</f>
      </c>
      <c r="VS16" t="str">
        <f>IF($QO$16="",FALSE,SUMPRODUCT(('Final Calculation Sheet'!$AH$4:$AH$40=$QO$16)*($VR$4:$VR$40=1))&gt;0)</f>
      </c>
      <c r="VT16" t="str">
        <f>=$VT15+--($VS16)</f>
      </c>
      <c r="VU16" t="str">
        <f>IF(ROW()-3&gt;MAX($VT$4:$VT$40),"",INDEX($QO$4:$QO$40,MATCH(ROW()-3,$VT$4:$VT$40,0)))</f>
      </c>
    </row>
    <row r="17">
      <c r="A17">
        <f>IF(IFERROR('Final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IF(IFERROR('Final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s="55">
        <f>IF('Final Calculation Sheet'!$C$17="","",'Final Calculation Sheet'!$C$17)</f>
        <v/>
      </c>
      <c r="AP17">
        <f>IF(AO17="","",COUNTIFS(AO$4:AO$40,"&lt;"&amp;AO17,AO$4:AO$40,"&lt;&gt;"&amp;"")+COUNTIF(AO$4:AO17,AO17))</f>
        <v/>
      </c>
      <c r="AQ17" s="55">
        <f>IF(ROW()-3&gt;COUNTIF(AO$4:AO$40,"&lt;&gt;"&amp;""),"",INDEX(AO$4:AO$40,MATCH(ROW()-3,AP$4:AP$40,0)))</f>
        <v/>
      </c>
      <c r="AR17">
        <f>AR16+IF(AND(AQ17&lt;&gt;"",COUNTIF(AQ$4:AQ17,AQ17)=1),1,0)</f>
        <v/>
      </c>
      <c r="AS17" s="55">
        <f>IF(ROW()-3&gt;MAX(AR$4:AR$40),"",INDEX(AQ$4:AQ$40,MATCH(ROW()-3,AR$4:AR$40,0)))</f>
        <v/>
      </c>
      <c r="AT17" s="55">
        <f>IF('Final Calculation Sheet'!$H$17="","",'Final Calculation Sheet'!$H$17)</f>
        <v/>
      </c>
      <c r="AU17">
        <f>IF(AT17="","",COUNTIFS(AT$4:AT$40,"&lt;"&amp;AT17,AT$4:AT$40,"&lt;&gt;"&amp;"")+COUNTIF(AT$4:AT17,AT17))</f>
        <v/>
      </c>
      <c r="AV17" s="55">
        <f>IF(ROW()-3&gt;COUNTIF(AT$4:AT$40,"&lt;&gt;"&amp;""),"",INDEX(AT$4:AT$40,MATCH(ROW()-3,AU$4:AU$40,0)))</f>
        <v/>
      </c>
      <c r="AW17">
        <f>AW16+IF(AND(AV17&lt;&gt;"",COUNTIF(AV$4:AV17,AV17)=1),1,0)</f>
        <v/>
      </c>
      <c r="AX17" s="55">
        <f>IF(ROW()-3&gt;MAX(AW$4:AW$40),"",INDEX(AV$4:AV$40,MATCH(ROW()-3,AW$4:AW$40,0)))</f>
        <v/>
      </c>
      <c r="AY17" s="55">
        <f>IF('Final Calculation Sheet'!$I$17="","",'Final Calculation Sheet'!$I$17)</f>
        <v/>
      </c>
      <c r="AZ17">
        <f>IF(AY17="","",COUNTIFS(AY$4:AY$40,"&lt;"&amp;AY17,AY$4:AY$40,"&lt;&gt;"&amp;"")+COUNTIF(AY$4:AY17,AY17))</f>
        <v/>
      </c>
      <c r="BA17" s="55">
        <f>IF(ROW()-3&gt;COUNTIF(AY$4:AY$40,"&lt;&gt;"&amp;""),"",INDEX(AY$4:AY$40,MATCH(ROW()-3,AZ$4:AZ$40,0)))</f>
        <v/>
      </c>
      <c r="BB17">
        <f>BB16+IF(AND(BA17&lt;&gt;"",COUNTIF(BA$4:BA17,BA17)=1),1,0)</f>
        <v/>
      </c>
      <c r="BC17" s="55">
        <f>IF(ROW()-3&gt;MAX(BB$4:BB$40),"",INDEX(BA$4:BA$40,MATCH(ROW()-3,BB$4:BB$40,0)))</f>
        <v/>
      </c>
      <c r="BD17" s="55">
        <f>IF('Final Calculation Sheet'!$J$17="","",'Final Calculation Sheet'!$J$17)</f>
        <v/>
      </c>
      <c r="BE17">
        <f>IF(BD17="","",COUNTIFS(BD$4:BD$40,"&lt;"&amp;BD17,BD$4:BD$40,"&lt;&gt;"&amp;"")+COUNTIF(BD$4:BD17,BD17))</f>
        <v/>
      </c>
      <c r="BF17" s="55">
        <f>IF(ROW()-3&gt;COUNTIF(BD$4:BD$40,"&lt;&gt;"&amp;""),"",INDEX(BD$4:BD$40,MATCH(ROW()-3,BE$4:BE$40,0)))</f>
        <v/>
      </c>
      <c r="BG17">
        <f>BG16+IF(AND(BF17&lt;&gt;"",COUNTIF(BF$4:BF17,BF17)=1),1,0)</f>
        <v/>
      </c>
      <c r="BH17" s="55">
        <f>IF(ROW()-3&gt;MAX(BG$4:BG$40),"",INDEX(BF$4:BF$40,MATCH(ROW()-3,BG$4:BG$40,0)))</f>
        <v/>
      </c>
      <c r="BI17" s="55">
        <f>IF('Final Calculation Sheet'!$K$17="","",'Final Calculation Sheet'!$K$17)</f>
        <v/>
      </c>
      <c r="BJ17">
        <f>IF(BI17="","",COUNTIFS(BI$4:BI$40,"&lt;"&amp;BI17,BI$4:BI$40,"&lt;&gt;"&amp;"")+COUNTIF(BI$4:BI17,BI17))</f>
        <v/>
      </c>
      <c r="BK17" s="55">
        <f>IF(ROW()-3&gt;COUNTIF(BI$4:BI$40,"&lt;&gt;"&amp;""),"",INDEX(BI$4:BI$40,MATCH(ROW()-3,BJ$4:BJ$40,0)))</f>
        <v/>
      </c>
      <c r="BL17">
        <f>BL16+IF(AND(BK17&lt;&gt;"",COUNTIF(BK$4:BK17,BK17)=1),1,0)</f>
        <v/>
      </c>
      <c r="BM17" s="55">
        <f>IF(ROW()-3&gt;MAX(BL$4:BL$40),"",INDEX(BK$4:BK$40,MATCH(ROW()-3,BL$4:BL$40,0)))</f>
        <v/>
      </c>
      <c r="BN17" s="55">
        <f>IF('Final Calculation Sheet'!$L$17="","",'Final Calculation Sheet'!$L$17)</f>
        <v/>
      </c>
      <c r="BO17">
        <f>IF(BN17="","",COUNTIFS(BN$4:BN$40,"&lt;"&amp;BN17,BN$4:BN$40,"&lt;&gt;"&amp;"")+COUNTIF(BN$4:BN17,BN17))</f>
        <v/>
      </c>
      <c r="BP17" s="55">
        <f>IF(ROW()-3&gt;COUNTIF(BN$4:BN$40,"&lt;&gt;"&amp;""),"",INDEX(BN$4:BN$40,MATCH(ROW()-3,BO$4:BO$40,0)))</f>
        <v/>
      </c>
      <c r="BQ17">
        <f>BQ16+IF(AND(BP17&lt;&gt;"",COUNTIF(BP$4:BP17,BP17)=1),1,0)</f>
        <v/>
      </c>
      <c r="BR17" s="55">
        <f>IF(ROW()-3&gt;MAX(BQ$4:BQ$40),"",INDEX(BP$4:BP$40,MATCH(ROW()-3,BQ$4:BQ$40,0)))</f>
        <v/>
      </c>
      <c r="BS17" s="55">
        <f>IF('Final Calculation Sheet'!$M$17="","",'Final Calculation Sheet'!$M$17)</f>
        <v/>
      </c>
      <c r="BT17">
        <f>IF(BS17="","",COUNTIFS(BS$4:BS$40,"&lt;"&amp;BS17,BS$4:BS$40,"&lt;&gt;"&amp;"")+COUNTIF(BS$4:BS17,BS17))</f>
        <v/>
      </c>
      <c r="BU17" s="55">
        <f>IF(ROW()-3&gt;COUNTIF(BS$4:BS$40,"&lt;&gt;"&amp;""),"",INDEX(BS$4:BS$40,MATCH(ROW()-3,BT$4:BT$40,0)))</f>
        <v/>
      </c>
      <c r="BV17">
        <f>BV16+IF(AND(BU17&lt;&gt;"",COUNTIF(BU$4:BU17,BU17)=1),1,0)</f>
        <v/>
      </c>
      <c r="BW17" s="55">
        <f>IF(ROW()-3&gt;MAX(BV$4:BV$40),"",INDEX(BU$4:BU$40,MATCH(ROW()-3,BV$4:BV$40,0)))</f>
        <v/>
      </c>
      <c r="BX17" s="138">
        <f>IF('Final Calculation Sheet'!$N$17="","",'Final Calculation Sheet'!$N$17)</f>
        <v/>
      </c>
      <c r="BY17">
        <f>IF(BX17="","",COUNTIFS(BX$4:BX$40,"&lt;"&amp;BX17,BX$4:BX$40,"&lt;&gt;"&amp;"")+COUNTIF(BX$4:BX17,BX17))</f>
        <v/>
      </c>
      <c r="BZ17" s="138">
        <f>IF(ROW()-3&gt;COUNTIF(BX$4:BX$40,"&lt;&gt;"&amp;""),"",INDEX(BX$4:BX$40,MATCH(ROW()-3,BY$4:BY$40,0)))</f>
        <v/>
      </c>
      <c r="CA17">
        <f>CA16+IF(AND(BZ17&lt;&gt;"",COUNTIF(BZ$4:BZ17,BZ17)=1),1,0)</f>
        <v/>
      </c>
      <c r="CB17" s="138">
        <f>IF(ROW()-3&gt;MAX(CA$4:CA$40),"",INDEX(BZ$4:BZ$40,MATCH(ROW()-3,CA$4:CA$40,0)))</f>
        <v/>
      </c>
      <c r="CC17" s="55">
        <f>IF('Final Calculation Sheet'!$O$17="","",'Final Calculation Sheet'!$O$17)</f>
        <v/>
      </c>
      <c r="CD17">
        <f>IF(CC17="","",COUNTIFS(CC$4:CC$40,"&lt;"&amp;CC17,CC$4:CC$40,"&lt;&gt;"&amp;"")+COUNTIF(CC$4:CC17,CC17))</f>
        <v/>
      </c>
      <c r="CE17" s="55">
        <f>IF(ROW()-3&gt;COUNTIF(CC$4:CC$40,"&lt;&gt;"&amp;""),"",INDEX(CC$4:CC$40,MATCH(ROW()-3,CD$4:CD$40,0)))</f>
        <v/>
      </c>
      <c r="CF17">
        <f>CF16+IF(AND(CE17&lt;&gt;"",COUNTIF(CE$4:CE17,CE17)=1),1,0)</f>
        <v/>
      </c>
      <c r="CG17" s="55">
        <f>IF(ROW()-3&gt;MAX(CF$4:CF$40),"",INDEX(CE$4:CE$40,MATCH(ROW()-3,CF$4:CF$40,0)))</f>
        <v/>
      </c>
      <c r="CH17" s="55">
        <f>IF('Final Calculation Sheet'!$P$17="","",'Final Calculation Sheet'!$P$17)</f>
        <v/>
      </c>
      <c r="CI17">
        <f>IF(CH17="","",COUNTIFS(CH$4:CH$40,"&lt;"&amp;CH17,CH$4:CH$40,"&lt;&gt;"&amp;"")+COUNTIF(CH$4:CH17,CH17))</f>
        <v/>
      </c>
      <c r="CJ17" s="55">
        <f>IF(ROW()-3&gt;COUNTIF(CH$4:CH$40,"&lt;&gt;"&amp;""),"",INDEX(CH$4:CH$40,MATCH(ROW()-3,CI$4:CI$40,0)))</f>
        <v/>
      </c>
      <c r="CK17">
        <f>CK16+IF(AND(CJ17&lt;&gt;"",COUNTIF(CJ$4:CJ17,CJ17)=1),1,0)</f>
        <v/>
      </c>
      <c r="CL17" s="55">
        <f>IF(ROW()-3&gt;MAX(CK$4:CK$40),"",INDEX(CJ$4:CJ$40,MATCH(ROW()-3,CK$4:CK$40,0)))</f>
        <v/>
      </c>
      <c r="CM17" s="139">
        <f>IF('Final Calculation Sheet'!$Q$17="","",'Final Calculation Sheet'!$Q$17)</f>
        <v/>
      </c>
      <c r="CN17">
        <f>IF(CM17="","",COUNTIFS(CM$4:CM$40,"&lt;"&amp;CM17,CM$4:CM$40,"&lt;&gt;"&amp;"")+COUNTIF(CM$4:CM17,CM17))</f>
        <v/>
      </c>
      <c r="CO17" s="139">
        <f>IF(ROW()-3&gt;COUNTIF(CM$4:CM$40,"&lt;&gt;"&amp;""),"",INDEX(CM$4:CM$40,MATCH(ROW()-3,CN$4:CN$40,0)))</f>
        <v/>
      </c>
      <c r="CP17">
        <f>CP16+IF(AND(CO17&lt;&gt;"",COUNTIF(CO$4:CO17,CO17)=1),1,0)</f>
        <v/>
      </c>
      <c r="CQ17">
        <f>IF(ROW()-3&gt;MAX(CP$4:CP$40),"",INDEX(CO$4:CO$40,MATCH(ROW()-3,CP$4:CP$40,0)))</f>
        <v/>
      </c>
      <c r="CR17" s="55">
        <f>IF('Final Calculation Sheet'!$R$17="","",'Final Calculation Sheet'!$R$17)</f>
        <v/>
      </c>
      <c r="CS17">
        <f>IF(CR17="","",COUNTIFS(CR$4:CR$40,"&lt;"&amp;CR17,CR$4:CR$40,"&lt;&gt;"&amp;"")+COUNTIF(CR$4:CR17,CR17))</f>
        <v/>
      </c>
      <c r="CT17" s="55">
        <f>IF(ROW()-3&gt;COUNTIF(CR$4:CR$40,"&lt;&gt;"&amp;""),"",INDEX(CR$4:CR$40,MATCH(ROW()-3,CS$4:CS$40,0)))</f>
        <v/>
      </c>
      <c r="CU17">
        <f>CU16+IF(AND(CT17&lt;&gt;"",COUNTIF(CT$4:CT17,CT17)=1),1,0)</f>
        <v/>
      </c>
      <c r="CV17">
        <f>IF(ROW()-3&gt;MAX(CU$4:CU$40),"",INDEX(CT$4:CT$40,MATCH(ROW()-3,CU$4:CU$40,0)))</f>
        <v/>
      </c>
      <c r="CW17" s="55">
        <f>IF('Final Calculation Sheet'!$S$17="","",'Final Calculation Sheet'!$S$17)</f>
        <v/>
      </c>
      <c r="CX17">
        <f>IF(CW17="","",COUNTIFS(CW$4:CW$40,"&lt;"&amp;CW17,CW$4:CW$40,"&lt;&gt;"&amp;"")+COUNTIF(CW$4:CW17,CW17))</f>
        <v/>
      </c>
      <c r="CY17" s="55">
        <f>IF(ROW()-3&gt;COUNTIF(CW$4:CW$40,"&lt;&gt;"&amp;""),"",INDEX(CW$4:CW$40,MATCH(ROW()-3,CX$4:CX$40,0)))</f>
        <v/>
      </c>
      <c r="CZ17">
        <f>CZ16+IF(AND(CY17&lt;&gt;"",COUNTIF(CY$4:CY17,CY17)=1),1,0)</f>
        <v/>
      </c>
      <c r="DA17" s="55">
        <f>IF(ROW()-3&gt;MAX(CZ$4:CZ$40),"",INDEX(CY$4:CY$40,MATCH(ROW()-3,CZ$4:CZ$40,0)))</f>
        <v/>
      </c>
      <c r="DB17" s="55">
        <f>IF('Final Calculation Sheet'!$T$17="","",'Final Calculation Sheet'!$T$17)</f>
        <v/>
      </c>
      <c r="DC17">
        <f>IF(DB17="","",COUNTIFS(DB$4:DB$40,"&lt;"&amp;DB17,DB$4:DB$40,"&lt;&gt;"&amp;"")+COUNTIF(DB$4:DB17,DB17))</f>
        <v/>
      </c>
      <c r="DD17" s="55">
        <f>IF(ROW()-3&gt;COUNTIF(DB$4:DB$40,"&lt;&gt;"&amp;""),"",INDEX(DB$4:DB$40,MATCH(ROW()-3,DC$4:DC$40,0)))</f>
        <v/>
      </c>
      <c r="DE17">
        <f>DE16+IF(AND(DD17&lt;&gt;"",COUNTIF(DD$4:DD17,DD17)=1),1,0)</f>
        <v/>
      </c>
      <c r="DF17" s="55">
        <f>IF(ROW()-3&gt;MAX(DE$4:DE$40),"",INDEX(DD$4:DD$40,MATCH(ROW()-3,DE$4:DE$40,0)))</f>
        <v/>
      </c>
      <c r="DG17" s="140">
        <f>IF('Final Calculation Sheet'!$U$17="","",'Final Calculation Sheet'!$U$17)</f>
        <v/>
      </c>
      <c r="DH17">
        <f>IF(DG17="","",COUNTIFS(DG$4:DG$40,"&lt;"&amp;DG17,DG$4:DG$40,"&lt;&gt;"&amp;"")+COUNTIF(DG$4:DG17,DG17))</f>
        <v/>
      </c>
      <c r="DI17" s="140">
        <f>IF(ROW()-3&gt;COUNTIF(DG$4:DG$40,"&lt;&gt;"&amp;""),"",INDEX(DG$4:DG$40,MATCH(ROW()-3,DH$4:DH$40,0)))</f>
        <v/>
      </c>
      <c r="DJ17">
        <f>DJ16+IF(AND(DI17&lt;&gt;"",COUNTIF(DI$4:DI17,DI17)=1),1,0)</f>
        <v/>
      </c>
      <c r="DK17" s="140">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s="55">
        <f>IF('Final Calculation Sheet'!$W$17="","",'Final Calculation Sheet'!$W$17)</f>
        <v/>
      </c>
      <c r="DR17">
        <f>IF(DQ17="","",COUNTIFS(DQ$4:DQ$40,"&lt;"&amp;DQ17,DQ$4:DQ$40,"&lt;&gt;"&amp;"")+COUNTIF(DQ$4:DQ17,DQ17))</f>
        <v/>
      </c>
      <c r="DS17" s="55">
        <f>IF(ROW()-3&gt;COUNTIF(DQ$4:DQ$40,"&lt;&gt;"&amp;""),"",INDEX(DQ$4:DQ$40,MATCH(ROW()-3,DR$4:DR$40,0)))</f>
        <v/>
      </c>
      <c r="DT17">
        <f>DT16+IF(AND(DS17&lt;&gt;"",COUNTIF(DS$4:DS17,DS17)=1),1,0)</f>
        <v/>
      </c>
      <c r="DU17" s="55">
        <f>IF(ROW()-3&gt;MAX(DT$4:DT$40),"",INDEX(DS$4:DS$40,MATCH(ROW()-3,DT$4:DT$40,0)))</f>
        <v/>
      </c>
      <c r="DV17" s="55">
        <f>IF('Final Calculation Sheet'!$X$17="","",'Final Calculation Sheet'!$X$17)</f>
        <v/>
      </c>
      <c r="DW17">
        <f>IF(DV17="","",COUNTIFS(DV$4:DV$40,"&lt;"&amp;DV17,DV$4:DV$40,"&lt;&gt;"&amp;"")+COUNTIF(DV$4:DV17,DV17))</f>
        <v/>
      </c>
      <c r="DX17" s="55">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s="55">
        <f>IF('Final Calculation Sheet'!$Z$17="","",'Final Calculation Sheet'!$Z$17)</f>
        <v/>
      </c>
      <c r="EG17">
        <f>IF(EF17="","",COUNTIFS(EF$4:EF$40,"&lt;"&amp;EF17,EF$4:EF$40,"&lt;&gt;"&amp;"")+COUNTIF(EF$4:EF17,EF17))</f>
        <v/>
      </c>
      <c r="EH17" s="55">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s="55">
        <f>IF('Final Calculation Sheet'!$AC$17="","",'Final Calculation Sheet'!$AC$17)</f>
        <v/>
      </c>
      <c r="EV17">
        <f>IF(EU17="","",COUNTIFS(EU$4:EU$40,"&lt;"&amp;EU17,EU$4:EU$40,"&lt;&gt;"&amp;"")+COUNTIF(EU$4:EU17,EU17))</f>
        <v/>
      </c>
      <c r="EW17" s="55">
        <f>IF(ROW()-3&gt;COUNTIF(EU$4:EU$40,"&lt;&gt;"&amp;""),"",INDEX(EU$4:EU$40,MATCH(ROW()-3,EV$4:EV$40,0)))</f>
        <v/>
      </c>
      <c r="EX17">
        <f>EX16+IF(AND(EW17&lt;&gt;"",COUNTIF(EW$4:EW17,EW17)=1),1,0)</f>
        <v/>
      </c>
      <c r="EY17" s="55">
        <f>IF(ROW()-3&gt;MAX(EX$4:EX$40),"",INDEX(EW$4:EW$40,MATCH(ROW()-3,EX$4:EX$40,0)))</f>
        <v/>
      </c>
      <c r="EZ17" s="55">
        <f>IF('Final Calculation Sheet'!$AD$17="","",'Final Calculation Sheet'!$AD$17)</f>
        <v/>
      </c>
      <c r="FA17">
        <f>IF(EZ17="","",COUNTIFS(EZ$4:EZ$40,"&lt;"&amp;EZ17,EZ$4:EZ$40,"&lt;&gt;"&amp;"")+COUNTIF(EZ$4:EZ17,EZ17))</f>
        <v/>
      </c>
      <c r="FB17" s="55">
        <f>IF(ROW()-3&gt;COUNTIF(EZ$4:EZ$40,"&lt;&gt;"&amp;""),"",INDEX(EZ$4:EZ$40,MATCH(ROW()-3,FA$4:FA$40,0)))</f>
        <v/>
      </c>
      <c r="FC17">
        <f>FC16+IF(AND(FB17&lt;&gt;"",COUNTIF(FB$4:FB17,FB17)=1),1,0)</f>
        <v/>
      </c>
      <c r="FD17">
        <f>IF(ROW()-3&gt;MAX(FC$4:FC$40),"",INDEX(FB$4:FB$40,MATCH(ROW()-3,FC$4:FC$40,0)))</f>
        <v/>
      </c>
      <c r="FE17">
        <f>IF('Final Calculation Sheet'!$AF$17="","",'Final Calculation Sheet'!$AF$17)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s="141">
        <f>IF('Final Calculation Sheet'!$AG$17="","",'Final Calculation Sheet'!$AG$17)</f>
        <v/>
      </c>
      <c r="FK17">
        <f>IF(FJ17="","",COUNTIFS(FJ$4:FJ$40,"&lt;"&amp;FJ17,FJ$4:FJ$40,"&lt;&gt;"&amp;"")+COUNTIF(FJ$4:FJ17,FJ17))</f>
        <v/>
      </c>
      <c r="FL17" s="141">
        <f>IF(ROW()-3&gt;COUNTIF(FJ$4:FJ$40,"&lt;&gt;"&amp;""),"",INDEX(FJ$4:FJ$40,MATCH(ROW()-3,FK$4:FK$40,0)))</f>
        <v/>
      </c>
      <c r="FM17">
        <f>FM16+IF(AND(FL17&lt;&gt;"",COUNTIF(FL$4:FL17,FL17)=1),1,0)</f>
        <v/>
      </c>
      <c r="FN17">
        <f>IF(ROW()-3&gt;MAX(FM$4:FM$40),"",INDEX(FL$4:FL$40,MATCH(ROW()-3,FM$4:FM$40,0)))</f>
        <v/>
      </c>
      <c r="FO17">
        <f>IF('Final Calculation Sheet'!$AH$17="","",'Final Calculation Sheet'!$AH$17)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c r="FY17">
        <f>IF(COUNTIF('Live Search'!BM$16:BO$16,0)+COUNTIF('Live Search'!BQ$16:CU$16,0)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7">
        <f>IF($Y$17="",FALSE,SUMPRODUCT(('Final Calculation Sheet'!$B$4:$B$40=$Y$17)*($FY$6:$FY$42=1))&gt;0)</f>
        <v/>
      </c>
      <c r="GA17">
        <f>$GA$16+--($FZ$17)</f>
        <v/>
      </c>
      <c r="GB17">
        <f>IF(ROW()-3&gt;MAX($GA$4:$GA$40),"",INDEX($Y$4:$Y$40,MATCH(ROW()-3,$GA$4:$GA$40,0)))</f>
        <v/>
      </c>
      <c r="GC17">
        <f>IF(COUNTIF('Live Search'!BM$16:BM$16,0)+COUNTIF('Live Search'!BO$16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D17">
        <f>IF($O$17="",FALSE,SUMPRODUCT(('Final Calculation Sheet'!$F$4:$F$40=$O$17)*($GC$6:$GC$42=1))&gt;0)</f>
        <v/>
      </c>
      <c r="GE17">
        <f>$GE$16+--($GD17)</f>
        <v/>
      </c>
      <c r="GF17">
        <f>IF(ROW()-3&gt;MAX($GE$4:$GE$40),"",INDEX($O$4:$O$40,MATCH(ROW()-3,$GE$4:$GE$40,0)))</f>
        <v/>
      </c>
      <c r="GG17">
        <f>IF(COUNTIF('Live Search'!BM$16:BN$16,0)+COUNTIF('Live Search'!BP$16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H17">
        <f>IF($T$17="",FALSE,SUMPRODUCT(('Final Calculation Sheet'!$G$4:$G$40=$T$17)*($GG$6:$GG$42=1))&gt;0)</f>
        <v/>
      </c>
      <c r="GI17">
        <f>$GI$16+--($GH17)</f>
        <v/>
      </c>
      <c r="GJ17">
        <f>IF(ROW()-3&gt;MAX($GI$4:$GI$40),"",INDEX($T$4:$T$40,MATCH(ROW()-3,$GI$4:$GI$40,0)))</f>
        <v/>
      </c>
      <c r="GK17">
        <f>IF(COUNTIF('Live Search'!BM$16:BP$16,0)+COUNTIF('Live Search'!BR$16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L17">
        <f>IF($AD$17="",FALSE,SUMPRODUCT(('Final Calculation Sheet'!$D$4:$D$40=$AD$17)*($GK$6:$GK$42=1))&gt;0)</f>
        <v/>
      </c>
      <c r="GM17">
        <f>$GM$16+--($GL17)</f>
        <v/>
      </c>
      <c r="GN17">
        <f>IF(ROW()-3&gt;MAX($GM$4:$GM$40),"",INDEX($AD$4:$AD$40,MATCH(ROW()-3,$GM$4:$GM$40,0)))</f>
        <v/>
      </c>
      <c r="GO17">
        <f>IF(COUNTIF('Live Search'!BM$16:BQ$16,0)+COUNTIF('Live Search'!BS$16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P17">
        <f>IF($AI$17="",FALSE,SUMPRODUCT(('Final Calculation Sheet'!$A$4:$A$40=$AI$17)*($GO$6:$GO$42=1))&gt;0)</f>
        <v/>
      </c>
      <c r="GQ17">
        <f>$GQ$16+--($GP17)</f>
        <v/>
      </c>
      <c r="GR17">
        <f>IF(ROW()-3&gt;MAX($GQ$4:$GQ$40),"",INDEX($AI$4:$AI$40,MATCH(ROW()-3,$GQ$4:$GQ$40,0)))</f>
        <v/>
      </c>
      <c r="GS17">
        <f>IF(COUNTIF('Live Search'!BM$16:BR$16,0)+COUNTIF('Live Search'!BT$16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T17">
        <f>IF($AN$17="",FALSE,SUMPRODUCT(('Final Calculation Sheet'!$E$4:$E$40=$AN$17)*($GS$6:$GS$42=1))&gt;0)</f>
        <v/>
      </c>
      <c r="GU17">
        <f>$GU$16+--($GT17)</f>
        <v/>
      </c>
      <c r="GV17">
        <f>IF(ROW()-3&gt;MAX($GU$4:$GU$40),"",INDEX($AN$4:$AN$40,MATCH(ROW()-3,$GU$4:$GU$40,0)))</f>
        <v/>
      </c>
      <c r="GW17">
        <f>IF(COUNTIF('Live Search'!BM$16:BS$16,0)+COUNTIF('Live Search'!BU$16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GX17">
        <f>IF($AS$17="",FALSE,SUMPRODUCT(('Final Calculation Sheet'!$C$4:$C$40=$AS$17)*($GW$6:$GW$42=1))&gt;0)</f>
        <v/>
      </c>
      <c r="GY17">
        <f>$GY$16+--($GX17)</f>
        <v/>
      </c>
      <c r="GZ17">
        <f>IF(ROW()-3&gt;MAX($GY$4:$GY$40),"",INDEX($AS$4:$AS$40,MATCH(ROW()-3,$GY$4:$GY$40,0)))</f>
        <v/>
      </c>
      <c r="HA17">
        <f>IF(COUNTIF('Live Search'!BM$16:BT$16,0)+COUNTIF('Live Search'!BV$16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B17">
        <f>IF($AX$17="",FALSE,SUMPRODUCT(('Final Calculation Sheet'!$H$4:$H$40=$AX$17)*($HA$6:$HA$42=1))&gt;0)</f>
        <v/>
      </c>
      <c r="HC17">
        <f>$HC$16+--($HB17)</f>
        <v/>
      </c>
      <c r="HD17">
        <f>IF(ROW()-3&gt;MAX($HC$4:$HC$40),"",INDEX($AX$4:$AX$40,MATCH(ROW()-3,$HC$4:$HC$40,0)))</f>
        <v/>
      </c>
      <c r="HE17">
        <f>IF(COUNTIF('Live Search'!BM$16:BU$16,0)+COUNTIF('Live Search'!BW$16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F17">
        <f>IF($BC$17="",FALSE,SUMPRODUCT(('Final Calculation Sheet'!$I$4:$I$40=$BC$17)*($HE$6:$HE$42=1))&gt;0)</f>
        <v/>
      </c>
      <c r="HG17">
        <f>$HG$16+--($HF17)</f>
        <v/>
      </c>
      <c r="HH17">
        <f>IF(ROW()-3&gt;MAX($HG$4:$HG$40),"",INDEX($BC$4:$BC$40,MATCH(ROW()-3,$HG$4:$HG$40,0)))</f>
        <v/>
      </c>
      <c r="HI17">
        <f>IF(COUNTIF('Live Search'!BM$16:BV$16,0)+COUNTIF('Live Search'!BX$16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J17">
        <f>IF($BH$17="",FALSE,SUMPRODUCT(('Final Calculation Sheet'!$J$4:$J$40=$BH$17)*($HI$6:$HI$42=1))&gt;0)</f>
        <v/>
      </c>
      <c r="HK17">
        <f>$HK$16+--($HJ17)</f>
        <v/>
      </c>
      <c r="HL17">
        <f>IF(ROW()-3&gt;MAX($HK$4:$HK$40),"",INDEX($BH$4:$BH$40,MATCH(ROW()-3,$HK$4:$HK$40,0)))</f>
        <v/>
      </c>
      <c r="HM17">
        <f>IF(COUNTIF('Live Search'!BM$16:BW$16,0)+COUNTIF('Live Search'!BY$16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N17">
        <f>IF($BM$17="",FALSE,SUMPRODUCT(('Final Calculation Sheet'!$K$4:$K$40=$BM$17)*($HM$6:$HM$42=1))&gt;0)</f>
        <v/>
      </c>
      <c r="HO17">
        <f>$HO$16+--($HN17)</f>
        <v/>
      </c>
      <c r="HP17">
        <f>IF(ROW()-3&gt;MAX($HO$4:$HO$40),"",INDEX($BM$4:$BM$40,MATCH(ROW()-3,$HO$4:$HO$40,0)))</f>
        <v/>
      </c>
      <c r="HQ17">
        <f>IF(COUNTIF('Live Search'!BM$16:BX$16,0)+COUNTIF('Live Search'!BZ$16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R17">
        <f>IF($BR$17="",FALSE,SUMPRODUCT(('Final Calculation Sheet'!$L$4:$L$40=$BR$17)*($HQ$6:$HQ$42=1))&gt;0)</f>
        <v/>
      </c>
      <c r="HS17">
        <f>$HS$16+--($HR17)</f>
        <v/>
      </c>
      <c r="HT17">
        <f>IF(ROW()-3&gt;MAX($HS$4:$HS$40),"",INDEX($BR$4:$BR$40,MATCH(ROW()-3,$HS$4:$HS$40,0)))</f>
        <v/>
      </c>
      <c r="HU17">
        <f>IF(COUNTIF('Live Search'!BM$16:BY$16,0)+COUNTIF('Live Search'!CA$16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V17">
        <f>IF($BW$17="",FALSE,SUMPRODUCT(('Final Calculation Sheet'!$M$4:$M$40=$BW$17)*($HU$6:$HU$42=1))&gt;0)</f>
        <v/>
      </c>
      <c r="HW17">
        <f>$HW$16+--($HV17)</f>
        <v/>
      </c>
      <c r="HX17">
        <f>IF(ROW()-3&gt;MAX($HW$4:$HW$40),"",INDEX($BW$4:$BW$40,MATCH(ROW()-3,$HW$4:$HW$40,0)))</f>
        <v/>
      </c>
      <c r="HY17">
        <f>IF(COUNTIF('Live Search'!BM$16:BZ$16,0)+COUNTIF('Live Search'!CB$16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HZ17">
        <f>IF($CB$17="",FALSE,SUMPRODUCT(('Final Calculation Sheet'!$N$4:$N$40=$CB$17)*($HY$6:$HY$42=1))&gt;0)</f>
        <v/>
      </c>
      <c r="IA17">
        <f>$IA$16+--($HZ17)</f>
        <v/>
      </c>
      <c r="IB17">
        <f>IF(ROW()-3&gt;MAX($IA$4:$IA$40),"",INDEX($CB$4:$CB$40,MATCH(ROW()-3,$IA$4:$IA$40,0)))</f>
        <v/>
      </c>
      <c r="IC17">
        <f>IF(COUNTIF('Live Search'!BM$16:CA$16,0)+COUNTIF('Live Search'!CC$16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D17">
        <f>IF($CG$17="",FALSE,SUMPRODUCT(('Final Calculation Sheet'!$O$4:$O$40=$CG$17)*($IC$6:$IC$42=1))&gt;0)</f>
        <v/>
      </c>
      <c r="IE17">
        <f>$IE$16+--($ID17)</f>
        <v/>
      </c>
      <c r="IF17">
        <f>IF(ROW()-3&gt;MAX($IE$4:$IE$40),"",INDEX($CG$4:$CG$40,MATCH(ROW()-3,$IE$4:$IE$40,0)))</f>
        <v/>
      </c>
      <c r="IG17">
        <f>IF(COUNTIF('Live Search'!BM$16:CB$16,0)+COUNTIF('Live Search'!CD$16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H17">
        <f>IF($CL$17="",FALSE,SUMPRODUCT(('Final Calculation Sheet'!$P$4:$P$40=$CL$17)*($IG$6:$IG$42=1))&gt;0)</f>
        <v/>
      </c>
      <c r="II17">
        <f>$II$16+--($IH17)</f>
        <v/>
      </c>
      <c r="IJ17">
        <f>IF(ROW()-3&gt;MAX($II$4:$II$40),"",INDEX($CL$4:$CL$40,MATCH(ROW()-3,$II$4:$II$40,0)))</f>
        <v/>
      </c>
      <c r="IK17">
        <f>IF(COUNTIF('Live Search'!BM$16:CC$16,0)+COUNTIF('Live Search'!CE$16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L17">
        <f>IF($CQ$17="",FALSE,SUMPRODUCT(('Final Calculation Sheet'!$Q$4:$Q$40=$CQ$17)*($IK$6:$IK$42=1))&gt;0)</f>
        <v/>
      </c>
      <c r="IM17">
        <f>$IM$16+--($IL17)</f>
        <v/>
      </c>
      <c r="IN17">
        <f>IF(ROW()-3&gt;MAX($IM$4:$IM$40),"",INDEX($CQ$4:$CQ$40,MATCH(ROW()-3,$IM$4:$IM$40,0)))</f>
        <v/>
      </c>
      <c r="IO17">
        <f>IF(COUNTIF('Live Search'!BM$16:CD$16,0)+COUNTIF('Live Search'!CF$16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P17">
        <f>IF($CV$17="",FALSE,SUMPRODUCT(('Final Calculation Sheet'!$R$4:$R$40=$CV$17)*($IO$6:$IO$42=1))&gt;0)</f>
        <v/>
      </c>
      <c r="IQ17">
        <f>$IQ$16+--($IP17)</f>
        <v/>
      </c>
      <c r="IR17">
        <f>IF(ROW()-3&gt;MAX($IQ$4:$IQ$40),"",INDEX($CV$4:$CV$40,MATCH(ROW()-3,$IQ$4:$IQ$40,0)))</f>
        <v/>
      </c>
      <c r="IS17">
        <f>IF(COUNTIF('Live Search'!BM$16:CE$16,0)+COUNTIF('Live Search'!CG$16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T17">
        <f>IF($DA$17="",FALSE,SUMPRODUCT(('Final Calculation Sheet'!$S$4:$S$40=$DA$17)*($IS$6:$IS$42=1))&gt;0)</f>
        <v/>
      </c>
      <c r="IU17">
        <f>$IU$16+--($IT17)</f>
        <v/>
      </c>
      <c r="IV17">
        <f>IF(ROW()-3&gt;MAX($IU$4:$IU$40),"",INDEX($DA$4:$DA$40,MATCH(ROW()-3,$IU$4:$IU$40,0)))</f>
        <v/>
      </c>
      <c r="IW17">
        <f>IF(COUNTIF('Live Search'!BM$16:CF$16,0)+COUNTIF('Live Search'!CH$16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IX17">
        <f>IF($DF$17="",FALSE,SUMPRODUCT(('Final Calculation Sheet'!$T$4:$T$40=$DF$17)*($IW$6:$IW$42=1))&gt;0)</f>
        <v/>
      </c>
      <c r="IY17">
        <f>$IY$16+--($IX17)</f>
        <v/>
      </c>
      <c r="IZ17">
        <f>IF(ROW()-3&gt;MAX($IY$4:$IY$40),"",INDEX($DF$4:$DF$40,MATCH(ROW()-3,$IY$4:$IY$40,0)))</f>
        <v/>
      </c>
      <c r="JA17">
        <f>IF(COUNTIF('Live Search'!BM$16:CG$16,0)+COUNTIF('Live Search'!CI$16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B17">
        <f>IF($DK$17="",FALSE,SUMPRODUCT(('Final Calculation Sheet'!$U$4:$U$40=$DK$17)*($JA$6:$JA$42=1))&gt;0)</f>
        <v/>
      </c>
      <c r="JC17">
        <f>$JC$16+--($JB17)</f>
        <v/>
      </c>
      <c r="JD17">
        <f>IF(ROW()-3&gt;MAX($JC$4:$JC$40),"",INDEX($DK$4:$DK$40,MATCH(ROW()-3,$JC$4:$JC$40,0)))</f>
        <v/>
      </c>
      <c r="JE17">
        <f>IF(COUNTIF('Live Search'!BM$16:CH$16,0)+COUNTIF('Live Search'!CJ$16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F17">
        <f>IF($DP$17="",FALSE,SUMPRODUCT(('Final Calculation Sheet'!$V$4:$V$40=$DP$17)*($JE$6:$JE$42=1))&gt;0)</f>
        <v/>
      </c>
      <c r="JG17">
        <f>$JG$16+--($JF17)</f>
        <v/>
      </c>
      <c r="JH17">
        <f>IF(ROW()-3&gt;MAX($JG$4:$JG$40),"",INDEX($DP$4:$DP$40,MATCH(ROW()-3,$JG$4:$JG$40,0)))</f>
        <v/>
      </c>
      <c r="JI17">
        <f>IF(COUNTIF('Live Search'!BM$16:CI$16,0)+COUNTIF('Live Search'!CK$16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J17">
        <f>IF($DU$17="",FALSE,SUMPRODUCT(('Final Calculation Sheet'!$W$4:$W$40=$DU$17)*($JI$6:$JI$42=1))&gt;0)</f>
        <v/>
      </c>
      <c r="JK17">
        <f>$JK$16+--($JJ17)</f>
        <v/>
      </c>
      <c r="JL17">
        <f>IF(ROW()-3&gt;MAX($JK$4:$JK$40),"",INDEX($DU$4:$DU$40,MATCH(ROW()-3,$JK$4:$JK$40,0)))</f>
        <v/>
      </c>
      <c r="JM17">
        <f>IF(COUNTIF('Live Search'!BM$16:CJ$16,0)+COUNTIF('Live Search'!CL$16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N17">
        <f>IF($DZ$17="",FALSE,SUMPRODUCT(('Final Calculation Sheet'!$X$4:$X$40=$DZ$17)*($JM$6:$JM$42=1))&gt;0)</f>
        <v/>
      </c>
      <c r="JO17">
        <f>$JO$16+--($JN17)</f>
        <v/>
      </c>
      <c r="JP17">
        <f>IF(ROW()-3&gt;MAX($JO$4:$JO$40),"",INDEX($DZ$4:$DZ$40,MATCH(ROW()-3,$JO$4:$JO$40,0)))</f>
        <v/>
      </c>
      <c r="JQ17">
        <f>IF(COUNTIF('Live Search'!BM$16:CK$16,0)+COUNTIF('Live Search'!C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R17">
        <f>IF($EE$17="",FALSE,SUMPRODUCT(('Final Calculation Sheet'!$Y$4:$Y$40=$EE$17)*($JQ$6:$JQ$42=1))&gt;0)</f>
        <v/>
      </c>
      <c r="JS17">
        <f>$JS$16+--($JR17)</f>
        <v/>
      </c>
      <c r="JT17">
        <f>IF(ROW()-3&gt;MAX($JS$4:$JS$40),"",INDEX($EE$4:$EE$40,MATCH(ROW()-3,$JS$4:$JS$40,0)))</f>
        <v/>
      </c>
      <c r="JU17">
        <f>IF(COUNTIF('Live Search'!BM$16:CL$16,0)+COUNTIF('Live Search'!CN$16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V17">
        <f>IF($EJ$17="",FALSE,SUMPRODUCT(('Final Calculation Sheet'!$Z$4:$Z$40=$EJ$17)*($JU$6:$JU$42=1))&gt;0)</f>
        <v/>
      </c>
      <c r="JW17">
        <f>$JW$16+--($JV17)</f>
        <v/>
      </c>
      <c r="JX17">
        <f>IF(ROW()-3&gt;MAX($JW$4:$JW$40),"",INDEX($EJ$4:$EJ$40,MATCH(ROW()-3,$JW$4:$JW$40,0)))</f>
        <v/>
      </c>
      <c r="JY17">
        <f>IF(COUNTIF('Live Search'!BM$16:CM$16,0)+COUNTIF('Live Search'!CO$16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JZ17">
        <f>IF($EO$17="",FALSE,SUMPRODUCT(('Final Calculation Sheet'!$AA$4:$AA$40=$EO$17)*($JY$6:$JY$42=1))&gt;0)</f>
        <v/>
      </c>
      <c r="KA17">
        <f>$KA$16+--($JZ17)</f>
        <v/>
      </c>
      <c r="KB17">
        <f>IF(ROW()-3&gt;MAX($KA$4:$KA$40),"",INDEX($EO$4:$EO$40,MATCH(ROW()-3,$KA$4:$KA$40,0)))</f>
        <v/>
      </c>
      <c r="KC17">
        <f>IF(COUNTIF('Live Search'!BM$16:CN$16,0)+COUNTIF('Live Search'!CP$16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D17">
        <f>IF($ET$17="",FALSE,SUMPRODUCT(('Final Calculation Sheet'!$AB$4:$AB$40=$ET$17)*($KC$6:$KC$42=1))&gt;0)</f>
        <v/>
      </c>
      <c r="KE17">
        <f>$KE$16+--($KD17)</f>
        <v/>
      </c>
      <c r="KF17">
        <f>IF(ROW()-3&gt;MAX($KE$4:$KE$40),"",INDEX($ET$4:$ET$40,MATCH(ROW()-3,$KE$4:$KE$40,0)))</f>
        <v/>
      </c>
      <c r="KG17">
        <f>IF(COUNTIF('Live Search'!BM$16:CO$16,0)+COUNTIF('Live Search'!CQ$16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H17">
        <f>IF($EY$17="",FALSE,SUMPRODUCT(('Final Calculation Sheet'!$AC$4:$AC$40=$EY$17)*($KG$6:$KG$42=1))&gt;0)</f>
        <v/>
      </c>
      <c r="KI17">
        <f>$KI$16+--($KH17)</f>
        <v/>
      </c>
      <c r="KJ17">
        <f>IF(ROW()-3&gt;MAX($KI$4:$KI$40),"",INDEX($EY$4:$EY$40,MATCH(ROW()-3,$KI$4:$KI$40,0)))</f>
        <v/>
      </c>
      <c r="KK17">
        <f>IF(COUNTIF('Live Search'!BM$16:CP$16,0)+COUNTIF('Live Search'!CR$16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L17">
        <f>IF($FD$17="",FALSE,SUMPRODUCT(('Final Calculation Sheet'!$AD$4:$AD$40=$FD$17)*($KK$6:$KK$42=1))&gt;0)</f>
        <v/>
      </c>
      <c r="KM17">
        <f>$KM$16+--($KL17)</f>
        <v/>
      </c>
      <c r="KN17">
        <f>IF(ROW()-3&gt;MAX($KM$4:$KM$40),"",INDEX($FD$4:$FD$40,MATCH(ROW()-3,$KM$4:$KM$40,0)))</f>
        <v/>
      </c>
      <c r="KO17">
        <f>IF(COUNTIF('Live Search'!BM$16:CT$16,0)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P17">
        <f>IF($FX$17="",FALSE,SUMPRODUCT((IF('Final Calculation Sheet'!$AD$4:$AD$40&lt;=5,"SETTLED","OUTSTANDING")=$FX$17)*($KO$6:$KO$42=1))&gt;0)</f>
        <v/>
      </c>
      <c r="KQ17">
        <f>$KQ$16+--($KP17)</f>
        <v/>
      </c>
      <c r="KR17">
        <f>IF(ROW()-3&gt;MAX($KQ$4:$KQ$40),"",INDEX($FX$4:$FX$40,MATCH(ROW()-3,$KQ$4:$KQ$40,0)))</f>
        <v/>
      </c>
      <c r="KS17">
        <f>IF(COUNTIF('Live Search'!BM$16:CQ$16,0)+COUNTIF('Live Search'!CS$16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T17">
        <f>IF($FI$17="",FALSE,SUMPRODUCT(('Final Calculation Sheet'!$AF$4:$AF$40=$FI$17)*($KS$6:$KS$42=1))&gt;0)</f>
        <v/>
      </c>
      <c r="KU17">
        <f>$KU$16+--($KT17)</f>
        <v/>
      </c>
      <c r="KV17">
        <f>IF(ROW()-3&gt;MAX($KU$4:$KU$40),"",INDEX($FI$4:$FI$40,MATCH(ROW()-3,$KU$4:$KU$40,0)))</f>
        <v/>
      </c>
      <c r="KW17">
        <f>IF(COUNTIF('Live Search'!BM$16:CR$16,0)+COUNTIF('Live Search'!CT$16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KX17">
        <f>IF($FN$17="",FALSE,SUMPRODUCT(('Final Calculation Sheet'!$AG$4:$AG$40=$FN$17)*($KW$6:$KW$42=1))&gt;0)</f>
        <v/>
      </c>
      <c r="KY17">
        <f>$KY$16+--($KX17)</f>
        <v/>
      </c>
      <c r="KZ17">
        <f>IF(ROW()-3&gt;MAX($KY$4:$KY$40),"",INDEX($FN$4:$FN$40,MATCH(ROW()-3,$KY$4:$KY$40,0)))</f>
        <v/>
      </c>
      <c r="LA17">
        <f>IF(COUNTIF('Live Search'!BM$16:CS$16,0)+COUNTIF('Live Search'!CU$16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LB17">
        <f>IF($FS$17="",FALSE,SUMPRODUCT(('Final Calculation Sheet'!$AH$4:$AH$40=$FS$17)*($LA$6:$LA$42=1))&gt;0)</f>
        <v/>
      </c>
      <c r="LC17">
        <f>$LC$16+--($LB17)</f>
        <v/>
      </c>
      <c r="LD17">
        <f>IF(ROW()-3&gt;MAX($LC$4:$LC$40),"",INDEX($FS$4:$FS$40,MATCH(ROW()-3,$LC$4:$LC$40,0)))</f>
        <v/>
      </c>
      <c r="LE17">
        <f>IF(COUNTIF('Buyer Groups'!DH70:EN70,0)&gt;0,0,1)</f>
        <v/>
      </c>
      <c r="LF17">
        <f>IF($O$17="",FALSE,SUMPRODUCT(('Final Calculation Sheet'!$F$4:$F$40=$O$17)*($LE$6:$LE$42=1))&gt;0)</f>
        <v/>
      </c>
      <c r="LG17">
        <f>$LG$16+--($LF17)</f>
        <v/>
      </c>
      <c r="LH17">
        <f>IF(ROW()-3&gt;MAX($LG$4:$LG$40),"",INDEX($O$4:$O$40,MATCH(ROW()-3,$LG$4:$LG$40,0)))</f>
        <v/>
      </c>
      <c r="LI17">
        <f>IF(COUNTIF('Buyer Groups'!DG70:DG70,0)+COUNTIF('Buyer Groups'!DI70:EN70,0)&gt;0,0,1)</f>
        <v/>
      </c>
      <c r="LJ17">
        <f>IF($T$17="",FALSE,SUMPRODUCT(('Final Calculation Sheet'!$G$4:$G$40=$T$17)*($LI$6:$LI$42=1))&gt;0)</f>
        <v/>
      </c>
      <c r="LK17">
        <f>$LK$16+--($LJ17)</f>
        <v/>
      </c>
      <c r="LL17">
        <f>IF(ROW()-3&gt;MAX($LK$4:$LK$40),"",INDEX($T$4:$T$40,MATCH(ROW()-3,$LK$4:$LK$40,0)))</f>
        <v/>
      </c>
      <c r="LM17">
        <f>IF(COUNTIF('Buyer Groups'!DG70:DH70,0)+COUNTIF('Buyer Groups'!DJ70:EN70,0)&gt;0,0,1)</f>
        <v/>
      </c>
      <c r="LN17">
        <f>IF($Y$17="",FALSE,SUMPRODUCT(('Final Calculation Sheet'!$B$4:$B$40=$Y$17)*($LM$6:$LM$42=1))&gt;0)</f>
        <v/>
      </c>
      <c r="LO17">
        <f>$LO$16+--($LN17)</f>
        <v/>
      </c>
      <c r="LP17">
        <f>IF(ROW()-3&gt;MAX($LO$4:$LO$40),"",INDEX($Y$4:$Y$40,MATCH(ROW()-3,$LO$4:$LO$40,0)))</f>
        <v/>
      </c>
      <c r="LQ17">
        <f>IF(COUNTIF('Buyer Groups'!DG70:DI70,0)+COUNTIF('Buyer Groups'!DK70:EN70,0)&gt;0,0,1)</f>
        <v/>
      </c>
      <c r="LR17">
        <f>IF($AD$17="",FALSE,SUMPRODUCT(('Final Calculation Sheet'!$D$4:$D$40=$AD$17)*($LQ$6:$LQ$42=1))&gt;0)</f>
        <v/>
      </c>
      <c r="LS17">
        <f>$LS$16+--($LR17)</f>
        <v/>
      </c>
      <c r="LT17">
        <f>IF(ROW()-3&gt;MAX($LS$4:$LS$40),"",INDEX($AD$4:$AD$40,MATCH(ROW()-3,$LS$4:$LS$40,0)))</f>
        <v/>
      </c>
      <c r="LU17">
        <f>IF(COUNTIF('Buyer Groups'!DG70:DJ70,0)+COUNTIF('Buyer Groups'!DL70:EN70,0)&gt;0,0,1)</f>
        <v/>
      </c>
      <c r="LV17">
        <f>IF($AI$17="",FALSE,SUMPRODUCT(('Final Calculation Sheet'!$A$4:$A$40=$AI$17)*($LU$6:$LU$42=1))&gt;0)</f>
        <v/>
      </c>
      <c r="LW17">
        <f>$LW$16+--($LV17)</f>
        <v/>
      </c>
      <c r="LX17">
        <f>IF(ROW()-3&gt;MAX($LW$4:$LW$40),"",INDEX($AI$4:$AI$40,MATCH(ROW()-3,$LW$4:$LW$40,0)))</f>
        <v/>
      </c>
      <c r="LY17">
        <f>IF(COUNTIF('Buyer Groups'!DG70:DK70,0)+COUNTIF('Buyer Groups'!DM70:EN70,0)&gt;0,0,1)</f>
        <v/>
      </c>
      <c r="LZ17">
        <f>IF($AN$17="",FALSE,SUMPRODUCT(('Final Calculation Sheet'!$E$4:$E$40=$AN$17)*($LY$6:$LY$42=1))&gt;0)</f>
        <v/>
      </c>
      <c r="MA17">
        <f>$MA$16+--($LZ17)</f>
        <v/>
      </c>
      <c r="MB17">
        <f>IF(ROW()-3&gt;MAX($MA$4:$MA$40),"",INDEX($AN$4:$AN$40,MATCH(ROW()-3,$MA$4:$MA$40,0)))</f>
        <v/>
      </c>
      <c r="MC17">
        <f>IF(COUNTIF('Buyer Groups'!DG70:DL70,0)+COUNTIF('Buyer Groups'!DN70:EN70,0)&gt;0,0,1)</f>
        <v/>
      </c>
      <c r="MD17">
        <f>IF($AS$17="",FALSE,SUMPRODUCT(('Final Calculation Sheet'!$C$4:$C$40=$AS$17)*($MC$6:$MC$42=1))&gt;0)</f>
        <v/>
      </c>
      <c r="ME17">
        <f>$ME$16+--($MD17)</f>
        <v/>
      </c>
      <c r="MF17">
        <f>IF(ROW()-3&gt;MAX($ME$4:$ME$40),"",INDEX($AS$4:$AS$40,MATCH(ROW()-3,$ME$4:$ME$40,0)))</f>
        <v/>
      </c>
      <c r="MG17">
        <f>IF(COUNTIF('Buyer Groups'!DG70:DM70,0)+COUNTIF('Buyer Groups'!DO70:EN70,0)&gt;0,0,1)</f>
        <v/>
      </c>
      <c r="MH17">
        <f>IF($AX$17="",FALSE,SUMPRODUCT(('Final Calculation Sheet'!$H$4:$H$40=$AX$17)*($MG$6:$MG$42=1))&gt;0)</f>
        <v/>
      </c>
      <c r="MI17">
        <f>$MI$16+--($MH17)</f>
        <v/>
      </c>
      <c r="MJ17">
        <f>IF(ROW()-3&gt;MAX($MI$4:$MI$40),"",INDEX($AX$4:$AX$40,MATCH(ROW()-3,$MI$4:$MI$40,0)))</f>
        <v/>
      </c>
      <c r="MK17">
        <f>IF(COUNTIF('Buyer Groups'!DG70:DN70,0)+COUNTIF('Buyer Groups'!DP70:EN70,0)&gt;0,0,1)</f>
        <v/>
      </c>
      <c r="ML17">
        <f>IF($BC$17="",FALSE,SUMPRODUCT(('Final Calculation Sheet'!$I$4:$I$40=$BC$17)*($MK$6:$MK$42=1))&gt;0)</f>
        <v/>
      </c>
      <c r="MM17">
        <f>$MM$16+--($ML17)</f>
        <v/>
      </c>
      <c r="MN17">
        <f>IF(ROW()-3&gt;MAX($MM$4:$MM$40),"",INDEX($BC$4:$BC$40,MATCH(ROW()-3,$MM$4:$MM$40,0)))</f>
        <v/>
      </c>
      <c r="MO17">
        <f>IF(COUNTIF('Buyer Groups'!DG70:DO70,0)+COUNTIF('Buyer Groups'!DQ70:EN70,0)&gt;0,0,1)</f>
        <v/>
      </c>
      <c r="MP17">
        <f>IF($BH$17="",FALSE,SUMPRODUCT(('Final Calculation Sheet'!$J$4:$J$40=$BH$17)*($MO$6:$MO$42=1))&gt;0)</f>
        <v/>
      </c>
      <c r="MQ17">
        <f>$MQ$16+--($MP17)</f>
        <v/>
      </c>
      <c r="MR17">
        <f>IF(ROW()-3&gt;MAX($MQ$4:$MQ$40),"",INDEX($BH$4:$BH$40,MATCH(ROW()-3,$MQ$4:$MQ$40,0)))</f>
        <v/>
      </c>
      <c r="MS17">
        <f>IF(COUNTIF('Buyer Groups'!DG70:DP70,0)+COUNTIF('Buyer Groups'!DR70:EN70,0)&gt;0,0,1)</f>
        <v/>
      </c>
      <c r="MT17">
        <f>IF($BM$17="",FALSE,SUMPRODUCT(('Final Calculation Sheet'!$K$4:$K$40=$BM$17)*($MS$6:$MS$42=1))&gt;0)</f>
        <v/>
      </c>
      <c r="MU17">
        <f>$MU$16+--($MT17)</f>
        <v/>
      </c>
      <c r="MV17">
        <f>IF(ROW()-3&gt;MAX($MU$4:$MU$40),"",INDEX($BM$4:$BM$40,MATCH(ROW()-3,$MU$4:$MU$40,0)))</f>
        <v/>
      </c>
      <c r="MW17">
        <f>IF(COUNTIF('Buyer Groups'!DG70:DQ70,0)+COUNTIF('Buyer Groups'!DS70:EN70,0)&gt;0,0,1)</f>
        <v/>
      </c>
      <c r="MX17">
        <f>IF($BR$17="",FALSE,SUMPRODUCT(('Final Calculation Sheet'!$L$4:$L$40=$BR$17)*($MW$6:$MW$42=1))&gt;0)</f>
        <v/>
      </c>
      <c r="MY17">
        <f>$MY$16+--($MX17)</f>
        <v/>
      </c>
      <c r="MZ17">
        <f>IF(ROW()-3&gt;MAX($MY$4:$MY$40),"",INDEX($BR$4:$BR$40,MATCH(ROW()-3,$MY$4:$MY$40,0)))</f>
        <v/>
      </c>
      <c r="NA17">
        <f>IF(COUNTIF('Buyer Groups'!DG70:DR70,0)+COUNTIF('Buyer Groups'!DT70:EN70,0)&gt;0,0,1)</f>
        <v/>
      </c>
      <c r="NB17">
        <f>IF($BW$17="",FALSE,SUMPRODUCT(('Final Calculation Sheet'!$M$4:$M$40=$BW$17)*($NA$6:$NA$42=1))&gt;0)</f>
        <v/>
      </c>
      <c r="NC17">
        <f>$NC$16+--($NB17)</f>
        <v/>
      </c>
      <c r="ND17">
        <f>IF(ROW()-3&gt;MAX($NC$4:$NC$40),"",INDEX($BW$4:$BW$40,MATCH(ROW()-3,$NC$4:$NC$40,0)))</f>
        <v/>
      </c>
      <c r="NE17">
        <f>IF(COUNTIF('Buyer Groups'!DG70:DS70,0)+COUNTIF('Buyer Groups'!DU70:EN70,0)&gt;0,0,1)</f>
        <v/>
      </c>
      <c r="NF17">
        <f>IF($CB$17="",FALSE,SUMPRODUCT(('Final Calculation Sheet'!$N$4:$N$40=$CB$17)*($NE$6:$NE$42=1))&gt;0)</f>
        <v/>
      </c>
      <c r="NG17">
        <f>$NG$16+--($NF17)</f>
        <v/>
      </c>
      <c r="NH17">
        <f>IF(ROW()-3&gt;MAX($NG$4:$NG$40),"",INDEX($CB$4:$CB$40,MATCH(ROW()-3,$NG$4:$NG$40,0)))</f>
        <v/>
      </c>
      <c r="NI17">
        <f>IF(COUNTIF('Buyer Groups'!DG70:DT70,0)+COUNTIF('Buyer Groups'!DV70:EN70,0)&gt;0,0,1)</f>
        <v/>
      </c>
      <c r="NJ17">
        <f>IF($CG$17="",FALSE,SUMPRODUCT(('Final Calculation Sheet'!$O$4:$O$40=$CG$17)*($NI$6:$NI$42=1))&gt;0)</f>
        <v/>
      </c>
      <c r="NK17">
        <f>$NK$16+--($NJ17)</f>
        <v/>
      </c>
      <c r="NL17">
        <f>IF(ROW()-3&gt;MAX($NK$4:$NK$40),"",INDEX($CG$4:$CG$40,MATCH(ROW()-3,$NK$4:$NK$40,0)))</f>
        <v/>
      </c>
      <c r="NM17">
        <f>IF(COUNTIF('Buyer Groups'!DG70:DU70,0)+COUNTIF('Buyer Groups'!DW70:EN70,0)&gt;0,0,1)</f>
        <v/>
      </c>
      <c r="NN17">
        <f>IF($CL$17="",FALSE,SUMPRODUCT(('Final Calculation Sheet'!$P$4:$P$40=$CL$17)*($NM$6:$NM$42=1))&gt;0)</f>
        <v/>
      </c>
      <c r="NO17">
        <f>$NO$16+--($NN17)</f>
        <v/>
      </c>
      <c r="NP17">
        <f>IF(ROW()-3&gt;MAX($NO$4:$NO$40),"",INDEX($CL$4:$CL$40,MATCH(ROW()-3,$NO$4:$NO$40,0)))</f>
        <v/>
      </c>
      <c r="NQ17">
        <f>IF(COUNTIF('Buyer Groups'!DG70:DV70,0)+COUNTIF('Buyer Groups'!DX70:EN70,0)&gt;0,0,1)</f>
        <v/>
      </c>
      <c r="NR17">
        <f>IF($CQ$17="",FALSE,SUMPRODUCT(('Final Calculation Sheet'!$Q$4:$Q$40=$CQ$17)*($NQ$6:$NQ$42=1))&gt;0)</f>
        <v/>
      </c>
      <c r="NS17">
        <f>$NS$16+--($NR17)</f>
        <v/>
      </c>
      <c r="NT17">
        <f>IF(ROW()-3&gt;MAX($NS$4:$NS$40),"",INDEX($CQ$4:$CQ$40,MATCH(ROW()-3,$NS$4:$NS$40,0)))</f>
        <v/>
      </c>
      <c r="NU17">
        <f>IF(COUNTIF('Buyer Groups'!DG70:DW70,0)+COUNTIF('Buyer Groups'!DY70:EN70,0)&gt;0,0,1)</f>
        <v/>
      </c>
      <c r="NV17">
        <f>IF($CV$17="",FALSE,SUMPRODUCT(('Final Calculation Sheet'!$R$4:$R$40=$CV$17)*($NU$6:$NU$42=1))&gt;0)</f>
        <v/>
      </c>
      <c r="NW17">
        <f>$NW$16+--($NV17)</f>
        <v/>
      </c>
      <c r="NX17">
        <f>IF(ROW()-3&gt;MAX($NW$4:$NW$40),"",INDEX($CV$4:$CV$40,MATCH(ROW()-3,$NW$4:$NW$40,0)))</f>
        <v/>
      </c>
      <c r="NY17">
        <f>IF(COUNTIF('Buyer Groups'!DG70:DX70,0)+COUNTIF('Buyer Groups'!DZ70:EN70,0)&gt;0,0,1)</f>
        <v/>
      </c>
      <c r="NZ17">
        <f>IF($DA$17="",FALSE,SUMPRODUCT(('Final Calculation Sheet'!$S$4:$S$40=$DA$17)*($NY$6:$NY$42=1))&gt;0)</f>
        <v/>
      </c>
      <c r="OA17">
        <f>$OA$16+--($NZ17)</f>
        <v/>
      </c>
      <c r="OB17">
        <f>IF(ROW()-3&gt;MAX($OA$4:$OA$40),"",INDEX($DA$4:$DA$40,MATCH(ROW()-3,$OA$4:$OA$40,0)))</f>
        <v/>
      </c>
      <c r="OC17">
        <f>IF(COUNTIF('Buyer Groups'!DG70:DY70,0)+COUNTIF('Buyer Groups'!EA70:EN70,0)&gt;0,0,1)</f>
        <v/>
      </c>
      <c r="OD17">
        <f>IF($DF$17="",FALSE,SUMPRODUCT(('Final Calculation Sheet'!$T$4:$T$40=$DF$17)*($OC$6:$OC$42=1))&gt;0)</f>
        <v/>
      </c>
      <c r="OE17">
        <f>$OE$16+--($OD17)</f>
        <v/>
      </c>
      <c r="OF17">
        <f>IF(ROW()-3&gt;MAX($OE$4:$OE$40),"",INDEX($DF$4:$DF$40,MATCH(ROW()-3,$OE$4:$OE$40,0)))</f>
        <v/>
      </c>
      <c r="OG17">
        <f>IF(COUNTIF('Buyer Groups'!DG70:DZ70,0)+COUNTIF('Buyer Groups'!EB70:EN70,0)&gt;0,0,1)</f>
        <v/>
      </c>
      <c r="OH17">
        <f>IF($DK$17="",FALSE,SUMPRODUCT(('Final Calculation Sheet'!$U$4:$U$40=$DK$17)*($OG$6:$OG$42=1))&gt;0)</f>
        <v/>
      </c>
      <c r="OI17">
        <f>$OI$16+--($OH17)</f>
        <v/>
      </c>
      <c r="OJ17">
        <f>IF(ROW()-3&gt;MAX($OI$4:$OI$40),"",INDEX($DK$4:$DK$40,MATCH(ROW()-3,$OI$4:$OI$40,0)))</f>
        <v/>
      </c>
      <c r="OK17">
        <f>IF(COUNTIF('Buyer Groups'!DG70:EA70,0)+COUNTIF('Buyer Groups'!EC70:EN70,0)&gt;0,0,1)</f>
        <v/>
      </c>
      <c r="OL17">
        <f>IF($DP$17="",FALSE,SUMPRODUCT(('Final Calculation Sheet'!$V$4:$V$40=$DP$17)*($OK$6:$OK$42=1))&gt;0)</f>
        <v/>
      </c>
      <c r="OM17">
        <f>$OM$16+--($OL17)</f>
        <v/>
      </c>
      <c r="ON17">
        <f>IF(ROW()-3&gt;MAX($OM$4:$OM$40),"",INDEX($DP$4:$DP$40,MATCH(ROW()-3,$OM$4:$OM$40,0)))</f>
        <v/>
      </c>
      <c r="OO17">
        <f>IF(COUNTIF('Buyer Groups'!DG70:EB70,0)+COUNTIF('Buyer Groups'!ED70:EN70,0)&gt;0,0,1)</f>
        <v/>
      </c>
      <c r="OP17">
        <f>IF($DU$17="",FALSE,SUMPRODUCT(('Final Calculation Sheet'!$W$4:$W$40=$DU$17)*($OO$6:$OO$42=1))&gt;0)</f>
        <v/>
      </c>
      <c r="OQ17">
        <f>$OQ$16+--($OP17)</f>
        <v/>
      </c>
      <c r="OR17">
        <f>IF(ROW()-3&gt;MAX($OQ$4:$OQ$40),"",INDEX($DU$4:$DU$40,MATCH(ROW()-3,$OQ$4:$OQ$40,0)))</f>
        <v/>
      </c>
      <c r="OS17">
        <f>IF(COUNTIF('Buyer Groups'!DG70:EC70,0)+COUNTIF('Buyer Groups'!EE70:EN70,0)&gt;0,0,1)</f>
        <v/>
      </c>
      <c r="OT17">
        <f>IF($DZ$17="",FALSE,SUMPRODUCT(('Final Calculation Sheet'!$X$4:$X$40=$DZ$17)*($OS$6:$OS$42=1))&gt;0)</f>
        <v/>
      </c>
      <c r="OU17">
        <f>$OU$16+--($OT17)</f>
        <v/>
      </c>
      <c r="OV17">
        <f>IF(ROW()-3&gt;MAX($OU$4:$OU$40),"",INDEX($DZ$4:$DZ$40,MATCH(ROW()-3,$OU$4:$OU$40,0)))</f>
        <v/>
      </c>
      <c r="OW17">
        <f>IF(COUNTIF('Buyer Groups'!DG70:ED70,0)+COUNTIF('Buyer Groups'!EF70:EN70,0)&gt;0,0,1)</f>
        <v/>
      </c>
      <c r="OX17">
        <f>IF($EE$17="",FALSE,SUMPRODUCT(('Final Calculation Sheet'!$Y$4:$Y$40=$EE$17)*($OW$6:$OW$42=1))&gt;0)</f>
        <v/>
      </c>
      <c r="OY17">
        <f>$OY$16+--($OX17)</f>
        <v/>
      </c>
      <c r="OZ17">
        <f>IF(ROW()-3&gt;MAX($OY$4:$OY$40),"",INDEX($EE$4:$EE$40,MATCH(ROW()-3,$OY$4:$OY$40,0)))</f>
        <v/>
      </c>
      <c r="PA17">
        <f>IF(COUNTIF('Buyer Groups'!DG70:EE70,0)+COUNTIF('Buyer Groups'!EG70:EN70,0)&gt;0,0,1)</f>
        <v/>
      </c>
      <c r="PB17">
        <f>IF($EJ$17="",FALSE,SUMPRODUCT(('Final Calculation Sheet'!$Z$4:$Z$40=$EJ$17)*($PA$6:$PA$42=1))&gt;0)</f>
        <v/>
      </c>
      <c r="PC17">
        <f>$PC$16+--($PB17)</f>
        <v/>
      </c>
      <c r="PD17">
        <f>IF(ROW()-3&gt;MAX($PC$4:$PC$40),"",INDEX($EJ$4:$EJ$40,MATCH(ROW()-3,$PC$4:$PC$40,0)))</f>
        <v/>
      </c>
      <c r="PE17">
        <f>IF(COUNTIF('Buyer Groups'!DG70:EF70,0)+COUNTIF('Buyer Groups'!EH70:EN70,0)&gt;0,0,1)</f>
        <v/>
      </c>
      <c r="PF17">
        <f>IF($EO$17="",FALSE,SUMPRODUCT(('Final Calculation Sheet'!$AA$4:$AA$40=$EO$17)*($PE$6:$PE$42=1))&gt;0)</f>
        <v/>
      </c>
      <c r="PG17">
        <f>$PG$16+--($PF17)</f>
        <v/>
      </c>
      <c r="PH17">
        <f>IF(ROW()-3&gt;MAX($PG$4:$PG$40),"",INDEX($EO$4:$EO$40,MATCH(ROW()-3,$PG$4:$PG$40,0)))</f>
        <v/>
      </c>
      <c r="PI17">
        <f>IF(COUNTIF('Buyer Groups'!DG70:EG70,0)+COUNTIF('Buyer Groups'!EI70:EN70,0)&gt;0,0,1)</f>
        <v/>
      </c>
      <c r="PJ17">
        <f>IF($ET$17="",FALSE,SUMPRODUCT(('Final Calculation Sheet'!$AB$4:$AB$40=$ET$17)*($PI$6:$PI$42=1))&gt;0)</f>
        <v/>
      </c>
      <c r="PK17">
        <f>$PK$16+--($PJ17)</f>
        <v/>
      </c>
      <c r="PL17">
        <f>IF(ROW()-3&gt;MAX($PK$4:$PK$40),"",INDEX($ET$4:$ET$40,MATCH(ROW()-3,$PK$4:$PK$40,0)))</f>
        <v/>
      </c>
      <c r="PM17">
        <f>IF(COUNTIF('Buyer Groups'!DG70:EH70,0)+COUNTIF('Buyer Groups'!EJ70:EN70,0)&gt;0,0,1)</f>
        <v/>
      </c>
      <c r="PN17">
        <f>IF($EY$17="",FALSE,SUMPRODUCT(('Final Calculation Sheet'!$AC$4:$AC$40=$EY$17)*($PM$6:$PM$42=1))&gt;0)</f>
        <v/>
      </c>
      <c r="PO17">
        <f>$PO$16+--($PN17)</f>
        <v/>
      </c>
      <c r="PP17">
        <f>IF(ROW()-3&gt;MAX($PO$4:$PO$40),"",INDEX($EY$4:$EY$40,MATCH(ROW()-3,$PO$4:$PO$40,0)))</f>
        <v/>
      </c>
      <c r="PQ17">
        <f>IF(COUNTIF('Buyer Groups'!DG70:EI70,0)+COUNTIF('Buyer Groups'!EK70:EN70,0)&gt;0,0,1)</f>
        <v/>
      </c>
      <c r="PR17">
        <f>IF($FD$17="",FALSE,SUMPRODUCT(('Final Calculation Sheet'!$AD$4:$AD$40=$FD$17)*($PQ$6:$PQ$42=1))&gt;0)</f>
        <v/>
      </c>
      <c r="PS17">
        <f>$PS$16+--($PR17)</f>
        <v/>
      </c>
      <c r="PT17">
        <f>IF(ROW()-3&gt;MAX($PS$4:$PS$40),"",INDEX($FD$4:$FD$40,MATCH(ROW()-3,$PS$4:$PS$40,0)))</f>
        <v/>
      </c>
      <c r="PU17">
        <f>IF(COUNTIF('Buyer Groups'!DG70:EJ70,0)+COUNTIF('Buyer Groups'!EL70:EN70,0)&gt;0,0,1)</f>
        <v/>
      </c>
      <c r="PV17">
        <f>IF($FX$17="",FALSE,SUMPRODUCT((IF('Final Calculation Sheet'!$AD$4:$AD$40&lt;=5,"SETTLED","OUTSTANDING")=$FX$17)*($PU$6:$PU$42=1))&gt;0)</f>
        <v/>
      </c>
      <c r="PW17">
        <f>$PW$16+--($PV17)</f>
        <v/>
      </c>
      <c r="PX17">
        <f>IF(ROW()-3&gt;MAX($PW$4:$PW$40),"",INDEX($FX$4:$FX$40,MATCH(ROW()-3,$PW$4:$PW$40,0)))</f>
        <v/>
      </c>
      <c r="PY17">
        <f>IF(COUNTIF('Buyer Groups'!DG70:EK70,0)+COUNTIF('Buyer Groups'!EM70:EN70,0)&gt;0,0,1)</f>
        <v/>
      </c>
      <c r="PZ17">
        <f>IF($FI$17="",FALSE,SUMPRODUCT(('Final Calculation Sheet'!$AF$4:$AF$40=$FI$17)*($PY$6:$PY$42=1))&gt;0)</f>
        <v/>
      </c>
      <c r="QA17">
        <f>$QA$16+--($PZ17)</f>
        <v/>
      </c>
      <c r="QB17">
        <f>IF(ROW()-3&gt;MAX($QA$4:$QA$40),"",INDEX($FI$4:$FI$40,MATCH(ROW()-3,$QA$4:$QA$40,0)))</f>
        <v/>
      </c>
      <c r="QC17">
        <f>IF(COUNTIF('Buyer Groups'!DG70:EL70,0)+COUNTIF('Buyer Groups'!EN70:EN70,0)&gt;0,0,1)</f>
        <v/>
      </c>
      <c r="QD17">
        <f>IF($FN$17="",FALSE,SUMPRODUCT(('Final Calculation Sheet'!$AG$4:$AG$40=$FN$17)*($QC$6:$QC$42=1))&gt;0)</f>
        <v/>
      </c>
      <c r="QE17">
        <f>$QE$16+--($QD17)</f>
        <v/>
      </c>
      <c r="QF17">
        <f>IF(ROW()-3&gt;MAX($QE$4:$QE$40),"",INDEX($FN$4:$FN$40,MATCH(ROW()-3,$QE$4:$QE$40,0)))</f>
        <v/>
      </c>
      <c r="QG17">
        <f>IF(COUNTIF('Buyer Groups'!DG70:EM70,0)&gt;0,0,1)</f>
        <v/>
      </c>
      <c r="QH17">
        <f>IF($FS$17="",FALSE,SUMPRODUCT(('Final Calculation Sheet'!$AH$4:$AH$40=$FS$17)*($QG$6:$QG$42=1))&gt;0)</f>
        <v/>
      </c>
      <c r="QI17">
        <f>$QI$16+--($QH17)</f>
        <v/>
      </c>
      <c r="QJ17">
        <f>IF(ROW()-3&gt;MAX($QI$4:$QI$40),"",INDEX($FS$4:$FS$40,MATCH(ROW()-3,$QI$4:$QI$40,0)))</f>
        <v/>
      </c>
      <c r="QK17" t="str">
        <f>IF('Final Calculation Sheet'!$AH$17="","",'Final Calculation Sheet'!$AH$17)</f>
      </c>
      <c r="QL17" t="str">
        <f>IF(QK17="","",COUNTIFS(QK$4:QK$40,"&lt;"&amp;QK17,QK$4:QK$40,"&lt;&gt;"&amp;"")+COUNTIF(QK$4:QK17,QK17))</f>
      </c>
      <c r="QM17" t="str">
        <f>IF(ROW()-3&gt;COUNTIF(QK$4:QK$40,"&lt;&gt;"&amp;""),"",INDEX(QK$4:QK$40,MATCH(ROW()-3,QL$4:QL$40,0)))</f>
      </c>
      <c r="QN17" t="str">
        <f>=QN16+F(AND(QM17&lt;&gt;"",COUNTIF(QM$4:QM17,QM17)=1),1,0)</f>
      </c>
      <c r="QO17" t="str">
        <f>IF(ROW()-3&gt;MAX(QN$4:QN$40),"",INDEX(QM$4:QM$40,MATCH(ROW()-3,QN$4:QN$40,0)))</f>
      </c>
      <c r="QP17" t="str">
        <f>IF(COUNTIF('Final Calculation Sheet'!$AM17:$BS17,0)&gt;0,0,1)</f>
      </c>
      <c r="QQ17" t="str">
        <f>IF($AI$17="",FALSE,SUMPRODUCT(('Final Calculation Sheet'!$A$4:$A$40=$AI$17)*($QP$4:$QP$40=1))&gt;0)</f>
      </c>
      <c r="QR17" t="str">
        <f>=$QR16+--($QQ17)</f>
      </c>
      <c r="QS17" t="str">
        <f>IF(ROW()-3&gt;MAX($QR$4:$QR$40),"",INDEX($AI$4:$AI$40,MATCH(ROW()-3,$QR$4:$QR$40,0)))</f>
      </c>
      <c r="QT17" t="str">
        <f>IF(COUNTIF('Final Calculation Sheet'!$AL17:$AL17,0)+COUNTIF('Final Calculation Sheet'!$AN17:$BS17,0)&gt;0,0,1)</f>
      </c>
      <c r="QU17" t="str">
        <f>IF($Y$17="",FALSE,SUMPRODUCT(('Final Calculation Sheet'!$B$4:$B$40=$Y$17)*($QT$4:$QT$40=1))&gt;0)</f>
      </c>
      <c r="QV17" t="str">
        <f>=$QV16+--($QU17)</f>
      </c>
      <c r="QW17" t="str">
        <f>IF(ROW()-3&gt;MAX($QV$4:$QV$40),"",INDEX($Y$4:$Y$40,MATCH(ROW()-3,$QV$4:$QV$40,0)))</f>
      </c>
      <c r="QX17" t="str">
        <f>IF(COUNTIF('Final Calculation Sheet'!$AL17:$AM17,0)+COUNTIF('Final Calculation Sheet'!$AO17:$BS17,0)&gt;0,0,1)</f>
      </c>
      <c r="QY17" t="str">
        <f>IF($AS$17="",FALSE,SUMPRODUCT(('Final Calculation Sheet'!$C$4:$C$40=$AS$17)*($QX$4:$QX$40=1))&gt;0)</f>
      </c>
      <c r="QZ17" t="str">
        <f>=$QZ16+--($QY17)</f>
      </c>
      <c r="RA17" t="str">
        <f>IF(ROW()-3&gt;MAX($QZ$4:$QZ$40),"",INDEX($AS$4:$AS$40,MATCH(ROW()-3,$QZ$4:$QZ$40,0)))</f>
      </c>
      <c r="RB17" t="str">
        <f>IF(COUNTIF('Final Calculation Sheet'!$AL17:$AN17,0)+COUNTIF('Final Calculation Sheet'!$AP17:$BS17,0)&gt;0,0,1)</f>
      </c>
      <c r="RC17" t="str">
        <f>IF($AD$17="",FALSE,SUMPRODUCT(('Final Calculation Sheet'!$D$4:$D$40=$AD$17)*($RB$4:$RB$40=1))&gt;0)</f>
      </c>
      <c r="RD17" t="str">
        <f>=$RD16+--($RC17)</f>
      </c>
      <c r="RE17" t="str">
        <f>IF(ROW()-3&gt;MAX($RD$4:$RD$40),"",INDEX($AD$4:$AD$40,MATCH(ROW()-3,$RD$4:$RD$40,0)))</f>
      </c>
      <c r="RF17" t="str">
        <f>IF(COUNTIF('Final Calculation Sheet'!$AL17:$AO17,0)+COUNTIF('Final Calculation Sheet'!$AQ17:$BS17,0)&gt;0,0,1)</f>
      </c>
      <c r="RG17" t="str">
        <f>IF($AN$17="",FALSE,SUMPRODUCT(('Final Calculation Sheet'!$E$4:$E$40=$AN$17)*($RF$4:$RF$40=1))&gt;0)</f>
      </c>
      <c r="RH17" t="str">
        <f>=$RH16+--($RG17)</f>
      </c>
      <c r="RI17" t="str">
        <f>IF(ROW()-3&gt;MAX($RH$4:$RH$40),"",INDEX($AN$4:$AN$40,MATCH(ROW()-3,$RH$4:$RH$40,0)))</f>
      </c>
      <c r="RJ17" t="str">
        <f>IF(COUNTIF('Final Calculation Sheet'!$AL17:$AP17,0)+COUNTIF('Final Calculation Sheet'!$AR17:$BS17,0)&gt;0,0,1)</f>
      </c>
      <c r="RK17" t="str">
        <f>IF($O$17="",FALSE,SUMPRODUCT(('Final Calculation Sheet'!$F$4:$F$40=$O$17)*($RJ$4:$RJ$40=1))&gt;0)</f>
      </c>
      <c r="RL17" t="str">
        <f>=$RL16+--($RK17)</f>
      </c>
      <c r="RM17" t="str">
        <f>IF(ROW()-3&gt;MAX($RL$4:$RL$40),"",INDEX($O$4:$O$40,MATCH(ROW()-3,$RL$4:$RL$40,0)))</f>
      </c>
      <c r="RN17" t="str">
        <f>IF(COUNTIF('Final Calculation Sheet'!$AL17:$AQ17,0)+COUNTIF('Final Calculation Sheet'!$AS17:$BS17,0)&gt;0,0,1)</f>
      </c>
      <c r="RO17" t="str">
        <f>IF($T$17="",FALSE,SUMPRODUCT(('Final Calculation Sheet'!$G$4:$G$40=$T$17)*($RN$4:$RN$40=1))&gt;0)</f>
      </c>
      <c r="RP17" t="str">
        <f>=$RP16+--($RO17)</f>
      </c>
      <c r="RQ17" t="str">
        <f>IF(ROW()-3&gt;MAX($RP$4:$RP$40),"",INDEX($T$4:$T$40,MATCH(ROW()-3,$RP$4:$RP$40,0)))</f>
      </c>
      <c r="RR17" t="str">
        <f>IF(COUNTIF('Final Calculation Sheet'!$AL17:$AR17,0)+COUNTIF('Final Calculation Sheet'!$AT17:$BS17,0)&gt;0,0,1)</f>
      </c>
      <c r="RS17" t="str">
        <f>IF($AX$17="",FALSE,SUMPRODUCT(('Final Calculation Sheet'!$H$4:$H$40=$AX$17)*($RR$4:$RR$40=1))&gt;0)</f>
      </c>
      <c r="RT17" t="str">
        <f>=$RT16+--($RS17)</f>
      </c>
      <c r="RU17" t="str">
        <f>IF(ROW()-3&gt;MAX($RT$4:$RT$40),"",INDEX($AX$4:$AX$40,MATCH(ROW()-3,$RT$4:$RT$40,0)))</f>
      </c>
      <c r="RV17" t="str">
        <f>IF(COUNTIF('Final Calculation Sheet'!$AL17:$AS17,0)+COUNTIF('Final Calculation Sheet'!$AU17:$BS17,0)&gt;0,0,1)</f>
      </c>
      <c r="RW17" t="str">
        <f>IF($BC$17="",FALSE,SUMPRODUCT(('Final Calculation Sheet'!$I$4:$I$40=$BC$17)*($RV$4:$RV$40=1))&gt;0)</f>
      </c>
      <c r="RX17" t="str">
        <f>=$RX16+--($RW17)</f>
      </c>
      <c r="RY17" t="str">
        <f>IF(ROW()-3&gt;MAX($RX$4:$RX$40),"",INDEX($BC$4:$BC$40,MATCH(ROW()-3,$RX$4:$RX$40,0)))</f>
      </c>
      <c r="RZ17" t="str">
        <f>IF(COUNTIF('Final Calculation Sheet'!$AL17:$AT17,0)+COUNTIF('Final Calculation Sheet'!$AV17:$BS17,0)&gt;0,0,1)</f>
      </c>
      <c r="SA17" t="str">
        <f>IF($BH$17="",FALSE,SUMPRODUCT(('Final Calculation Sheet'!$J$4:$J$40=$BH$17)*($RZ$4:$RZ$40=1))&gt;0)</f>
      </c>
      <c r="SB17" t="str">
        <f>=$SB16+--($SA17)</f>
      </c>
      <c r="SC17" t="str">
        <f>IF(ROW()-3&gt;MAX($SB$4:$SB$40),"",INDEX($BH$4:$BH$40,MATCH(ROW()-3,$SB$4:$SB$40,0)))</f>
      </c>
      <c r="SD17" t="str">
        <f>IF(COUNTIF('Final Calculation Sheet'!$AL17:$AU17,0)+COUNTIF('Final Calculation Sheet'!$AW17:$BS17,0)&gt;0,0,1)</f>
      </c>
      <c r="SE17" t="str">
        <f>IF($BM$17="",FALSE,SUMPRODUCT(('Final Calculation Sheet'!$K$4:$K$40=$BM$17)*($SD$4:$SD$40=1))&gt;0)</f>
      </c>
      <c r="SF17" t="str">
        <f>=$SF16+--($SE17)</f>
      </c>
      <c r="SG17" t="str">
        <f>IF(ROW()-3&gt;MAX($SF$4:$SF$40),"",INDEX($BM$4:$BM$40,MATCH(ROW()-3,$SF$4:$SF$40,0)))</f>
      </c>
      <c r="SH17" t="str">
        <f>IF(COUNTIF('Final Calculation Sheet'!$AL17:$AV17,0)+COUNTIF('Final Calculation Sheet'!$AX17:$BS17,0)&gt;0,0,1)</f>
      </c>
      <c r="SI17" t="str">
        <f>IF($BR$17="",FALSE,SUMPRODUCT(('Final Calculation Sheet'!$L$4:$L$40=$BR$17)*($SH$4:$SH$40=1))&gt;0)</f>
      </c>
      <c r="SJ17" t="str">
        <f>=$SJ16+--($SI17)</f>
      </c>
      <c r="SK17" t="str">
        <f>IF(ROW()-3&gt;MAX($SJ$4:$SJ$40),"",INDEX($BR$4:$BR$40,MATCH(ROW()-3,$SJ$4:$SJ$40,0)))</f>
      </c>
      <c r="SL17" t="str">
        <f>IF(COUNTIF('Final Calculation Sheet'!$AL17:$AW17,0)+COUNTIF('Final Calculation Sheet'!$AY17:$BS17,0)&gt;0,0,1)</f>
      </c>
      <c r="SM17" t="str">
        <f>IF($BW$17="",FALSE,SUMPRODUCT(('Final Calculation Sheet'!$M$4:$M$40=$BW$17)*($SL$4:$SL$40=1))&gt;0)</f>
      </c>
      <c r="SN17" t="str">
        <f>=$SN16+--($SM17)</f>
      </c>
      <c r="SO17" t="str">
        <f>IF(ROW()-3&gt;MAX($SN$4:$SN$40),"",INDEX($BW$4:$BW$40,MATCH(ROW()-3,$SN$4:$SN$40,0)))</f>
      </c>
      <c r="SP17" t="str">
        <f>IF(COUNTIF('Final Calculation Sheet'!$AL17:$AX17,0)+COUNTIF('Final Calculation Sheet'!$AZ17:$BS17,0)&gt;0,0,1)</f>
      </c>
      <c r="SQ17" t="str">
        <f>IF($CB$17="",FALSE,SUMPRODUCT(('Final Calculation Sheet'!$N$4:$N$40=$CB$17)*($SP$4:$SP$40=1))&gt;0)</f>
      </c>
      <c r="SR17" t="str">
        <f>=$SR16+--($SQ17)</f>
      </c>
      <c r="SS17" t="str">
        <f>IF(ROW()-3&gt;MAX($SR$4:$SR$40),"",INDEX($CB$4:$CB$40,MATCH(ROW()-3,$SR$4:$SR$40,0)))</f>
      </c>
      <c r="ST17" t="str">
        <f>IF(COUNTIF('Final Calculation Sheet'!$AL17:$AY17,0)+COUNTIF('Final Calculation Sheet'!$BA17:$BS17,0)&gt;0,0,1)</f>
      </c>
      <c r="SU17" t="str">
        <f>IF($CG$17="",FALSE,SUMPRODUCT(('Final Calculation Sheet'!$O$4:$O$40=$CG$17)*($ST$4:$ST$40=1))&gt;0)</f>
      </c>
      <c r="SV17" t="str">
        <f>=$SV16+--($SU17)</f>
      </c>
      <c r="SW17" t="str">
        <f>IF(ROW()-3&gt;MAX($SV$4:$SV$40),"",INDEX($CG$4:$CG$40,MATCH(ROW()-3,$SV$4:$SV$40,0)))</f>
      </c>
      <c r="SX17" t="str">
        <f>IF(COUNTIF('Final Calculation Sheet'!$AL17:$AZ17,0)+COUNTIF('Final Calculation Sheet'!$BB17:$BS17,0)&gt;0,0,1)</f>
      </c>
      <c r="SY17" t="str">
        <f>IF($CL$17="",FALSE,SUMPRODUCT(('Final Calculation Sheet'!$P$4:$P$40=$CL$17)*($SX$4:$SX$40=1))&gt;0)</f>
      </c>
      <c r="SZ17" t="str">
        <f>=$SZ16+--($SY17)</f>
      </c>
      <c r="TA17" t="str">
        <f>IF(ROW()-3&gt;MAX($SZ$4:$SZ$40),"",INDEX($CL$4:$CL$40,MATCH(ROW()-3,$SZ$4:$SZ$40,0)))</f>
      </c>
      <c r="TB17" t="str">
        <f>IF(COUNTIF('Final Calculation Sheet'!$AL17:$BA17,0)+COUNTIF('Final Calculation Sheet'!$BC17:$BS17,0)&gt;0,0,1)</f>
      </c>
      <c r="TC17" t="str">
        <f>IF($CQ$17="",FALSE,SUMPRODUCT(('Final Calculation Sheet'!$Q$4:$Q$40=$CQ$17)*($TB$4:$TB$40=1))&gt;0)</f>
      </c>
      <c r="TD17" t="str">
        <f>=$TD16+--($TC17)</f>
      </c>
      <c r="TE17" t="str">
        <f>IF(ROW()-3&gt;MAX($TD$4:$TD$40),"",INDEX($CQ$4:$CQ$40,MATCH(ROW()-3,$TD$4:$TD$40,0)))</f>
      </c>
      <c r="TF17" t="str">
        <f>IF(COUNTIF('Final Calculation Sheet'!$AL17:$BB17,0)+COUNTIF('Final Calculation Sheet'!$BD17:$BS17,0)&gt;0,0,1)</f>
      </c>
      <c r="TG17" t="str">
        <f>IF($CV$17="",FALSE,SUMPRODUCT(('Final Calculation Sheet'!$R$4:$R$40=$CV$17)*($TF$4:$TF$40=1))&gt;0)</f>
      </c>
      <c r="TH17" t="str">
        <f>=$TH16+--($TG17)</f>
      </c>
      <c r="TI17" t="str">
        <f>IF(ROW()-3&gt;MAX($TH$4:$TH$40),"",INDEX($CV$4:$CV$40,MATCH(ROW()-3,$TH$4:$TH$40,0)))</f>
      </c>
      <c r="TJ17" t="str">
        <f>IF(COUNTIF('Final Calculation Sheet'!$AL17:$BC17,0)+COUNTIF('Final Calculation Sheet'!$BE17:$BS17,0)&gt;0,0,1)</f>
      </c>
      <c r="TK17" t="str">
        <f>IF($DA$17="",FALSE,SUMPRODUCT(('Final Calculation Sheet'!$S$4:$S$40=$DA$17)*($TJ$4:$TJ$40=1))&gt;0)</f>
      </c>
      <c r="TL17" t="str">
        <f>=$TL16+--($TK17)</f>
      </c>
      <c r="TM17" t="str">
        <f>IF(ROW()-3&gt;MAX($TL$4:$TL$40),"",INDEX($DA$4:$DA$40,MATCH(ROW()-3,$TL$4:$TL$40,0)))</f>
      </c>
      <c r="TN17" t="str">
        <f>IF(COUNTIF('Final Calculation Sheet'!$AL17:$BD17,0)+COUNTIF('Final Calculation Sheet'!$BF17:$BS17,0)&gt;0,0,1)</f>
      </c>
      <c r="TO17" t="str">
        <f>IF($DF$17="",FALSE,SUMPRODUCT(('Final Calculation Sheet'!$T$4:$T$40=$DF$17)*($TN$4:$TN$40=1))&gt;0)</f>
      </c>
      <c r="TP17" t="str">
        <f>=$TP16+--($TO17)</f>
      </c>
      <c r="TQ17" t="str">
        <f>IF(ROW()-3&gt;MAX($TP$4:$TP$40),"",INDEX($DF$4:$DF$40,MATCH(ROW()-3,$TP$4:$TP$40,0)))</f>
      </c>
      <c r="TR17" t="str">
        <f>IF(COUNTIF('Final Calculation Sheet'!$AL17:$BE17,0)+COUNTIF('Final Calculation Sheet'!$BG17:$BS17,0)&gt;0,0,1)</f>
      </c>
      <c r="TS17" t="str">
        <f>IF($DK$17="",FALSE,SUMPRODUCT(('Final Calculation Sheet'!$U$4:$U$40=$DK$17)*($TR$4:$TR$40=1))&gt;0)</f>
      </c>
      <c r="TT17" t="str">
        <f>=$TT16+--($TS17)</f>
      </c>
      <c r="TU17" t="str">
        <f>IF(ROW()-3&gt;MAX($TT$4:$TT$40),"",INDEX($DK$4:$DK$40,MATCH(ROW()-3,$TT$4:$TT$40,0)))</f>
      </c>
      <c r="TV17" t="str">
        <f>IF(COUNTIF('Final Calculation Sheet'!$AL17:$BF17,0)+COUNTIF('Final Calculation Sheet'!$BH17:$BS17,0)&gt;0,0,1)</f>
      </c>
      <c r="TW17" t="str">
        <f>IF($DP$17="",FALSE,SUMPRODUCT(('Final Calculation Sheet'!$V$4:$V$40=$DP$17)*($TV$4:$TV$40=1))&gt;0)</f>
      </c>
      <c r="TX17" t="str">
        <f>=$TX16+--($TW17)</f>
      </c>
      <c r="TY17" t="str">
        <f>IF(ROW()-3&gt;MAX($TX$4:$TX$40),"",INDEX($DP$4:$DP$40,MATCH(ROW()-3,$TX$4:$TX$40,0)))</f>
      </c>
      <c r="TZ17" t="str">
        <f>IF(COUNTIF('Final Calculation Sheet'!$AL17:$BG17,0)+COUNTIF('Final Calculation Sheet'!$BI17:$BS17,0)&gt;0,0,1)</f>
      </c>
      <c r="UA17" t="str">
        <f>IF($DU$17="",FALSE,SUMPRODUCT(('Final Calculation Sheet'!$W$4:$W$40=$DU$17)*($TZ$4:$TZ$40=1))&gt;0)</f>
      </c>
      <c r="UB17" t="str">
        <f>=$UB16+--($UA17)</f>
      </c>
      <c r="UC17" t="str">
        <f>IF(ROW()-3&gt;MAX($UB$4:$UB$40),"",INDEX($DU$4:$DU$40,MATCH(ROW()-3,$UB$4:$UB$40,0)))</f>
      </c>
      <c r="UD17" t="str">
        <f>IF(COUNTIF('Final Calculation Sheet'!$AL17:$BH17,0)+COUNTIF('Final Calculation Sheet'!$BJ17:$BS17,0)&gt;0,0,1)</f>
      </c>
      <c r="UE17" t="str">
        <f>IF($DZ$17="",FALSE,SUMPRODUCT(('Final Calculation Sheet'!$X$4:$X$40=$DZ$17)*($UD$4:$UD$40=1))&gt;0)</f>
      </c>
      <c r="UF17" t="str">
        <f>=$UF16+--($UE17)</f>
      </c>
      <c r="UG17" t="str">
        <f>IF(ROW()-3&gt;MAX($UF$4:$UF$40),"",INDEX($DZ$4:$DZ$40,MATCH(ROW()-3,$UF$4:$UF$40,0)))</f>
      </c>
      <c r="UH17" t="str">
        <f>IF(COUNTIF('Final Calculation Sheet'!$AL17:$BI17,0)+COUNTIF('Final Calculation Sheet'!$BK17:$BS17,0)&gt;0,0,1)</f>
      </c>
      <c r="UI17" t="str">
        <f>IF($EE$17="",FALSE,SUMPRODUCT(('Final Calculation Sheet'!$Y$4:$Y$40=$EE$17)*($UH$4:$UH$40=1))&gt;0)</f>
      </c>
      <c r="UJ17" t="str">
        <f>=$UJ16+--($UI17)</f>
      </c>
      <c r="UK17" t="str">
        <f>IF(ROW()-3&gt;MAX($UJ$4:$UJ$40),"",INDEX($EE$4:$EE$40,MATCH(ROW()-3,$UJ$4:$UJ$40,0)))</f>
      </c>
      <c r="UL17" t="str">
        <f>IF(COUNTIF('Final Calculation Sheet'!$AL17:$BJ17,0)+COUNTIF('Final Calculation Sheet'!$BL17:$BS17,0)&gt;0,0,1)</f>
      </c>
      <c r="UM17" t="str">
        <f>IF($EJ$17="",FALSE,SUMPRODUCT(('Final Calculation Sheet'!$Z$4:$Z$40=$EJ$17)*($UL$4:$UL$40=1))&gt;0)</f>
      </c>
      <c r="UN17" t="str">
        <f>=$UN16+--($UM17)</f>
      </c>
      <c r="UO17" t="str">
        <f>IF(ROW()-3&gt;MAX($UN$4:$UN$40),"",INDEX($EJ$4:$EJ$40,MATCH(ROW()-3,$UN$4:$UN$40,0)))</f>
      </c>
      <c r="UP17" t="str">
        <f>IF(COUNTIF('Final Calculation Sheet'!$AL17:$BK17,0)+COUNTIF('Final Calculation Sheet'!$BM17:$BS17,0)&gt;0,0,1)</f>
      </c>
      <c r="UQ17" t="str">
        <f>IF($EO$17="",FALSE,SUMPRODUCT(('Final Calculation Sheet'!$AA$4:$AA$40=$EO$17)*($UP$4:$UP$40=1))&gt;0)</f>
      </c>
      <c r="UR17" t="str">
        <f>=$UR16+--($UQ17)</f>
      </c>
      <c r="US17" t="str">
        <f>IF(ROW()-3&gt;MAX($UR$4:$UR$40),"",INDEX($EO$4:$EO$40,MATCH(ROW()-3,$UR$4:$UR$40,0)))</f>
      </c>
      <c r="UT17" t="str">
        <f>IF(COUNTIF('Final Calculation Sheet'!$AL17:$BL17,0)+COUNTIF('Final Calculation Sheet'!$BN17:$BS17,0)&gt;0,0,1)</f>
      </c>
      <c r="UU17" t="str">
        <f>IF($ET$17="",FALSE,SUMPRODUCT(('Final Calculation Sheet'!$AB$4:$AB$40=$ET$17)*($UT$4:$UT$40=1))&gt;0)</f>
      </c>
      <c r="UV17" t="str">
        <f>=$UV16+--($UU17)</f>
      </c>
      <c r="UW17" t="str">
        <f>IF(ROW()-3&gt;MAX($UV$4:$UV$40),"",INDEX($ET$4:$ET$40,MATCH(ROW()-3,$UV$4:$UV$40,0)))</f>
      </c>
      <c r="UX17" t="str">
        <f>IF(COUNTIF('Final Calculation Sheet'!$AL17:$BM17,0)+COUNTIF('Final Calculation Sheet'!$BO17:$BS17,0)&gt;0,0,1)</f>
      </c>
      <c r="UY17" t="str">
        <f>IF($EY$17="",FALSE,SUMPRODUCT(('Final Calculation Sheet'!$AC$4:$AC$40=$EY$17)*($UX$4:$UX$40=1))&gt;0)</f>
      </c>
      <c r="UZ17" t="str">
        <f>=$UZ16+--($UY17)</f>
      </c>
      <c r="VA17" t="str">
        <f>IF(ROW()-3&gt;MAX($UZ$4:$UZ$40),"",INDEX($EY$4:$EY$40,MATCH(ROW()-3,$UZ$4:$UZ$40,0)))</f>
      </c>
      <c r="VB17" t="str">
        <f>IF(COUNTIF('Final Calculation Sheet'!$AL17:$BN17,0)+COUNTIF('Final Calculation Sheet'!$BP17:$BS17,0)&gt;0,0,1)</f>
      </c>
      <c r="VC17" t="str">
        <f>IF($FD$17="",FALSE,SUMPRODUCT(('Final Calculation Sheet'!$AD$4:$AD$40=$FD$17)*($VB$4:$VB$40=1))&gt;0)</f>
      </c>
      <c r="VD17" t="str">
        <f>=$VD16+--($VC17)</f>
      </c>
      <c r="VE17" t="str">
        <f>IF(ROW()-3&gt;MAX($VD$4:$VD$40),"",INDEX($FD$4:$FD$40,MATCH(ROW()-3,$VD$4:$VD$40,0)))</f>
      </c>
      <c r="VF17" t="str">
        <f>IF(COUNTIF('Final Calculation Sheet'!$AL17:$BO17,0)+COUNTIF('Final Calculation Sheet'!$BQ17:$BS17,0)&gt;0,0,1)</f>
      </c>
      <c r="VG17" t="str">
        <f>IF($FI$17="",FALSE,SUMPRODUCT(('Final Calculation Sheet'!$AE$4:$AE$40=$FI$17)*($VF$4:$VF$40=1))&gt;0)</f>
      </c>
      <c r="VH17" t="str">
        <f>=$VH16+--($VG17)</f>
      </c>
      <c r="VI17" t="str">
        <f>IF(ROW()-3&gt;MAX($VH$4:$VH$40),"",INDEX($FI$4:$FI$40,MATCH(ROW()-3,$VH$4:$VH$40,0)))</f>
      </c>
      <c r="VJ17" t="str">
        <f>IF(COUNTIF('Final Calculation Sheet'!$AL17:$BP17,0)+COUNTIF('Final Calculation Sheet'!$BR17:$BS17,0)&gt;0,0,1)</f>
      </c>
      <c r="VK17" t="str">
        <f>IF($FN$17="",FALSE,SUMPRODUCT(('Final Calculation Sheet'!$AF$4:$AF$40=$FN$17)*($VJ$4:$VJ$40=1))&gt;0)</f>
      </c>
      <c r="VL17" t="str">
        <f>=$VL16+--($VK17)</f>
      </c>
      <c r="VM17" t="str">
        <f>IF(ROW()-3&gt;MAX($VL$4:$VL$40),"",INDEX($FN$4:$FN$40,MATCH(ROW()-3,$VL$4:$VL$40,0)))</f>
      </c>
      <c r="VN17" t="str">
        <f>IF(COUNTIF('Final Calculation Sheet'!$AL17:$BQ17,0)+COUNTIF('Final Calculation Sheet'!$BS17:$BS17,0)&gt;0,0,1)</f>
      </c>
      <c r="VO17" t="str">
        <f>IF($FS$17="",FALSE,SUMPRODUCT(('Final Calculation Sheet'!$AG$4:$AG$40=$FS$17)*($VN$4:$VN$40=1))&gt;0)</f>
      </c>
      <c r="VP17" t="str">
        <f>=$VP16+--($VO17)</f>
      </c>
      <c r="VQ17" t="str">
        <f>IF(ROW()-3&gt;MAX($VP$4:$VP$40),"",INDEX($FS$4:$FS$40,MATCH(ROW()-3,$VP$4:$VP$40,0)))</f>
      </c>
      <c r="VR17" t="str">
        <f>IF(COUNTIF('Final Calculation Sheet'!$AL17:$BR17,0)&gt;0,0,1)</f>
      </c>
      <c r="VS17" t="str">
        <f>IF($QO$17="",FALSE,SUMPRODUCT(('Final Calculation Sheet'!$AH$4:$AH$40=$QO$17)*($VR$4:$VR$40=1))&gt;0)</f>
      </c>
      <c r="VT17" t="str">
        <f>=$VT16+--($VS17)</f>
      </c>
      <c r="VU17" t="str">
        <f>IF(ROW()-3&gt;MAX($VT$4:$VT$40),"",INDEX($QO$4:$QO$40,MATCH(ROW()-3,$VT$4:$VT$40,0)))</f>
      </c>
    </row>
    <row r="18">
      <c r="A18">
        <f>IF(IFERROR('Final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IF(IFERROR('Final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s="55">
        <f>IF('Final Calculation Sheet'!$C$18="","",'Final Calculation Sheet'!$C$18)</f>
        <v/>
      </c>
      <c r="AP18">
        <f>IF(AO18="","",COUNTIFS(AO$4:AO$40,"&lt;"&amp;AO18,AO$4:AO$40,"&lt;&gt;"&amp;"")+COUNTIF(AO$4:AO18,AO18))</f>
        <v/>
      </c>
      <c r="AQ18" s="55">
        <f>IF(ROW()-3&gt;COUNTIF(AO$4:AO$40,"&lt;&gt;"&amp;""),"",INDEX(AO$4:AO$40,MATCH(ROW()-3,AP$4:AP$40,0)))</f>
        <v/>
      </c>
      <c r="AR18">
        <f>AR17+IF(AND(AQ18&lt;&gt;"",COUNTIF(AQ$4:AQ18,AQ18)=1),1,0)</f>
        <v/>
      </c>
      <c r="AS18" s="55">
        <f>IF(ROW()-3&gt;MAX(AR$4:AR$40),"",INDEX(AQ$4:AQ$40,MATCH(ROW()-3,AR$4:AR$40,0)))</f>
        <v/>
      </c>
      <c r="AT18" s="55">
        <f>IF('Final Calculation Sheet'!$H$18="","",'Final Calculation Sheet'!$H$18)</f>
        <v/>
      </c>
      <c r="AU18">
        <f>IF(AT18="","",COUNTIFS(AT$4:AT$40,"&lt;"&amp;AT18,AT$4:AT$40,"&lt;&gt;"&amp;"")+COUNTIF(AT$4:AT18,AT18))</f>
        <v/>
      </c>
      <c r="AV18" s="55">
        <f>IF(ROW()-3&gt;COUNTIF(AT$4:AT$40,"&lt;&gt;"&amp;""),"",INDEX(AT$4:AT$40,MATCH(ROW()-3,AU$4:AU$40,0)))</f>
        <v/>
      </c>
      <c r="AW18">
        <f>AW17+IF(AND(AV18&lt;&gt;"",COUNTIF(AV$4:AV18,AV18)=1),1,0)</f>
        <v/>
      </c>
      <c r="AX18" s="55">
        <f>IF(ROW()-3&gt;MAX(AW$4:AW$40),"",INDEX(AV$4:AV$40,MATCH(ROW()-3,AW$4:AW$40,0)))</f>
        <v/>
      </c>
      <c r="AY18" s="55">
        <f>IF('Final Calculation Sheet'!$I$18="","",'Final Calculation Sheet'!$I$18)</f>
        <v/>
      </c>
      <c r="AZ18">
        <f>IF(AY18="","",COUNTIFS(AY$4:AY$40,"&lt;"&amp;AY18,AY$4:AY$40,"&lt;&gt;"&amp;"")+COUNTIF(AY$4:AY18,AY18))</f>
        <v/>
      </c>
      <c r="BA18" s="55">
        <f>IF(ROW()-3&gt;COUNTIF(AY$4:AY$40,"&lt;&gt;"&amp;""),"",INDEX(AY$4:AY$40,MATCH(ROW()-3,AZ$4:AZ$40,0)))</f>
        <v/>
      </c>
      <c r="BB18">
        <f>BB17+IF(AND(BA18&lt;&gt;"",COUNTIF(BA$4:BA18,BA18)=1),1,0)</f>
        <v/>
      </c>
      <c r="BC18" s="55">
        <f>IF(ROW()-3&gt;MAX(BB$4:BB$40),"",INDEX(BA$4:BA$40,MATCH(ROW()-3,BB$4:BB$40,0)))</f>
        <v/>
      </c>
      <c r="BD18" s="55">
        <f>IF('Final Calculation Sheet'!$J$18="","",'Final Calculation Sheet'!$J$18)</f>
        <v/>
      </c>
      <c r="BE18">
        <f>IF(BD18="","",COUNTIFS(BD$4:BD$40,"&lt;"&amp;BD18,BD$4:BD$40,"&lt;&gt;"&amp;"")+COUNTIF(BD$4:BD18,BD18))</f>
        <v/>
      </c>
      <c r="BF18" s="55">
        <f>IF(ROW()-3&gt;COUNTIF(BD$4:BD$40,"&lt;&gt;"&amp;""),"",INDEX(BD$4:BD$40,MATCH(ROW()-3,BE$4:BE$40,0)))</f>
        <v/>
      </c>
      <c r="BG18">
        <f>BG17+IF(AND(BF18&lt;&gt;"",COUNTIF(BF$4:BF18,BF18)=1),1,0)</f>
        <v/>
      </c>
      <c r="BH18" s="55">
        <f>IF(ROW()-3&gt;MAX(BG$4:BG$40),"",INDEX(BF$4:BF$40,MATCH(ROW()-3,BG$4:BG$40,0)))</f>
        <v/>
      </c>
      <c r="BI18" s="55">
        <f>IF('Final Calculation Sheet'!$K$18="","",'Final Calculation Sheet'!$K$18)</f>
        <v/>
      </c>
      <c r="BJ18">
        <f>IF(BI18="","",COUNTIFS(BI$4:BI$40,"&lt;"&amp;BI18,BI$4:BI$40,"&lt;&gt;"&amp;"")+COUNTIF(BI$4:BI18,BI18))</f>
        <v/>
      </c>
      <c r="BK18" s="55">
        <f>IF(ROW()-3&gt;COUNTIF(BI$4:BI$40,"&lt;&gt;"&amp;""),"",INDEX(BI$4:BI$40,MATCH(ROW()-3,BJ$4:BJ$40,0)))</f>
        <v/>
      </c>
      <c r="BL18">
        <f>BL17+IF(AND(BK18&lt;&gt;"",COUNTIF(BK$4:BK18,BK18)=1),1,0)</f>
        <v/>
      </c>
      <c r="BM18" s="55">
        <f>IF(ROW()-3&gt;MAX(BL$4:BL$40),"",INDEX(BK$4:BK$40,MATCH(ROW()-3,BL$4:BL$40,0)))</f>
        <v/>
      </c>
      <c r="BN18" s="55">
        <f>IF('Final Calculation Sheet'!$L$18="","",'Final Calculation Sheet'!$L$18)</f>
        <v/>
      </c>
      <c r="BO18">
        <f>IF(BN18="","",COUNTIFS(BN$4:BN$40,"&lt;"&amp;BN18,BN$4:BN$40,"&lt;&gt;"&amp;"")+COUNTIF(BN$4:BN18,BN18))</f>
        <v/>
      </c>
      <c r="BP18" s="55">
        <f>IF(ROW()-3&gt;COUNTIF(BN$4:BN$40,"&lt;&gt;"&amp;""),"",INDEX(BN$4:BN$40,MATCH(ROW()-3,BO$4:BO$40,0)))</f>
        <v/>
      </c>
      <c r="BQ18">
        <f>BQ17+IF(AND(BP18&lt;&gt;"",COUNTIF(BP$4:BP18,BP18)=1),1,0)</f>
        <v/>
      </c>
      <c r="BR18" s="55">
        <f>IF(ROW()-3&gt;MAX(BQ$4:BQ$40),"",INDEX(BP$4:BP$40,MATCH(ROW()-3,BQ$4:BQ$40,0)))</f>
        <v/>
      </c>
      <c r="BS18" s="55">
        <f>IF('Final Calculation Sheet'!$M$18="","",'Final Calculation Sheet'!$M$18)</f>
        <v/>
      </c>
      <c r="BT18">
        <f>IF(BS18="","",COUNTIFS(BS$4:BS$40,"&lt;"&amp;BS18,BS$4:BS$40,"&lt;&gt;"&amp;"")+COUNTIF(BS$4:BS18,BS18))</f>
        <v/>
      </c>
      <c r="BU18" s="55">
        <f>IF(ROW()-3&gt;COUNTIF(BS$4:BS$40,"&lt;&gt;"&amp;""),"",INDEX(BS$4:BS$40,MATCH(ROW()-3,BT$4:BT$40,0)))</f>
        <v/>
      </c>
      <c r="BV18">
        <f>BV17+IF(AND(BU18&lt;&gt;"",COUNTIF(BU$4:BU18,BU18)=1),1,0)</f>
        <v/>
      </c>
      <c r="BW18" s="55">
        <f>IF(ROW()-3&gt;MAX(BV$4:BV$40),"",INDEX(BU$4:BU$40,MATCH(ROW()-3,BV$4:BV$40,0)))</f>
        <v/>
      </c>
      <c r="BX18" s="138">
        <f>IF('Final Calculation Sheet'!$N$18="","",'Final Calculation Sheet'!$N$18)</f>
        <v/>
      </c>
      <c r="BY18">
        <f>IF(BX18="","",COUNTIFS(BX$4:BX$40,"&lt;"&amp;BX18,BX$4:BX$40,"&lt;&gt;"&amp;"")+COUNTIF(BX$4:BX18,BX18))</f>
        <v/>
      </c>
      <c r="BZ18" s="138">
        <f>IF(ROW()-3&gt;COUNTIF(BX$4:BX$40,"&lt;&gt;"&amp;""),"",INDEX(BX$4:BX$40,MATCH(ROW()-3,BY$4:BY$40,0)))</f>
        <v/>
      </c>
      <c r="CA18">
        <f>CA17+IF(AND(BZ18&lt;&gt;"",COUNTIF(BZ$4:BZ18,BZ18)=1),1,0)</f>
        <v/>
      </c>
      <c r="CB18" s="138">
        <f>IF(ROW()-3&gt;MAX(CA$4:CA$40),"",INDEX(BZ$4:BZ$40,MATCH(ROW()-3,CA$4:CA$40,0)))</f>
        <v/>
      </c>
      <c r="CC18" s="55">
        <f>IF('Final Calculation Sheet'!$O$18="","",'Final Calculation Sheet'!$O$18)</f>
        <v/>
      </c>
      <c r="CD18">
        <f>IF(CC18="","",COUNTIFS(CC$4:CC$40,"&lt;"&amp;CC18,CC$4:CC$40,"&lt;&gt;"&amp;"")+COUNTIF(CC$4:CC18,CC18))</f>
        <v/>
      </c>
      <c r="CE18" s="55">
        <f>IF(ROW()-3&gt;COUNTIF(CC$4:CC$40,"&lt;&gt;"&amp;""),"",INDEX(CC$4:CC$40,MATCH(ROW()-3,CD$4:CD$40,0)))</f>
        <v/>
      </c>
      <c r="CF18">
        <f>CF17+IF(AND(CE18&lt;&gt;"",COUNTIF(CE$4:CE18,CE18)=1),1,0)</f>
        <v/>
      </c>
      <c r="CG18" s="55">
        <f>IF(ROW()-3&gt;MAX(CF$4:CF$40),"",INDEX(CE$4:CE$40,MATCH(ROW()-3,CF$4:CF$40,0)))</f>
        <v/>
      </c>
      <c r="CH18" s="55">
        <f>IF('Final Calculation Sheet'!$P$18="","",'Final Calculation Sheet'!$P$18)</f>
        <v/>
      </c>
      <c r="CI18">
        <f>IF(CH18="","",COUNTIFS(CH$4:CH$40,"&lt;"&amp;CH18,CH$4:CH$40,"&lt;&gt;"&amp;"")+COUNTIF(CH$4:CH18,CH18))</f>
        <v/>
      </c>
      <c r="CJ18" s="55">
        <f>IF(ROW()-3&gt;COUNTIF(CH$4:CH$40,"&lt;&gt;"&amp;""),"",INDEX(CH$4:CH$40,MATCH(ROW()-3,CI$4:CI$40,0)))</f>
        <v/>
      </c>
      <c r="CK18">
        <f>CK17+IF(AND(CJ18&lt;&gt;"",COUNTIF(CJ$4:CJ18,CJ18)=1),1,0)</f>
        <v/>
      </c>
      <c r="CL18" s="55">
        <f>IF(ROW()-3&gt;MAX(CK$4:CK$40),"",INDEX(CJ$4:CJ$40,MATCH(ROW()-3,CK$4:CK$40,0)))</f>
        <v/>
      </c>
      <c r="CM18" s="139">
        <f>IF('Final Calculation Sheet'!$Q$18="","",'Final Calculation Sheet'!$Q$18)</f>
        <v/>
      </c>
      <c r="CN18">
        <f>IF(CM18="","",COUNTIFS(CM$4:CM$40,"&lt;"&amp;CM18,CM$4:CM$40,"&lt;&gt;"&amp;"")+COUNTIF(CM$4:CM18,CM18))</f>
        <v/>
      </c>
      <c r="CO18" s="139">
        <f>IF(ROW()-3&gt;COUNTIF(CM$4:CM$40,"&lt;&gt;"&amp;""),"",INDEX(CM$4:CM$40,MATCH(ROW()-3,CN$4:CN$40,0)))</f>
        <v/>
      </c>
      <c r="CP18">
        <f>CP17+IF(AND(CO18&lt;&gt;"",COUNTIF(CO$4:CO18,CO18)=1),1,0)</f>
        <v/>
      </c>
      <c r="CQ18">
        <f>IF(ROW()-3&gt;MAX(CP$4:CP$40),"",INDEX(CO$4:CO$40,MATCH(ROW()-3,CP$4:CP$40,0)))</f>
        <v/>
      </c>
      <c r="CR18" s="55">
        <f>IF('Final Calculation Sheet'!$R$18="","",'Final Calculation Sheet'!$R$18)</f>
        <v/>
      </c>
      <c r="CS18">
        <f>IF(CR18="","",COUNTIFS(CR$4:CR$40,"&lt;"&amp;CR18,CR$4:CR$40,"&lt;&gt;"&amp;"")+COUNTIF(CR$4:CR18,CR18))</f>
        <v/>
      </c>
      <c r="CT18" s="55">
        <f>IF(ROW()-3&gt;COUNTIF(CR$4:CR$40,"&lt;&gt;"&amp;""),"",INDEX(CR$4:CR$40,MATCH(ROW()-3,CS$4:CS$40,0)))</f>
        <v/>
      </c>
      <c r="CU18">
        <f>CU17+IF(AND(CT18&lt;&gt;"",COUNTIF(CT$4:CT18,CT18)=1),1,0)</f>
        <v/>
      </c>
      <c r="CV18">
        <f>IF(ROW()-3&gt;MAX(CU$4:CU$40),"",INDEX(CT$4:CT$40,MATCH(ROW()-3,CU$4:CU$40,0)))</f>
        <v/>
      </c>
      <c r="CW18" s="55">
        <f>IF('Final Calculation Sheet'!$S$18="","",'Final Calculation Sheet'!$S$18)</f>
        <v/>
      </c>
      <c r="CX18">
        <f>IF(CW18="","",COUNTIFS(CW$4:CW$40,"&lt;"&amp;CW18,CW$4:CW$40,"&lt;&gt;"&amp;"")+COUNTIF(CW$4:CW18,CW18))</f>
        <v/>
      </c>
      <c r="CY18" s="55">
        <f>IF(ROW()-3&gt;COUNTIF(CW$4:CW$40,"&lt;&gt;"&amp;""),"",INDEX(CW$4:CW$40,MATCH(ROW()-3,CX$4:CX$40,0)))</f>
        <v/>
      </c>
      <c r="CZ18">
        <f>CZ17+IF(AND(CY18&lt;&gt;"",COUNTIF(CY$4:CY18,CY18)=1),1,0)</f>
        <v/>
      </c>
      <c r="DA18" s="55">
        <f>IF(ROW()-3&gt;MAX(CZ$4:CZ$40),"",INDEX(CY$4:CY$40,MATCH(ROW()-3,CZ$4:CZ$40,0)))</f>
        <v/>
      </c>
      <c r="DB18" s="55">
        <f>IF('Final Calculation Sheet'!$T$18="","",'Final Calculation Sheet'!$T$18)</f>
        <v/>
      </c>
      <c r="DC18">
        <f>IF(DB18="","",COUNTIFS(DB$4:DB$40,"&lt;"&amp;DB18,DB$4:DB$40,"&lt;&gt;"&amp;"")+COUNTIF(DB$4:DB18,DB18))</f>
        <v/>
      </c>
      <c r="DD18" s="55">
        <f>IF(ROW()-3&gt;COUNTIF(DB$4:DB$40,"&lt;&gt;"&amp;""),"",INDEX(DB$4:DB$40,MATCH(ROW()-3,DC$4:DC$40,0)))</f>
        <v/>
      </c>
      <c r="DE18">
        <f>DE17+IF(AND(DD18&lt;&gt;"",COUNTIF(DD$4:DD18,DD18)=1),1,0)</f>
        <v/>
      </c>
      <c r="DF18" s="55">
        <f>IF(ROW()-3&gt;MAX(DE$4:DE$40),"",INDEX(DD$4:DD$40,MATCH(ROW()-3,DE$4:DE$40,0)))</f>
        <v/>
      </c>
      <c r="DG18" s="140">
        <f>IF('Final Calculation Sheet'!$U$18="","",'Final Calculation Sheet'!$U$18)</f>
        <v/>
      </c>
      <c r="DH18">
        <f>IF(DG18="","",COUNTIFS(DG$4:DG$40,"&lt;"&amp;DG18,DG$4:DG$40,"&lt;&gt;"&amp;"")+COUNTIF(DG$4:DG18,DG18))</f>
        <v/>
      </c>
      <c r="DI18" s="140">
        <f>IF(ROW()-3&gt;COUNTIF(DG$4:DG$40,"&lt;&gt;"&amp;""),"",INDEX(DG$4:DG$40,MATCH(ROW()-3,DH$4:DH$40,0)))</f>
        <v/>
      </c>
      <c r="DJ18">
        <f>DJ17+IF(AND(DI18&lt;&gt;"",COUNTIF(DI$4:DI18,DI18)=1),1,0)</f>
        <v/>
      </c>
      <c r="DK18" s="140">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s="55">
        <f>IF('Final Calculation Sheet'!$W$18="","",'Final Calculation Sheet'!$W$18)</f>
        <v/>
      </c>
      <c r="DR18">
        <f>IF(DQ18="","",COUNTIFS(DQ$4:DQ$40,"&lt;"&amp;DQ18,DQ$4:DQ$40,"&lt;&gt;"&amp;"")+COUNTIF(DQ$4:DQ18,DQ18))</f>
        <v/>
      </c>
      <c r="DS18" s="55">
        <f>IF(ROW()-3&gt;COUNTIF(DQ$4:DQ$40,"&lt;&gt;"&amp;""),"",INDEX(DQ$4:DQ$40,MATCH(ROW()-3,DR$4:DR$40,0)))</f>
        <v/>
      </c>
      <c r="DT18">
        <f>DT17+IF(AND(DS18&lt;&gt;"",COUNTIF(DS$4:DS18,DS18)=1),1,0)</f>
        <v/>
      </c>
      <c r="DU18" s="55">
        <f>IF(ROW()-3&gt;MAX(DT$4:DT$40),"",INDEX(DS$4:DS$40,MATCH(ROW()-3,DT$4:DT$40,0)))</f>
        <v/>
      </c>
      <c r="DV18" s="55">
        <f>IF('Final Calculation Sheet'!$X$18="","",'Final Calculation Sheet'!$X$18)</f>
        <v/>
      </c>
      <c r="DW18">
        <f>IF(DV18="","",COUNTIFS(DV$4:DV$40,"&lt;"&amp;DV18,DV$4:DV$40,"&lt;&gt;"&amp;"")+COUNTIF(DV$4:DV18,DV18))</f>
        <v/>
      </c>
      <c r="DX18" s="55">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s="55">
        <f>IF('Final Calculation Sheet'!$Z$18="","",'Final Calculation Sheet'!$Z$18)</f>
        <v/>
      </c>
      <c r="EG18">
        <f>IF(EF18="","",COUNTIFS(EF$4:EF$40,"&lt;"&amp;EF18,EF$4:EF$40,"&lt;&gt;"&amp;"")+COUNTIF(EF$4:EF18,EF18))</f>
        <v/>
      </c>
      <c r="EH18" s="55">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s="55">
        <f>IF('Final Calculation Sheet'!$AC$18="","",'Final Calculation Sheet'!$AC$18)</f>
        <v/>
      </c>
      <c r="EV18">
        <f>IF(EU18="","",COUNTIFS(EU$4:EU$40,"&lt;"&amp;EU18,EU$4:EU$40,"&lt;&gt;"&amp;"")+COUNTIF(EU$4:EU18,EU18))</f>
        <v/>
      </c>
      <c r="EW18" s="55">
        <f>IF(ROW()-3&gt;COUNTIF(EU$4:EU$40,"&lt;&gt;"&amp;""),"",INDEX(EU$4:EU$40,MATCH(ROW()-3,EV$4:EV$40,0)))</f>
        <v/>
      </c>
      <c r="EX18">
        <f>EX17+IF(AND(EW18&lt;&gt;"",COUNTIF(EW$4:EW18,EW18)=1),1,0)</f>
        <v/>
      </c>
      <c r="EY18" s="55">
        <f>IF(ROW()-3&gt;MAX(EX$4:EX$40),"",INDEX(EW$4:EW$40,MATCH(ROW()-3,EX$4:EX$40,0)))</f>
        <v/>
      </c>
      <c r="EZ18" s="55">
        <f>IF('Final Calculation Sheet'!$AD$18="","",'Final Calculation Sheet'!$AD$18)</f>
        <v/>
      </c>
      <c r="FA18">
        <f>IF(EZ18="","",COUNTIFS(EZ$4:EZ$40,"&lt;"&amp;EZ18,EZ$4:EZ$40,"&lt;&gt;"&amp;"")+COUNTIF(EZ$4:EZ18,EZ18))</f>
        <v/>
      </c>
      <c r="FB18" s="55">
        <f>IF(ROW()-3&gt;COUNTIF(EZ$4:EZ$40,"&lt;&gt;"&amp;""),"",INDEX(EZ$4:EZ$40,MATCH(ROW()-3,FA$4:FA$40,0)))</f>
        <v/>
      </c>
      <c r="FC18">
        <f>FC17+IF(AND(FB18&lt;&gt;"",COUNTIF(FB$4:FB18,FB18)=1),1,0)</f>
        <v/>
      </c>
      <c r="FD18">
        <f>IF(ROW()-3&gt;MAX(FC$4:FC$40),"",INDEX(FB$4:FB$40,MATCH(ROW()-3,FC$4:FC$40,0)))</f>
        <v/>
      </c>
      <c r="FE18">
        <f>IF('Final Calculation Sheet'!$AF$18="","",'Final Calculation Sheet'!$AF$18)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s="141">
        <f>IF('Final Calculation Sheet'!$AG$18="","",'Final Calculation Sheet'!$AG$18)</f>
        <v/>
      </c>
      <c r="FK18">
        <f>IF(FJ18="","",COUNTIFS(FJ$4:FJ$40,"&lt;"&amp;FJ18,FJ$4:FJ$40,"&lt;&gt;"&amp;"")+COUNTIF(FJ$4:FJ18,FJ18))</f>
        <v/>
      </c>
      <c r="FL18" s="141">
        <f>IF(ROW()-3&gt;COUNTIF(FJ$4:FJ$40,"&lt;&gt;"&amp;""),"",INDEX(FJ$4:FJ$40,MATCH(ROW()-3,FK$4:FK$40,0)))</f>
        <v/>
      </c>
      <c r="FM18">
        <f>FM17+IF(AND(FL18&lt;&gt;"",COUNTIF(FL$4:FL18,FL18)=1),1,0)</f>
        <v/>
      </c>
      <c r="FN18">
        <f>IF(ROW()-3&gt;MAX(FM$4:FM$40),"",INDEX(FL$4:FL$40,MATCH(ROW()-3,FM$4:FM$40,0)))</f>
        <v/>
      </c>
      <c r="FO18">
        <f>IF('Final Calculation Sheet'!$AH$18="","",'Final Calculation Sheet'!$AH$18)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c r="FY18">
        <f>IF(COUNTIF('Live Search'!BM$17:BO$17,0)+COUNTIF('Live Search'!BQ$17:CU$17,0)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8">
        <f>IF($Y$18="",FALSE,SUMPRODUCT(('Final Calculation Sheet'!$B$4:$B$40=$Y$18)*($FY$6:$FY$42=1))&gt;0)</f>
        <v/>
      </c>
      <c r="GA18">
        <f>$GA$17+--($FZ$18)</f>
        <v/>
      </c>
      <c r="GB18">
        <f>IF(ROW()-3&gt;MAX($GA$4:$GA$40),"",INDEX($Y$4:$Y$40,MATCH(ROW()-3,$GA$4:$GA$40,0)))</f>
        <v/>
      </c>
      <c r="GC18">
        <f>IF(COUNTIF('Live Search'!BM$17:BM$17,0)+COUNTIF('Live Search'!BO$17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D18">
        <f>IF($O$18="",FALSE,SUMPRODUCT(('Final Calculation Sheet'!$F$4:$F$40=$O$18)*($GC$6:$GC$42=1))&gt;0)</f>
        <v/>
      </c>
      <c r="GE18">
        <f>$GE$17+--($GD18)</f>
        <v/>
      </c>
      <c r="GF18">
        <f>IF(ROW()-3&gt;MAX($GE$4:$GE$40),"",INDEX($O$4:$O$40,MATCH(ROW()-3,$GE$4:$GE$40,0)))</f>
        <v/>
      </c>
      <c r="GG18">
        <f>IF(COUNTIF('Live Search'!BM$17:BN$17,0)+COUNTIF('Live Search'!BP$17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H18">
        <f>IF($T$18="",FALSE,SUMPRODUCT(('Final Calculation Sheet'!$G$4:$G$40=$T$18)*($GG$6:$GG$42=1))&gt;0)</f>
        <v/>
      </c>
      <c r="GI18">
        <f>$GI$17+--($GH18)</f>
        <v/>
      </c>
      <c r="GJ18">
        <f>IF(ROW()-3&gt;MAX($GI$4:$GI$40),"",INDEX($T$4:$T$40,MATCH(ROW()-3,$GI$4:$GI$40,0)))</f>
        <v/>
      </c>
      <c r="GK18">
        <f>IF(COUNTIF('Live Search'!BM$17:BP$17,0)+COUNTIF('Live Search'!BR$17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L18">
        <f>IF($AD$18="",FALSE,SUMPRODUCT(('Final Calculation Sheet'!$D$4:$D$40=$AD$18)*($GK$6:$GK$42=1))&gt;0)</f>
        <v/>
      </c>
      <c r="GM18">
        <f>$GM$17+--($GL18)</f>
        <v/>
      </c>
      <c r="GN18">
        <f>IF(ROW()-3&gt;MAX($GM$4:$GM$40),"",INDEX($AD$4:$AD$40,MATCH(ROW()-3,$GM$4:$GM$40,0)))</f>
        <v/>
      </c>
      <c r="GO18">
        <f>IF(COUNTIF('Live Search'!BM$17:BQ$17,0)+COUNTIF('Live Search'!BS$17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P18">
        <f>IF($AI$18="",FALSE,SUMPRODUCT(('Final Calculation Sheet'!$A$4:$A$40=$AI$18)*($GO$6:$GO$42=1))&gt;0)</f>
        <v/>
      </c>
      <c r="GQ18">
        <f>$GQ$17+--($GP18)</f>
        <v/>
      </c>
      <c r="GR18">
        <f>IF(ROW()-3&gt;MAX($GQ$4:$GQ$40),"",INDEX($AI$4:$AI$40,MATCH(ROW()-3,$GQ$4:$GQ$40,0)))</f>
        <v/>
      </c>
      <c r="GS18">
        <f>IF(COUNTIF('Live Search'!BM$17:BR$17,0)+COUNTIF('Live Search'!BT$17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T18">
        <f>IF($AN$18="",FALSE,SUMPRODUCT(('Final Calculation Sheet'!$E$4:$E$40=$AN$18)*($GS$6:$GS$42=1))&gt;0)</f>
        <v/>
      </c>
      <c r="GU18">
        <f>$GU$17+--($GT18)</f>
        <v/>
      </c>
      <c r="GV18">
        <f>IF(ROW()-3&gt;MAX($GU$4:$GU$40),"",INDEX($AN$4:$AN$40,MATCH(ROW()-3,$GU$4:$GU$40,0)))</f>
        <v/>
      </c>
      <c r="GW18">
        <f>IF(COUNTIF('Live Search'!BM$17:BS$17,0)+COUNTIF('Live Search'!BU$17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GX18">
        <f>IF($AS$18="",FALSE,SUMPRODUCT(('Final Calculation Sheet'!$C$4:$C$40=$AS$18)*($GW$6:$GW$42=1))&gt;0)</f>
        <v/>
      </c>
      <c r="GY18">
        <f>$GY$17+--($GX18)</f>
        <v/>
      </c>
      <c r="GZ18">
        <f>IF(ROW()-3&gt;MAX($GY$4:$GY$40),"",INDEX($AS$4:$AS$40,MATCH(ROW()-3,$GY$4:$GY$40,0)))</f>
        <v/>
      </c>
      <c r="HA18">
        <f>IF(COUNTIF('Live Search'!BM$17:BT$17,0)+COUNTIF('Live Search'!BV$17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B18">
        <f>IF($AX$18="",FALSE,SUMPRODUCT(('Final Calculation Sheet'!$H$4:$H$40=$AX$18)*($HA$6:$HA$42=1))&gt;0)</f>
        <v/>
      </c>
      <c r="HC18">
        <f>$HC$17+--($HB18)</f>
        <v/>
      </c>
      <c r="HD18">
        <f>IF(ROW()-3&gt;MAX($HC$4:$HC$40),"",INDEX($AX$4:$AX$40,MATCH(ROW()-3,$HC$4:$HC$40,0)))</f>
        <v/>
      </c>
      <c r="HE18">
        <f>IF(COUNTIF('Live Search'!BM$17:BU$17,0)+COUNTIF('Live Search'!BW$17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F18">
        <f>IF($BC$18="",FALSE,SUMPRODUCT(('Final Calculation Sheet'!$I$4:$I$40=$BC$18)*($HE$6:$HE$42=1))&gt;0)</f>
        <v/>
      </c>
      <c r="HG18">
        <f>$HG$17+--($HF18)</f>
        <v/>
      </c>
      <c r="HH18">
        <f>IF(ROW()-3&gt;MAX($HG$4:$HG$40),"",INDEX($BC$4:$BC$40,MATCH(ROW()-3,$HG$4:$HG$40,0)))</f>
        <v/>
      </c>
      <c r="HI18">
        <f>IF(COUNTIF('Live Search'!BM$17:BV$17,0)+COUNTIF('Live Search'!BX$17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J18">
        <f>IF($BH$18="",FALSE,SUMPRODUCT(('Final Calculation Sheet'!$J$4:$J$40=$BH$18)*($HI$6:$HI$42=1))&gt;0)</f>
        <v/>
      </c>
      <c r="HK18">
        <f>$HK$17+--($HJ18)</f>
        <v/>
      </c>
      <c r="HL18">
        <f>IF(ROW()-3&gt;MAX($HK$4:$HK$40),"",INDEX($BH$4:$BH$40,MATCH(ROW()-3,$HK$4:$HK$40,0)))</f>
        <v/>
      </c>
      <c r="HM18">
        <f>IF(COUNTIF('Live Search'!BM$17:BW$17,0)+COUNTIF('Live Search'!BY$17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N18">
        <f>IF($BM$18="",FALSE,SUMPRODUCT(('Final Calculation Sheet'!$K$4:$K$40=$BM$18)*($HM$6:$HM$42=1))&gt;0)</f>
        <v/>
      </c>
      <c r="HO18">
        <f>$HO$17+--($HN18)</f>
        <v/>
      </c>
      <c r="HP18">
        <f>IF(ROW()-3&gt;MAX($HO$4:$HO$40),"",INDEX($BM$4:$BM$40,MATCH(ROW()-3,$HO$4:$HO$40,0)))</f>
        <v/>
      </c>
      <c r="HQ18">
        <f>IF(COUNTIF('Live Search'!BM$17:BX$17,0)+COUNTIF('Live Search'!BZ$17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R18">
        <f>IF($BR$18="",FALSE,SUMPRODUCT(('Final Calculation Sheet'!$L$4:$L$40=$BR$18)*($HQ$6:$HQ$42=1))&gt;0)</f>
        <v/>
      </c>
      <c r="HS18">
        <f>$HS$17+--($HR18)</f>
        <v/>
      </c>
      <c r="HT18">
        <f>IF(ROW()-3&gt;MAX($HS$4:$HS$40),"",INDEX($BR$4:$BR$40,MATCH(ROW()-3,$HS$4:$HS$40,0)))</f>
        <v/>
      </c>
      <c r="HU18">
        <f>IF(COUNTIF('Live Search'!BM$17:BY$17,0)+COUNTIF('Live Search'!CA$17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V18">
        <f>IF($BW$18="",FALSE,SUMPRODUCT(('Final Calculation Sheet'!$M$4:$M$40=$BW$18)*($HU$6:$HU$42=1))&gt;0)</f>
        <v/>
      </c>
      <c r="HW18">
        <f>$HW$17+--($HV18)</f>
        <v/>
      </c>
      <c r="HX18">
        <f>IF(ROW()-3&gt;MAX($HW$4:$HW$40),"",INDEX($BW$4:$BW$40,MATCH(ROW()-3,$HW$4:$HW$40,0)))</f>
        <v/>
      </c>
      <c r="HY18">
        <f>IF(COUNTIF('Live Search'!BM$17:BZ$17,0)+COUNTIF('Live Search'!CB$17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HZ18">
        <f>IF($CB$18="",FALSE,SUMPRODUCT(('Final Calculation Sheet'!$N$4:$N$40=$CB$18)*($HY$6:$HY$42=1))&gt;0)</f>
        <v/>
      </c>
      <c r="IA18">
        <f>$IA$17+--($HZ18)</f>
        <v/>
      </c>
      <c r="IB18">
        <f>IF(ROW()-3&gt;MAX($IA$4:$IA$40),"",INDEX($CB$4:$CB$40,MATCH(ROW()-3,$IA$4:$IA$40,0)))</f>
        <v/>
      </c>
      <c r="IC18">
        <f>IF(COUNTIF('Live Search'!BM$17:CA$17,0)+COUNTIF('Live Search'!CC$17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D18">
        <f>IF($CG$18="",FALSE,SUMPRODUCT(('Final Calculation Sheet'!$O$4:$O$40=$CG$18)*($IC$6:$IC$42=1))&gt;0)</f>
        <v/>
      </c>
      <c r="IE18">
        <f>$IE$17+--($ID18)</f>
        <v/>
      </c>
      <c r="IF18">
        <f>IF(ROW()-3&gt;MAX($IE$4:$IE$40),"",INDEX($CG$4:$CG$40,MATCH(ROW()-3,$IE$4:$IE$40,0)))</f>
        <v/>
      </c>
      <c r="IG18">
        <f>IF(COUNTIF('Live Search'!BM$17:CB$17,0)+COUNTIF('Live Search'!CD$17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H18">
        <f>IF($CL$18="",FALSE,SUMPRODUCT(('Final Calculation Sheet'!$P$4:$P$40=$CL$18)*($IG$6:$IG$42=1))&gt;0)</f>
        <v/>
      </c>
      <c r="II18">
        <f>$II$17+--($IH18)</f>
        <v/>
      </c>
      <c r="IJ18">
        <f>IF(ROW()-3&gt;MAX($II$4:$II$40),"",INDEX($CL$4:$CL$40,MATCH(ROW()-3,$II$4:$II$40,0)))</f>
        <v/>
      </c>
      <c r="IK18">
        <f>IF(COUNTIF('Live Search'!BM$17:CC$17,0)+COUNTIF('Live Search'!CE$17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L18">
        <f>IF($CQ$18="",FALSE,SUMPRODUCT(('Final Calculation Sheet'!$Q$4:$Q$40=$CQ$18)*($IK$6:$IK$42=1))&gt;0)</f>
        <v/>
      </c>
      <c r="IM18">
        <f>$IM$17+--($IL18)</f>
        <v/>
      </c>
      <c r="IN18">
        <f>IF(ROW()-3&gt;MAX($IM$4:$IM$40),"",INDEX($CQ$4:$CQ$40,MATCH(ROW()-3,$IM$4:$IM$40,0)))</f>
        <v/>
      </c>
      <c r="IO18">
        <f>IF(COUNTIF('Live Search'!BM$17:CD$17,0)+COUNTIF('Live Search'!CF$17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P18">
        <f>IF($CV$18="",FALSE,SUMPRODUCT(('Final Calculation Sheet'!$R$4:$R$40=$CV$18)*($IO$6:$IO$42=1))&gt;0)</f>
        <v/>
      </c>
      <c r="IQ18">
        <f>$IQ$17+--($IP18)</f>
        <v/>
      </c>
      <c r="IR18">
        <f>IF(ROW()-3&gt;MAX($IQ$4:$IQ$40),"",INDEX($CV$4:$CV$40,MATCH(ROW()-3,$IQ$4:$IQ$40,0)))</f>
        <v/>
      </c>
      <c r="IS18">
        <f>IF(COUNTIF('Live Search'!BM$17:CE$17,0)+COUNTIF('Live Search'!CG$17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T18">
        <f>IF($DA$18="",FALSE,SUMPRODUCT(('Final Calculation Sheet'!$S$4:$S$40=$DA$18)*($IS$6:$IS$42=1))&gt;0)</f>
        <v/>
      </c>
      <c r="IU18">
        <f>$IU$17+--($IT18)</f>
        <v/>
      </c>
      <c r="IV18">
        <f>IF(ROW()-3&gt;MAX($IU$4:$IU$40),"",INDEX($DA$4:$DA$40,MATCH(ROW()-3,$IU$4:$IU$40,0)))</f>
        <v/>
      </c>
      <c r="IW18">
        <f>IF(COUNTIF('Live Search'!BM$17:CF$17,0)+COUNTIF('Live Search'!CH$17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IX18">
        <f>IF($DF$18="",FALSE,SUMPRODUCT(('Final Calculation Sheet'!$T$4:$T$40=$DF$18)*($IW$6:$IW$42=1))&gt;0)</f>
        <v/>
      </c>
      <c r="IY18">
        <f>$IY$17+--($IX18)</f>
        <v/>
      </c>
      <c r="IZ18">
        <f>IF(ROW()-3&gt;MAX($IY$4:$IY$40),"",INDEX($DF$4:$DF$40,MATCH(ROW()-3,$IY$4:$IY$40,0)))</f>
        <v/>
      </c>
      <c r="JA18">
        <f>IF(COUNTIF('Live Search'!BM$17:CG$17,0)+COUNTIF('Live Search'!CI$17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B18">
        <f>IF($DK$18="",FALSE,SUMPRODUCT(('Final Calculation Sheet'!$U$4:$U$40=$DK$18)*($JA$6:$JA$42=1))&gt;0)</f>
        <v/>
      </c>
      <c r="JC18">
        <f>$JC$17+--($JB18)</f>
        <v/>
      </c>
      <c r="JD18">
        <f>IF(ROW()-3&gt;MAX($JC$4:$JC$40),"",INDEX($DK$4:$DK$40,MATCH(ROW()-3,$JC$4:$JC$40,0)))</f>
        <v/>
      </c>
      <c r="JE18">
        <f>IF(COUNTIF('Live Search'!BM$17:CH$17,0)+COUNTIF('Live Search'!CJ$17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F18">
        <f>IF($DP$18="",FALSE,SUMPRODUCT(('Final Calculation Sheet'!$V$4:$V$40=$DP$18)*($JE$6:$JE$42=1))&gt;0)</f>
        <v/>
      </c>
      <c r="JG18">
        <f>$JG$17+--($JF18)</f>
        <v/>
      </c>
      <c r="JH18">
        <f>IF(ROW()-3&gt;MAX($JG$4:$JG$40),"",INDEX($DP$4:$DP$40,MATCH(ROW()-3,$JG$4:$JG$40,0)))</f>
        <v/>
      </c>
      <c r="JI18">
        <f>IF(COUNTIF('Live Search'!BM$17:CI$17,0)+COUNTIF('Live Search'!CK$17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J18">
        <f>IF($DU$18="",FALSE,SUMPRODUCT(('Final Calculation Sheet'!$W$4:$W$40=$DU$18)*($JI$6:$JI$42=1))&gt;0)</f>
        <v/>
      </c>
      <c r="JK18">
        <f>$JK$17+--($JJ18)</f>
        <v/>
      </c>
      <c r="JL18">
        <f>IF(ROW()-3&gt;MAX($JK$4:$JK$40),"",INDEX($DU$4:$DU$40,MATCH(ROW()-3,$JK$4:$JK$40,0)))</f>
        <v/>
      </c>
      <c r="JM18">
        <f>IF(COUNTIF('Live Search'!BM$17:CJ$17,0)+COUNTIF('Live Search'!CL$17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N18">
        <f>IF($DZ$18="",FALSE,SUMPRODUCT(('Final Calculation Sheet'!$X$4:$X$40=$DZ$18)*($JM$6:$JM$42=1))&gt;0)</f>
        <v/>
      </c>
      <c r="JO18">
        <f>$JO$17+--($JN18)</f>
        <v/>
      </c>
      <c r="JP18">
        <f>IF(ROW()-3&gt;MAX($JO$4:$JO$40),"",INDEX($DZ$4:$DZ$40,MATCH(ROW()-3,$JO$4:$JO$40,0)))</f>
        <v/>
      </c>
      <c r="JQ18">
        <f>IF(COUNTIF('Live Search'!BM$17:CK$17,0)+COUNTIF('Live Search'!C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R18">
        <f>IF($EE$18="",FALSE,SUMPRODUCT(('Final Calculation Sheet'!$Y$4:$Y$40=$EE$18)*($JQ$6:$JQ$42=1))&gt;0)</f>
        <v/>
      </c>
      <c r="JS18">
        <f>$JS$17+--($JR18)</f>
        <v/>
      </c>
      <c r="JT18">
        <f>IF(ROW()-3&gt;MAX($JS$4:$JS$40),"",INDEX($EE$4:$EE$40,MATCH(ROW()-3,$JS$4:$JS$40,0)))</f>
        <v/>
      </c>
      <c r="JU18">
        <f>IF(COUNTIF('Live Search'!BM$17:CL$17,0)+COUNTIF('Live Search'!CN$17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V18">
        <f>IF($EJ$18="",FALSE,SUMPRODUCT(('Final Calculation Sheet'!$Z$4:$Z$40=$EJ$18)*($JU$6:$JU$42=1))&gt;0)</f>
        <v/>
      </c>
      <c r="JW18">
        <f>$JW$17+--($JV18)</f>
        <v/>
      </c>
      <c r="JX18">
        <f>IF(ROW()-3&gt;MAX($JW$4:$JW$40),"",INDEX($EJ$4:$EJ$40,MATCH(ROW()-3,$JW$4:$JW$40,0)))</f>
        <v/>
      </c>
      <c r="JY18">
        <f>IF(COUNTIF('Live Search'!BM$17:CM$17,0)+COUNTIF('Live Search'!CO$17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JZ18">
        <f>IF($EO$18="",FALSE,SUMPRODUCT(('Final Calculation Sheet'!$AA$4:$AA$40=$EO$18)*($JY$6:$JY$42=1))&gt;0)</f>
        <v/>
      </c>
      <c r="KA18">
        <f>$KA$17+--($JZ18)</f>
        <v/>
      </c>
      <c r="KB18">
        <f>IF(ROW()-3&gt;MAX($KA$4:$KA$40),"",INDEX($EO$4:$EO$40,MATCH(ROW()-3,$KA$4:$KA$40,0)))</f>
        <v/>
      </c>
      <c r="KC18">
        <f>IF(COUNTIF('Live Search'!BM$17:CN$17,0)+COUNTIF('Live Search'!CP$17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D18">
        <f>IF($ET$18="",FALSE,SUMPRODUCT(('Final Calculation Sheet'!$AB$4:$AB$40=$ET$18)*($KC$6:$KC$42=1))&gt;0)</f>
        <v/>
      </c>
      <c r="KE18">
        <f>$KE$17+--($KD18)</f>
        <v/>
      </c>
      <c r="KF18">
        <f>IF(ROW()-3&gt;MAX($KE$4:$KE$40),"",INDEX($ET$4:$ET$40,MATCH(ROW()-3,$KE$4:$KE$40,0)))</f>
        <v/>
      </c>
      <c r="KG18">
        <f>IF(COUNTIF('Live Search'!BM$17:CO$17,0)+COUNTIF('Live Search'!CQ$17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H18">
        <f>IF($EY$18="",FALSE,SUMPRODUCT(('Final Calculation Sheet'!$AC$4:$AC$40=$EY$18)*($KG$6:$KG$42=1))&gt;0)</f>
        <v/>
      </c>
      <c r="KI18">
        <f>$KI$17+--($KH18)</f>
        <v/>
      </c>
      <c r="KJ18">
        <f>IF(ROW()-3&gt;MAX($KI$4:$KI$40),"",INDEX($EY$4:$EY$40,MATCH(ROW()-3,$KI$4:$KI$40,0)))</f>
        <v/>
      </c>
      <c r="KK18">
        <f>IF(COUNTIF('Live Search'!BM$17:CP$17,0)+COUNTIF('Live Search'!CR$17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L18">
        <f>IF($FD$18="",FALSE,SUMPRODUCT(('Final Calculation Sheet'!$AD$4:$AD$40=$FD$18)*($KK$6:$KK$42=1))&gt;0)</f>
        <v/>
      </c>
      <c r="KM18">
        <f>$KM$17+--($KL18)</f>
        <v/>
      </c>
      <c r="KN18">
        <f>IF(ROW()-3&gt;MAX($KM$4:$KM$40),"",INDEX($FD$4:$FD$40,MATCH(ROW()-3,$KM$4:$KM$40,0)))</f>
        <v/>
      </c>
      <c r="KO18">
        <f>IF(COUNTIF('Live Search'!BM$17:CT$17,0)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P18">
        <f>IF($FX$18="",FALSE,SUMPRODUCT((IF('Final Calculation Sheet'!$AD$4:$AD$40&lt;=5,"SETTLED","OUTSTANDING")=$FX$18)*($KO$6:$KO$42=1))&gt;0)</f>
        <v/>
      </c>
      <c r="KQ18">
        <f>$KQ$17+--($KP18)</f>
        <v/>
      </c>
      <c r="KR18">
        <f>IF(ROW()-3&gt;MAX($KQ$4:$KQ$40),"",INDEX($FX$4:$FX$40,MATCH(ROW()-3,$KQ$4:$KQ$40,0)))</f>
        <v/>
      </c>
      <c r="KS18">
        <f>IF(COUNTIF('Live Search'!BM$17:CQ$17,0)+COUNTIF('Live Search'!CS$17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T18">
        <f>IF($FI$18="",FALSE,SUMPRODUCT(('Final Calculation Sheet'!$AF$4:$AF$40=$FI$18)*($KS$6:$KS$42=1))&gt;0)</f>
        <v/>
      </c>
      <c r="KU18">
        <f>$KU$17+--($KT18)</f>
        <v/>
      </c>
      <c r="KV18">
        <f>IF(ROW()-3&gt;MAX($KU$4:$KU$40),"",INDEX($FI$4:$FI$40,MATCH(ROW()-3,$KU$4:$KU$40,0)))</f>
        <v/>
      </c>
      <c r="KW18">
        <f>IF(COUNTIF('Live Search'!BM$17:CR$17,0)+COUNTIF('Live Search'!CT$17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KX18">
        <f>IF($FN$18="",FALSE,SUMPRODUCT(('Final Calculation Sheet'!$AG$4:$AG$40=$FN$18)*($KW$6:$KW$42=1))&gt;0)</f>
        <v/>
      </c>
      <c r="KY18">
        <f>$KY$17+--($KX18)</f>
        <v/>
      </c>
      <c r="KZ18">
        <f>IF(ROW()-3&gt;MAX($KY$4:$KY$40),"",INDEX($FN$4:$FN$40,MATCH(ROW()-3,$KY$4:$KY$40,0)))</f>
        <v/>
      </c>
      <c r="LA18">
        <f>IF(COUNTIF('Live Search'!BM$17:CS$17,0)+COUNTIF('Live Search'!CU$17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LB18">
        <f>IF($FS$18="",FALSE,SUMPRODUCT(('Final Calculation Sheet'!$AH$4:$AH$40=$FS$18)*($LA$6:$LA$42=1))&gt;0)</f>
        <v/>
      </c>
      <c r="LC18">
        <f>$LC$17+--($LB18)</f>
        <v/>
      </c>
      <c r="LD18">
        <f>IF(ROW()-3&gt;MAX($LC$4:$LC$40),"",INDEX($FS$4:$FS$40,MATCH(ROW()-3,$LC$4:$LC$40,0)))</f>
        <v/>
      </c>
      <c r="LE18">
        <f>IF(COUNTIF('Buyer Groups'!DH71:EN71,0)&gt;0,0,1)</f>
        <v/>
      </c>
      <c r="LF18">
        <f>IF($O$18="",FALSE,SUMPRODUCT(('Final Calculation Sheet'!$F$4:$F$40=$O$18)*($LE$6:$LE$42=1))&gt;0)</f>
        <v/>
      </c>
      <c r="LG18">
        <f>$LG$17+--($LF18)</f>
        <v/>
      </c>
      <c r="LH18">
        <f>IF(ROW()-3&gt;MAX($LG$4:$LG$40),"",INDEX($O$4:$O$40,MATCH(ROW()-3,$LG$4:$LG$40,0)))</f>
        <v/>
      </c>
      <c r="LI18">
        <f>IF(COUNTIF('Buyer Groups'!DG71:DG71,0)+COUNTIF('Buyer Groups'!DI71:EN71,0)&gt;0,0,1)</f>
        <v/>
      </c>
      <c r="LJ18">
        <f>IF($T$18="",FALSE,SUMPRODUCT(('Final Calculation Sheet'!$G$4:$G$40=$T$18)*($LI$6:$LI$42=1))&gt;0)</f>
        <v/>
      </c>
      <c r="LK18">
        <f>$LK$17+--($LJ18)</f>
        <v/>
      </c>
      <c r="LL18">
        <f>IF(ROW()-3&gt;MAX($LK$4:$LK$40),"",INDEX($T$4:$T$40,MATCH(ROW()-3,$LK$4:$LK$40,0)))</f>
        <v/>
      </c>
      <c r="LM18">
        <f>IF(COUNTIF('Buyer Groups'!DG71:DH71,0)+COUNTIF('Buyer Groups'!DJ71:EN71,0)&gt;0,0,1)</f>
        <v/>
      </c>
      <c r="LN18">
        <f>IF($Y$18="",FALSE,SUMPRODUCT(('Final Calculation Sheet'!$B$4:$B$40=$Y$18)*($LM$6:$LM$42=1))&gt;0)</f>
        <v/>
      </c>
      <c r="LO18">
        <f>$LO$17+--($LN18)</f>
        <v/>
      </c>
      <c r="LP18">
        <f>IF(ROW()-3&gt;MAX($LO$4:$LO$40),"",INDEX($Y$4:$Y$40,MATCH(ROW()-3,$LO$4:$LO$40,0)))</f>
        <v/>
      </c>
      <c r="LQ18">
        <f>IF(COUNTIF('Buyer Groups'!DG71:DI71,0)+COUNTIF('Buyer Groups'!DK71:EN71,0)&gt;0,0,1)</f>
        <v/>
      </c>
      <c r="LR18">
        <f>IF($AD$18="",FALSE,SUMPRODUCT(('Final Calculation Sheet'!$D$4:$D$40=$AD$18)*($LQ$6:$LQ$42=1))&gt;0)</f>
        <v/>
      </c>
      <c r="LS18">
        <f>$LS$17+--($LR18)</f>
        <v/>
      </c>
      <c r="LT18">
        <f>IF(ROW()-3&gt;MAX($LS$4:$LS$40),"",INDEX($AD$4:$AD$40,MATCH(ROW()-3,$LS$4:$LS$40,0)))</f>
        <v/>
      </c>
      <c r="LU18">
        <f>IF(COUNTIF('Buyer Groups'!DG71:DJ71,0)+COUNTIF('Buyer Groups'!DL71:EN71,0)&gt;0,0,1)</f>
        <v/>
      </c>
      <c r="LV18">
        <f>IF($AI$18="",FALSE,SUMPRODUCT(('Final Calculation Sheet'!$A$4:$A$40=$AI$18)*($LU$6:$LU$42=1))&gt;0)</f>
        <v/>
      </c>
      <c r="LW18">
        <f>$LW$17+--($LV18)</f>
        <v/>
      </c>
      <c r="LX18">
        <f>IF(ROW()-3&gt;MAX($LW$4:$LW$40),"",INDEX($AI$4:$AI$40,MATCH(ROW()-3,$LW$4:$LW$40,0)))</f>
        <v/>
      </c>
      <c r="LY18">
        <f>IF(COUNTIF('Buyer Groups'!DG71:DK71,0)+COUNTIF('Buyer Groups'!DM71:EN71,0)&gt;0,0,1)</f>
        <v/>
      </c>
      <c r="LZ18">
        <f>IF($AN$18="",FALSE,SUMPRODUCT(('Final Calculation Sheet'!$E$4:$E$40=$AN$18)*($LY$6:$LY$42=1))&gt;0)</f>
        <v/>
      </c>
      <c r="MA18">
        <f>$MA$17+--($LZ18)</f>
        <v/>
      </c>
      <c r="MB18">
        <f>IF(ROW()-3&gt;MAX($MA$4:$MA$40),"",INDEX($AN$4:$AN$40,MATCH(ROW()-3,$MA$4:$MA$40,0)))</f>
        <v/>
      </c>
      <c r="MC18">
        <f>IF(COUNTIF('Buyer Groups'!DG71:DL71,0)+COUNTIF('Buyer Groups'!DN71:EN71,0)&gt;0,0,1)</f>
        <v/>
      </c>
      <c r="MD18">
        <f>IF($AS$18="",FALSE,SUMPRODUCT(('Final Calculation Sheet'!$C$4:$C$40=$AS$18)*($MC$6:$MC$42=1))&gt;0)</f>
        <v/>
      </c>
      <c r="ME18">
        <f>$ME$17+--($MD18)</f>
        <v/>
      </c>
      <c r="MF18">
        <f>IF(ROW()-3&gt;MAX($ME$4:$ME$40),"",INDEX($AS$4:$AS$40,MATCH(ROW()-3,$ME$4:$ME$40,0)))</f>
        <v/>
      </c>
      <c r="MG18">
        <f>IF(COUNTIF('Buyer Groups'!DG71:DM71,0)+COUNTIF('Buyer Groups'!DO71:EN71,0)&gt;0,0,1)</f>
        <v/>
      </c>
      <c r="MH18">
        <f>IF($AX$18="",FALSE,SUMPRODUCT(('Final Calculation Sheet'!$H$4:$H$40=$AX$18)*($MG$6:$MG$42=1))&gt;0)</f>
        <v/>
      </c>
      <c r="MI18">
        <f>$MI$17+--($MH18)</f>
        <v/>
      </c>
      <c r="MJ18">
        <f>IF(ROW()-3&gt;MAX($MI$4:$MI$40),"",INDEX($AX$4:$AX$40,MATCH(ROW()-3,$MI$4:$MI$40,0)))</f>
        <v/>
      </c>
      <c r="MK18">
        <f>IF(COUNTIF('Buyer Groups'!DG71:DN71,0)+COUNTIF('Buyer Groups'!DP71:EN71,0)&gt;0,0,1)</f>
        <v/>
      </c>
      <c r="ML18">
        <f>IF($BC$18="",FALSE,SUMPRODUCT(('Final Calculation Sheet'!$I$4:$I$40=$BC$18)*($MK$6:$MK$42=1))&gt;0)</f>
        <v/>
      </c>
      <c r="MM18">
        <f>$MM$17+--($ML18)</f>
        <v/>
      </c>
      <c r="MN18">
        <f>IF(ROW()-3&gt;MAX($MM$4:$MM$40),"",INDEX($BC$4:$BC$40,MATCH(ROW()-3,$MM$4:$MM$40,0)))</f>
        <v/>
      </c>
      <c r="MO18">
        <f>IF(COUNTIF('Buyer Groups'!DG71:DO71,0)+COUNTIF('Buyer Groups'!DQ71:EN71,0)&gt;0,0,1)</f>
        <v/>
      </c>
      <c r="MP18">
        <f>IF($BH$18="",FALSE,SUMPRODUCT(('Final Calculation Sheet'!$J$4:$J$40=$BH$18)*($MO$6:$MO$42=1))&gt;0)</f>
        <v/>
      </c>
      <c r="MQ18">
        <f>$MQ$17+--($MP18)</f>
        <v/>
      </c>
      <c r="MR18">
        <f>IF(ROW()-3&gt;MAX($MQ$4:$MQ$40),"",INDEX($BH$4:$BH$40,MATCH(ROW()-3,$MQ$4:$MQ$40,0)))</f>
        <v/>
      </c>
      <c r="MS18">
        <f>IF(COUNTIF('Buyer Groups'!DG71:DP71,0)+COUNTIF('Buyer Groups'!DR71:EN71,0)&gt;0,0,1)</f>
        <v/>
      </c>
      <c r="MT18">
        <f>IF($BM$18="",FALSE,SUMPRODUCT(('Final Calculation Sheet'!$K$4:$K$40=$BM$18)*($MS$6:$MS$42=1))&gt;0)</f>
        <v/>
      </c>
      <c r="MU18">
        <f>$MU$17+--($MT18)</f>
        <v/>
      </c>
      <c r="MV18">
        <f>IF(ROW()-3&gt;MAX($MU$4:$MU$40),"",INDEX($BM$4:$BM$40,MATCH(ROW()-3,$MU$4:$MU$40,0)))</f>
        <v/>
      </c>
      <c r="MW18">
        <f>IF(COUNTIF('Buyer Groups'!DG71:DQ71,0)+COUNTIF('Buyer Groups'!DS71:EN71,0)&gt;0,0,1)</f>
        <v/>
      </c>
      <c r="MX18">
        <f>IF($BR$18="",FALSE,SUMPRODUCT(('Final Calculation Sheet'!$L$4:$L$40=$BR$18)*($MW$6:$MW$42=1))&gt;0)</f>
        <v/>
      </c>
      <c r="MY18">
        <f>$MY$17+--($MX18)</f>
        <v/>
      </c>
      <c r="MZ18">
        <f>IF(ROW()-3&gt;MAX($MY$4:$MY$40),"",INDEX($BR$4:$BR$40,MATCH(ROW()-3,$MY$4:$MY$40,0)))</f>
        <v/>
      </c>
      <c r="NA18">
        <f>IF(COUNTIF('Buyer Groups'!DG71:DR71,0)+COUNTIF('Buyer Groups'!DT71:EN71,0)&gt;0,0,1)</f>
        <v/>
      </c>
      <c r="NB18">
        <f>IF($BW$18="",FALSE,SUMPRODUCT(('Final Calculation Sheet'!$M$4:$M$40=$BW$18)*($NA$6:$NA$42=1))&gt;0)</f>
        <v/>
      </c>
      <c r="NC18">
        <f>$NC$17+--($NB18)</f>
        <v/>
      </c>
      <c r="ND18">
        <f>IF(ROW()-3&gt;MAX($NC$4:$NC$40),"",INDEX($BW$4:$BW$40,MATCH(ROW()-3,$NC$4:$NC$40,0)))</f>
        <v/>
      </c>
      <c r="NE18">
        <f>IF(COUNTIF('Buyer Groups'!DG71:DS71,0)+COUNTIF('Buyer Groups'!DU71:EN71,0)&gt;0,0,1)</f>
        <v/>
      </c>
      <c r="NF18">
        <f>IF($CB$18="",FALSE,SUMPRODUCT(('Final Calculation Sheet'!$N$4:$N$40=$CB$18)*($NE$6:$NE$42=1))&gt;0)</f>
        <v/>
      </c>
      <c r="NG18">
        <f>$NG$17+--($NF18)</f>
        <v/>
      </c>
      <c r="NH18">
        <f>IF(ROW()-3&gt;MAX($NG$4:$NG$40),"",INDEX($CB$4:$CB$40,MATCH(ROW()-3,$NG$4:$NG$40,0)))</f>
        <v/>
      </c>
      <c r="NI18">
        <f>IF(COUNTIF('Buyer Groups'!DG71:DT71,0)+COUNTIF('Buyer Groups'!DV71:EN71,0)&gt;0,0,1)</f>
        <v/>
      </c>
      <c r="NJ18">
        <f>IF($CG$18="",FALSE,SUMPRODUCT(('Final Calculation Sheet'!$O$4:$O$40=$CG$18)*($NI$6:$NI$42=1))&gt;0)</f>
        <v/>
      </c>
      <c r="NK18">
        <f>$NK$17+--($NJ18)</f>
        <v/>
      </c>
      <c r="NL18">
        <f>IF(ROW()-3&gt;MAX($NK$4:$NK$40),"",INDEX($CG$4:$CG$40,MATCH(ROW()-3,$NK$4:$NK$40,0)))</f>
        <v/>
      </c>
      <c r="NM18">
        <f>IF(COUNTIF('Buyer Groups'!DG71:DU71,0)+COUNTIF('Buyer Groups'!DW71:EN71,0)&gt;0,0,1)</f>
        <v/>
      </c>
      <c r="NN18">
        <f>IF($CL$18="",FALSE,SUMPRODUCT(('Final Calculation Sheet'!$P$4:$P$40=$CL$18)*($NM$6:$NM$42=1))&gt;0)</f>
        <v/>
      </c>
      <c r="NO18">
        <f>$NO$17+--($NN18)</f>
        <v/>
      </c>
      <c r="NP18">
        <f>IF(ROW()-3&gt;MAX($NO$4:$NO$40),"",INDEX($CL$4:$CL$40,MATCH(ROW()-3,$NO$4:$NO$40,0)))</f>
        <v/>
      </c>
      <c r="NQ18">
        <f>IF(COUNTIF('Buyer Groups'!DG71:DV71,0)+COUNTIF('Buyer Groups'!DX71:EN71,0)&gt;0,0,1)</f>
        <v/>
      </c>
      <c r="NR18">
        <f>IF($CQ$18="",FALSE,SUMPRODUCT(('Final Calculation Sheet'!$Q$4:$Q$40=$CQ$18)*($NQ$6:$NQ$42=1))&gt;0)</f>
        <v/>
      </c>
      <c r="NS18">
        <f>$NS$17+--($NR18)</f>
        <v/>
      </c>
      <c r="NT18">
        <f>IF(ROW()-3&gt;MAX($NS$4:$NS$40),"",INDEX($CQ$4:$CQ$40,MATCH(ROW()-3,$NS$4:$NS$40,0)))</f>
        <v/>
      </c>
      <c r="NU18">
        <f>IF(COUNTIF('Buyer Groups'!DG71:DW71,0)+COUNTIF('Buyer Groups'!DY71:EN71,0)&gt;0,0,1)</f>
        <v/>
      </c>
      <c r="NV18">
        <f>IF($CV$18="",FALSE,SUMPRODUCT(('Final Calculation Sheet'!$R$4:$R$40=$CV$18)*($NU$6:$NU$42=1))&gt;0)</f>
        <v/>
      </c>
      <c r="NW18">
        <f>$NW$17+--($NV18)</f>
        <v/>
      </c>
      <c r="NX18">
        <f>IF(ROW()-3&gt;MAX($NW$4:$NW$40),"",INDEX($CV$4:$CV$40,MATCH(ROW()-3,$NW$4:$NW$40,0)))</f>
        <v/>
      </c>
      <c r="NY18">
        <f>IF(COUNTIF('Buyer Groups'!DG71:DX71,0)+COUNTIF('Buyer Groups'!DZ71:EN71,0)&gt;0,0,1)</f>
        <v/>
      </c>
      <c r="NZ18">
        <f>IF($DA$18="",FALSE,SUMPRODUCT(('Final Calculation Sheet'!$S$4:$S$40=$DA$18)*($NY$6:$NY$42=1))&gt;0)</f>
        <v/>
      </c>
      <c r="OA18">
        <f>$OA$17+--($NZ18)</f>
        <v/>
      </c>
      <c r="OB18">
        <f>IF(ROW()-3&gt;MAX($OA$4:$OA$40),"",INDEX($DA$4:$DA$40,MATCH(ROW()-3,$OA$4:$OA$40,0)))</f>
        <v/>
      </c>
      <c r="OC18">
        <f>IF(COUNTIF('Buyer Groups'!DG71:DY71,0)+COUNTIF('Buyer Groups'!EA71:EN71,0)&gt;0,0,1)</f>
        <v/>
      </c>
      <c r="OD18">
        <f>IF($DF$18="",FALSE,SUMPRODUCT(('Final Calculation Sheet'!$T$4:$T$40=$DF$18)*($OC$6:$OC$42=1))&gt;0)</f>
        <v/>
      </c>
      <c r="OE18">
        <f>$OE$17+--($OD18)</f>
        <v/>
      </c>
      <c r="OF18">
        <f>IF(ROW()-3&gt;MAX($OE$4:$OE$40),"",INDEX($DF$4:$DF$40,MATCH(ROW()-3,$OE$4:$OE$40,0)))</f>
        <v/>
      </c>
      <c r="OG18">
        <f>IF(COUNTIF('Buyer Groups'!DG71:DZ71,0)+COUNTIF('Buyer Groups'!EB71:EN71,0)&gt;0,0,1)</f>
        <v/>
      </c>
      <c r="OH18">
        <f>IF($DK$18="",FALSE,SUMPRODUCT(('Final Calculation Sheet'!$U$4:$U$40=$DK$18)*($OG$6:$OG$42=1))&gt;0)</f>
        <v/>
      </c>
      <c r="OI18">
        <f>$OI$17+--($OH18)</f>
        <v/>
      </c>
      <c r="OJ18">
        <f>IF(ROW()-3&gt;MAX($OI$4:$OI$40),"",INDEX($DK$4:$DK$40,MATCH(ROW()-3,$OI$4:$OI$40,0)))</f>
        <v/>
      </c>
      <c r="OK18">
        <f>IF(COUNTIF('Buyer Groups'!DG71:EA71,0)+COUNTIF('Buyer Groups'!EC71:EN71,0)&gt;0,0,1)</f>
        <v/>
      </c>
      <c r="OL18">
        <f>IF($DP$18="",FALSE,SUMPRODUCT(('Final Calculation Sheet'!$V$4:$V$40=$DP$18)*($OK$6:$OK$42=1))&gt;0)</f>
        <v/>
      </c>
      <c r="OM18">
        <f>$OM$17+--($OL18)</f>
        <v/>
      </c>
      <c r="ON18">
        <f>IF(ROW()-3&gt;MAX($OM$4:$OM$40),"",INDEX($DP$4:$DP$40,MATCH(ROW()-3,$OM$4:$OM$40,0)))</f>
        <v/>
      </c>
      <c r="OO18">
        <f>IF(COUNTIF('Buyer Groups'!DG71:EB71,0)+COUNTIF('Buyer Groups'!ED71:EN71,0)&gt;0,0,1)</f>
        <v/>
      </c>
      <c r="OP18">
        <f>IF($DU$18="",FALSE,SUMPRODUCT(('Final Calculation Sheet'!$W$4:$W$40=$DU$18)*($OO$6:$OO$42=1))&gt;0)</f>
        <v/>
      </c>
      <c r="OQ18">
        <f>$OQ$17+--($OP18)</f>
        <v/>
      </c>
      <c r="OR18">
        <f>IF(ROW()-3&gt;MAX($OQ$4:$OQ$40),"",INDEX($DU$4:$DU$40,MATCH(ROW()-3,$OQ$4:$OQ$40,0)))</f>
        <v/>
      </c>
      <c r="OS18">
        <f>IF(COUNTIF('Buyer Groups'!DG71:EC71,0)+COUNTIF('Buyer Groups'!EE71:EN71,0)&gt;0,0,1)</f>
        <v/>
      </c>
      <c r="OT18">
        <f>IF($DZ$18="",FALSE,SUMPRODUCT(('Final Calculation Sheet'!$X$4:$X$40=$DZ$18)*($OS$6:$OS$42=1))&gt;0)</f>
        <v/>
      </c>
      <c r="OU18">
        <f>$OU$17+--($OT18)</f>
        <v/>
      </c>
      <c r="OV18">
        <f>IF(ROW()-3&gt;MAX($OU$4:$OU$40),"",INDEX($DZ$4:$DZ$40,MATCH(ROW()-3,$OU$4:$OU$40,0)))</f>
        <v/>
      </c>
      <c r="OW18">
        <f>IF(COUNTIF('Buyer Groups'!DG71:ED71,0)+COUNTIF('Buyer Groups'!EF71:EN71,0)&gt;0,0,1)</f>
        <v/>
      </c>
      <c r="OX18">
        <f>IF($EE$18="",FALSE,SUMPRODUCT(('Final Calculation Sheet'!$Y$4:$Y$40=$EE$18)*($OW$6:$OW$42=1))&gt;0)</f>
        <v/>
      </c>
      <c r="OY18">
        <f>$OY$17+--($OX18)</f>
        <v/>
      </c>
      <c r="OZ18">
        <f>IF(ROW()-3&gt;MAX($OY$4:$OY$40),"",INDEX($EE$4:$EE$40,MATCH(ROW()-3,$OY$4:$OY$40,0)))</f>
        <v/>
      </c>
      <c r="PA18">
        <f>IF(COUNTIF('Buyer Groups'!DG71:EE71,0)+COUNTIF('Buyer Groups'!EG71:EN71,0)&gt;0,0,1)</f>
        <v/>
      </c>
      <c r="PB18">
        <f>IF($EJ$18="",FALSE,SUMPRODUCT(('Final Calculation Sheet'!$Z$4:$Z$40=$EJ$18)*($PA$6:$PA$42=1))&gt;0)</f>
        <v/>
      </c>
      <c r="PC18">
        <f>$PC$17+--($PB18)</f>
        <v/>
      </c>
      <c r="PD18">
        <f>IF(ROW()-3&gt;MAX($PC$4:$PC$40),"",INDEX($EJ$4:$EJ$40,MATCH(ROW()-3,$PC$4:$PC$40,0)))</f>
        <v/>
      </c>
      <c r="PE18">
        <f>IF(COUNTIF('Buyer Groups'!DG71:EF71,0)+COUNTIF('Buyer Groups'!EH71:EN71,0)&gt;0,0,1)</f>
        <v/>
      </c>
      <c r="PF18">
        <f>IF($EO$18="",FALSE,SUMPRODUCT(('Final Calculation Sheet'!$AA$4:$AA$40=$EO$18)*($PE$6:$PE$42=1))&gt;0)</f>
        <v/>
      </c>
      <c r="PG18">
        <f>$PG$17+--($PF18)</f>
        <v/>
      </c>
      <c r="PH18">
        <f>IF(ROW()-3&gt;MAX($PG$4:$PG$40),"",INDEX($EO$4:$EO$40,MATCH(ROW()-3,$PG$4:$PG$40,0)))</f>
        <v/>
      </c>
      <c r="PI18">
        <f>IF(COUNTIF('Buyer Groups'!DG71:EG71,0)+COUNTIF('Buyer Groups'!EI71:EN71,0)&gt;0,0,1)</f>
        <v/>
      </c>
      <c r="PJ18">
        <f>IF($ET$18="",FALSE,SUMPRODUCT(('Final Calculation Sheet'!$AB$4:$AB$40=$ET$18)*($PI$6:$PI$42=1))&gt;0)</f>
        <v/>
      </c>
      <c r="PK18">
        <f>$PK$17+--($PJ18)</f>
        <v/>
      </c>
      <c r="PL18">
        <f>IF(ROW()-3&gt;MAX($PK$4:$PK$40),"",INDEX($ET$4:$ET$40,MATCH(ROW()-3,$PK$4:$PK$40,0)))</f>
        <v/>
      </c>
      <c r="PM18">
        <f>IF(COUNTIF('Buyer Groups'!DG71:EH71,0)+COUNTIF('Buyer Groups'!EJ71:EN71,0)&gt;0,0,1)</f>
        <v/>
      </c>
      <c r="PN18">
        <f>IF($EY$18="",FALSE,SUMPRODUCT(('Final Calculation Sheet'!$AC$4:$AC$40=$EY$18)*($PM$6:$PM$42=1))&gt;0)</f>
        <v/>
      </c>
      <c r="PO18">
        <f>$PO$17+--($PN18)</f>
        <v/>
      </c>
      <c r="PP18">
        <f>IF(ROW()-3&gt;MAX($PO$4:$PO$40),"",INDEX($EY$4:$EY$40,MATCH(ROW()-3,$PO$4:$PO$40,0)))</f>
        <v/>
      </c>
      <c r="PQ18">
        <f>IF(COUNTIF('Buyer Groups'!DG71:EI71,0)+COUNTIF('Buyer Groups'!EK71:EN71,0)&gt;0,0,1)</f>
        <v/>
      </c>
      <c r="PR18">
        <f>IF($FD$18="",FALSE,SUMPRODUCT(('Final Calculation Sheet'!$AD$4:$AD$40=$FD$18)*($PQ$6:$PQ$42=1))&gt;0)</f>
        <v/>
      </c>
      <c r="PS18">
        <f>$PS$17+--($PR18)</f>
        <v/>
      </c>
      <c r="PT18">
        <f>IF(ROW()-3&gt;MAX($PS$4:$PS$40),"",INDEX($FD$4:$FD$40,MATCH(ROW()-3,$PS$4:$PS$40,0)))</f>
        <v/>
      </c>
      <c r="PU18">
        <f>IF(COUNTIF('Buyer Groups'!DG71:EJ71,0)+COUNTIF('Buyer Groups'!EL71:EN71,0)&gt;0,0,1)</f>
        <v/>
      </c>
      <c r="PV18">
        <f>IF($FX$18="",FALSE,SUMPRODUCT((IF('Final Calculation Sheet'!$AD$4:$AD$40&lt;=5,"SETTLED","OUTSTANDING")=$FX$18)*($PU$6:$PU$42=1))&gt;0)</f>
        <v/>
      </c>
      <c r="PW18">
        <f>$PW$17+--($PV18)</f>
        <v/>
      </c>
      <c r="PX18">
        <f>IF(ROW()-3&gt;MAX($PW$4:$PW$40),"",INDEX($FX$4:$FX$40,MATCH(ROW()-3,$PW$4:$PW$40,0)))</f>
        <v/>
      </c>
      <c r="PY18">
        <f>IF(COUNTIF('Buyer Groups'!DG71:EK71,0)+COUNTIF('Buyer Groups'!EM71:EN71,0)&gt;0,0,1)</f>
        <v/>
      </c>
      <c r="PZ18">
        <f>IF($FI$18="",FALSE,SUMPRODUCT(('Final Calculation Sheet'!$AF$4:$AF$40=$FI$18)*($PY$6:$PY$42=1))&gt;0)</f>
        <v/>
      </c>
      <c r="QA18">
        <f>$QA$17+--($PZ18)</f>
        <v/>
      </c>
      <c r="QB18">
        <f>IF(ROW()-3&gt;MAX($QA$4:$QA$40),"",INDEX($FI$4:$FI$40,MATCH(ROW()-3,$QA$4:$QA$40,0)))</f>
        <v/>
      </c>
      <c r="QC18">
        <f>IF(COUNTIF('Buyer Groups'!DG71:EL71,0)+COUNTIF('Buyer Groups'!EN71:EN71,0)&gt;0,0,1)</f>
        <v/>
      </c>
      <c r="QD18">
        <f>IF($FN$18="",FALSE,SUMPRODUCT(('Final Calculation Sheet'!$AG$4:$AG$40=$FN$18)*($QC$6:$QC$42=1))&gt;0)</f>
        <v/>
      </c>
      <c r="QE18">
        <f>$QE$17+--($QD18)</f>
        <v/>
      </c>
      <c r="QF18">
        <f>IF(ROW()-3&gt;MAX($QE$4:$QE$40),"",INDEX($FN$4:$FN$40,MATCH(ROW()-3,$QE$4:$QE$40,0)))</f>
        <v/>
      </c>
      <c r="QG18">
        <f>IF(COUNTIF('Buyer Groups'!DG71:EM71,0)&gt;0,0,1)</f>
        <v/>
      </c>
      <c r="QH18">
        <f>IF($FS$18="",FALSE,SUMPRODUCT(('Final Calculation Sheet'!$AH$4:$AH$40=$FS$18)*($QG$6:$QG$42=1))&gt;0)</f>
        <v/>
      </c>
      <c r="QI18">
        <f>$QI$17+--($QH18)</f>
        <v/>
      </c>
      <c r="QJ18">
        <f>IF(ROW()-3&gt;MAX($QI$4:$QI$40),"",INDEX($FS$4:$FS$40,MATCH(ROW()-3,$QI$4:$QI$40,0)))</f>
        <v/>
      </c>
      <c r="QK18" t="str">
        <f>IF('Final Calculation Sheet'!$AH$18="","",'Final Calculation Sheet'!$AH$18)</f>
      </c>
      <c r="QL18" t="str">
        <f>IF(QK18="","",COUNTIFS(QK$4:QK$40,"&lt;"&amp;QK18,QK$4:QK$40,"&lt;&gt;"&amp;"")+COUNTIF(QK$4:QK18,QK18))</f>
      </c>
      <c r="QM18" t="str">
        <f>IF(ROW()-3&gt;COUNTIF(QK$4:QK$40,"&lt;&gt;"&amp;""),"",INDEX(QK$4:QK$40,MATCH(ROW()-3,QL$4:QL$40,0)))</f>
      </c>
      <c r="QN18" t="str">
        <f>=QN17+F(AND(QM18&lt;&gt;"",COUNTIF(QM$4:QM18,QM18)=1),1,0)</f>
      </c>
      <c r="QO18" t="str">
        <f>IF(ROW()-3&gt;MAX(QN$4:QN$40),"",INDEX(QM$4:QM$40,MATCH(ROW()-3,QN$4:QN$40,0)))</f>
      </c>
      <c r="QP18" t="str">
        <f>IF(COUNTIF('Final Calculation Sheet'!$AM18:$BS18,0)&gt;0,0,1)</f>
      </c>
      <c r="QQ18" t="str">
        <f>IF($AI$18="",FALSE,SUMPRODUCT(('Final Calculation Sheet'!$A$4:$A$40=$AI$18)*($QP$4:$QP$40=1))&gt;0)</f>
      </c>
      <c r="QR18" t="str">
        <f>=$QR17+--($QQ18)</f>
      </c>
      <c r="QS18" t="str">
        <f>IF(ROW()-3&gt;MAX($QR$4:$QR$40),"",INDEX($AI$4:$AI$40,MATCH(ROW()-3,$QR$4:$QR$40,0)))</f>
      </c>
      <c r="QT18" t="str">
        <f>IF(COUNTIF('Final Calculation Sheet'!$AL18:$AL18,0)+COUNTIF('Final Calculation Sheet'!$AN18:$BS18,0)&gt;0,0,1)</f>
      </c>
      <c r="QU18" t="str">
        <f>IF($Y$18="",FALSE,SUMPRODUCT(('Final Calculation Sheet'!$B$4:$B$40=$Y$18)*($QT$4:$QT$40=1))&gt;0)</f>
      </c>
      <c r="QV18" t="str">
        <f>=$QV17+--($QU18)</f>
      </c>
      <c r="QW18" t="str">
        <f>IF(ROW()-3&gt;MAX($QV$4:$QV$40),"",INDEX($Y$4:$Y$40,MATCH(ROW()-3,$QV$4:$QV$40,0)))</f>
      </c>
      <c r="QX18" t="str">
        <f>IF(COUNTIF('Final Calculation Sheet'!$AL18:$AM18,0)+COUNTIF('Final Calculation Sheet'!$AO18:$BS18,0)&gt;0,0,1)</f>
      </c>
      <c r="QY18" t="str">
        <f>IF($AS$18="",FALSE,SUMPRODUCT(('Final Calculation Sheet'!$C$4:$C$40=$AS$18)*($QX$4:$QX$40=1))&gt;0)</f>
      </c>
      <c r="QZ18" t="str">
        <f>=$QZ17+--($QY18)</f>
      </c>
      <c r="RA18" t="str">
        <f>IF(ROW()-3&gt;MAX($QZ$4:$QZ$40),"",INDEX($AS$4:$AS$40,MATCH(ROW()-3,$QZ$4:$QZ$40,0)))</f>
      </c>
      <c r="RB18" t="str">
        <f>IF(COUNTIF('Final Calculation Sheet'!$AL18:$AN18,0)+COUNTIF('Final Calculation Sheet'!$AP18:$BS18,0)&gt;0,0,1)</f>
      </c>
      <c r="RC18" t="str">
        <f>IF($AD$18="",FALSE,SUMPRODUCT(('Final Calculation Sheet'!$D$4:$D$40=$AD$18)*($RB$4:$RB$40=1))&gt;0)</f>
      </c>
      <c r="RD18" t="str">
        <f>=$RD17+--($RC18)</f>
      </c>
      <c r="RE18" t="str">
        <f>IF(ROW()-3&gt;MAX($RD$4:$RD$40),"",INDEX($AD$4:$AD$40,MATCH(ROW()-3,$RD$4:$RD$40,0)))</f>
      </c>
      <c r="RF18" t="str">
        <f>IF(COUNTIF('Final Calculation Sheet'!$AL18:$AO18,0)+COUNTIF('Final Calculation Sheet'!$AQ18:$BS18,0)&gt;0,0,1)</f>
      </c>
      <c r="RG18" t="str">
        <f>IF($AN$18="",FALSE,SUMPRODUCT(('Final Calculation Sheet'!$E$4:$E$40=$AN$18)*($RF$4:$RF$40=1))&gt;0)</f>
      </c>
      <c r="RH18" t="str">
        <f>=$RH17+--($RG18)</f>
      </c>
      <c r="RI18" t="str">
        <f>IF(ROW()-3&gt;MAX($RH$4:$RH$40),"",INDEX($AN$4:$AN$40,MATCH(ROW()-3,$RH$4:$RH$40,0)))</f>
      </c>
      <c r="RJ18" t="str">
        <f>IF(COUNTIF('Final Calculation Sheet'!$AL18:$AP18,0)+COUNTIF('Final Calculation Sheet'!$AR18:$BS18,0)&gt;0,0,1)</f>
      </c>
      <c r="RK18" t="str">
        <f>IF($O$18="",FALSE,SUMPRODUCT(('Final Calculation Sheet'!$F$4:$F$40=$O$18)*($RJ$4:$RJ$40=1))&gt;0)</f>
      </c>
      <c r="RL18" t="str">
        <f>=$RL17+--($RK18)</f>
      </c>
      <c r="RM18" t="str">
        <f>IF(ROW()-3&gt;MAX($RL$4:$RL$40),"",INDEX($O$4:$O$40,MATCH(ROW()-3,$RL$4:$RL$40,0)))</f>
      </c>
      <c r="RN18" t="str">
        <f>IF(COUNTIF('Final Calculation Sheet'!$AL18:$AQ18,0)+COUNTIF('Final Calculation Sheet'!$AS18:$BS18,0)&gt;0,0,1)</f>
      </c>
      <c r="RO18" t="str">
        <f>IF($T$18="",FALSE,SUMPRODUCT(('Final Calculation Sheet'!$G$4:$G$40=$T$18)*($RN$4:$RN$40=1))&gt;0)</f>
      </c>
      <c r="RP18" t="str">
        <f>=$RP17+--($RO18)</f>
      </c>
      <c r="RQ18" t="str">
        <f>IF(ROW()-3&gt;MAX($RP$4:$RP$40),"",INDEX($T$4:$T$40,MATCH(ROW()-3,$RP$4:$RP$40,0)))</f>
      </c>
      <c r="RR18" t="str">
        <f>IF(COUNTIF('Final Calculation Sheet'!$AL18:$AR18,0)+COUNTIF('Final Calculation Sheet'!$AT18:$BS18,0)&gt;0,0,1)</f>
      </c>
      <c r="RS18" t="str">
        <f>IF($AX$18="",FALSE,SUMPRODUCT(('Final Calculation Sheet'!$H$4:$H$40=$AX$18)*($RR$4:$RR$40=1))&gt;0)</f>
      </c>
      <c r="RT18" t="str">
        <f>=$RT17+--($RS18)</f>
      </c>
      <c r="RU18" t="str">
        <f>IF(ROW()-3&gt;MAX($RT$4:$RT$40),"",INDEX($AX$4:$AX$40,MATCH(ROW()-3,$RT$4:$RT$40,0)))</f>
      </c>
      <c r="RV18" t="str">
        <f>IF(COUNTIF('Final Calculation Sheet'!$AL18:$AS18,0)+COUNTIF('Final Calculation Sheet'!$AU18:$BS18,0)&gt;0,0,1)</f>
      </c>
      <c r="RW18" t="str">
        <f>IF($BC$18="",FALSE,SUMPRODUCT(('Final Calculation Sheet'!$I$4:$I$40=$BC$18)*($RV$4:$RV$40=1))&gt;0)</f>
      </c>
      <c r="RX18" t="str">
        <f>=$RX17+--($RW18)</f>
      </c>
      <c r="RY18" t="str">
        <f>IF(ROW()-3&gt;MAX($RX$4:$RX$40),"",INDEX($BC$4:$BC$40,MATCH(ROW()-3,$RX$4:$RX$40,0)))</f>
      </c>
      <c r="RZ18" t="str">
        <f>IF(COUNTIF('Final Calculation Sheet'!$AL18:$AT18,0)+COUNTIF('Final Calculation Sheet'!$AV18:$BS18,0)&gt;0,0,1)</f>
      </c>
      <c r="SA18" t="str">
        <f>IF($BH$18="",FALSE,SUMPRODUCT(('Final Calculation Sheet'!$J$4:$J$40=$BH$18)*($RZ$4:$RZ$40=1))&gt;0)</f>
      </c>
      <c r="SB18" t="str">
        <f>=$SB17+--($SA18)</f>
      </c>
      <c r="SC18" t="str">
        <f>IF(ROW()-3&gt;MAX($SB$4:$SB$40),"",INDEX($BH$4:$BH$40,MATCH(ROW()-3,$SB$4:$SB$40,0)))</f>
      </c>
      <c r="SD18" t="str">
        <f>IF(COUNTIF('Final Calculation Sheet'!$AL18:$AU18,0)+COUNTIF('Final Calculation Sheet'!$AW18:$BS18,0)&gt;0,0,1)</f>
      </c>
      <c r="SE18" t="str">
        <f>IF($BM$18="",FALSE,SUMPRODUCT(('Final Calculation Sheet'!$K$4:$K$40=$BM$18)*($SD$4:$SD$40=1))&gt;0)</f>
      </c>
      <c r="SF18" t="str">
        <f>=$SF17+--($SE18)</f>
      </c>
      <c r="SG18" t="str">
        <f>IF(ROW()-3&gt;MAX($SF$4:$SF$40),"",INDEX($BM$4:$BM$40,MATCH(ROW()-3,$SF$4:$SF$40,0)))</f>
      </c>
      <c r="SH18" t="str">
        <f>IF(COUNTIF('Final Calculation Sheet'!$AL18:$AV18,0)+COUNTIF('Final Calculation Sheet'!$AX18:$BS18,0)&gt;0,0,1)</f>
      </c>
      <c r="SI18" t="str">
        <f>IF($BR$18="",FALSE,SUMPRODUCT(('Final Calculation Sheet'!$L$4:$L$40=$BR$18)*($SH$4:$SH$40=1))&gt;0)</f>
      </c>
      <c r="SJ18" t="str">
        <f>=$SJ17+--($SI18)</f>
      </c>
      <c r="SK18" t="str">
        <f>IF(ROW()-3&gt;MAX($SJ$4:$SJ$40),"",INDEX($BR$4:$BR$40,MATCH(ROW()-3,$SJ$4:$SJ$40,0)))</f>
      </c>
      <c r="SL18" t="str">
        <f>IF(COUNTIF('Final Calculation Sheet'!$AL18:$AW18,0)+COUNTIF('Final Calculation Sheet'!$AY18:$BS18,0)&gt;0,0,1)</f>
      </c>
      <c r="SM18" t="str">
        <f>IF($BW$18="",FALSE,SUMPRODUCT(('Final Calculation Sheet'!$M$4:$M$40=$BW$18)*($SL$4:$SL$40=1))&gt;0)</f>
      </c>
      <c r="SN18" t="str">
        <f>=$SN17+--($SM18)</f>
      </c>
      <c r="SO18" t="str">
        <f>IF(ROW()-3&gt;MAX($SN$4:$SN$40),"",INDEX($BW$4:$BW$40,MATCH(ROW()-3,$SN$4:$SN$40,0)))</f>
      </c>
      <c r="SP18" t="str">
        <f>IF(COUNTIF('Final Calculation Sheet'!$AL18:$AX18,0)+COUNTIF('Final Calculation Sheet'!$AZ18:$BS18,0)&gt;0,0,1)</f>
      </c>
      <c r="SQ18" t="str">
        <f>IF($CB$18="",FALSE,SUMPRODUCT(('Final Calculation Sheet'!$N$4:$N$40=$CB$18)*($SP$4:$SP$40=1))&gt;0)</f>
      </c>
      <c r="SR18" t="str">
        <f>=$SR17+--($SQ18)</f>
      </c>
      <c r="SS18" t="str">
        <f>IF(ROW()-3&gt;MAX($SR$4:$SR$40),"",INDEX($CB$4:$CB$40,MATCH(ROW()-3,$SR$4:$SR$40,0)))</f>
      </c>
      <c r="ST18" t="str">
        <f>IF(COUNTIF('Final Calculation Sheet'!$AL18:$AY18,0)+COUNTIF('Final Calculation Sheet'!$BA18:$BS18,0)&gt;0,0,1)</f>
      </c>
      <c r="SU18" t="str">
        <f>IF($CG$18="",FALSE,SUMPRODUCT(('Final Calculation Sheet'!$O$4:$O$40=$CG$18)*($ST$4:$ST$40=1))&gt;0)</f>
      </c>
      <c r="SV18" t="str">
        <f>=$SV17+--($SU18)</f>
      </c>
      <c r="SW18" t="str">
        <f>IF(ROW()-3&gt;MAX($SV$4:$SV$40),"",INDEX($CG$4:$CG$40,MATCH(ROW()-3,$SV$4:$SV$40,0)))</f>
      </c>
      <c r="SX18" t="str">
        <f>IF(COUNTIF('Final Calculation Sheet'!$AL18:$AZ18,0)+COUNTIF('Final Calculation Sheet'!$BB18:$BS18,0)&gt;0,0,1)</f>
      </c>
      <c r="SY18" t="str">
        <f>IF($CL$18="",FALSE,SUMPRODUCT(('Final Calculation Sheet'!$P$4:$P$40=$CL$18)*($SX$4:$SX$40=1))&gt;0)</f>
      </c>
      <c r="SZ18" t="str">
        <f>=$SZ17+--($SY18)</f>
      </c>
      <c r="TA18" t="str">
        <f>IF(ROW()-3&gt;MAX($SZ$4:$SZ$40),"",INDEX($CL$4:$CL$40,MATCH(ROW()-3,$SZ$4:$SZ$40,0)))</f>
      </c>
      <c r="TB18" t="str">
        <f>IF(COUNTIF('Final Calculation Sheet'!$AL18:$BA18,0)+COUNTIF('Final Calculation Sheet'!$BC18:$BS18,0)&gt;0,0,1)</f>
      </c>
      <c r="TC18" t="str">
        <f>IF($CQ$18="",FALSE,SUMPRODUCT(('Final Calculation Sheet'!$Q$4:$Q$40=$CQ$18)*($TB$4:$TB$40=1))&gt;0)</f>
      </c>
      <c r="TD18" t="str">
        <f>=$TD17+--($TC18)</f>
      </c>
      <c r="TE18" t="str">
        <f>IF(ROW()-3&gt;MAX($TD$4:$TD$40),"",INDEX($CQ$4:$CQ$40,MATCH(ROW()-3,$TD$4:$TD$40,0)))</f>
      </c>
      <c r="TF18" t="str">
        <f>IF(COUNTIF('Final Calculation Sheet'!$AL18:$BB18,0)+COUNTIF('Final Calculation Sheet'!$BD18:$BS18,0)&gt;0,0,1)</f>
      </c>
      <c r="TG18" t="str">
        <f>IF($CV$18="",FALSE,SUMPRODUCT(('Final Calculation Sheet'!$R$4:$R$40=$CV$18)*($TF$4:$TF$40=1))&gt;0)</f>
      </c>
      <c r="TH18" t="str">
        <f>=$TH17+--($TG18)</f>
      </c>
      <c r="TI18" t="str">
        <f>IF(ROW()-3&gt;MAX($TH$4:$TH$40),"",INDEX($CV$4:$CV$40,MATCH(ROW()-3,$TH$4:$TH$40,0)))</f>
      </c>
      <c r="TJ18" t="str">
        <f>IF(COUNTIF('Final Calculation Sheet'!$AL18:$BC18,0)+COUNTIF('Final Calculation Sheet'!$BE18:$BS18,0)&gt;0,0,1)</f>
      </c>
      <c r="TK18" t="str">
        <f>IF($DA$18="",FALSE,SUMPRODUCT(('Final Calculation Sheet'!$S$4:$S$40=$DA$18)*($TJ$4:$TJ$40=1))&gt;0)</f>
      </c>
      <c r="TL18" t="str">
        <f>=$TL17+--($TK18)</f>
      </c>
      <c r="TM18" t="str">
        <f>IF(ROW()-3&gt;MAX($TL$4:$TL$40),"",INDEX($DA$4:$DA$40,MATCH(ROW()-3,$TL$4:$TL$40,0)))</f>
      </c>
      <c r="TN18" t="str">
        <f>IF(COUNTIF('Final Calculation Sheet'!$AL18:$BD18,0)+COUNTIF('Final Calculation Sheet'!$BF18:$BS18,0)&gt;0,0,1)</f>
      </c>
      <c r="TO18" t="str">
        <f>IF($DF$18="",FALSE,SUMPRODUCT(('Final Calculation Sheet'!$T$4:$T$40=$DF$18)*($TN$4:$TN$40=1))&gt;0)</f>
      </c>
      <c r="TP18" t="str">
        <f>=$TP17+--($TO18)</f>
      </c>
      <c r="TQ18" t="str">
        <f>IF(ROW()-3&gt;MAX($TP$4:$TP$40),"",INDEX($DF$4:$DF$40,MATCH(ROW()-3,$TP$4:$TP$40,0)))</f>
      </c>
      <c r="TR18" t="str">
        <f>IF(COUNTIF('Final Calculation Sheet'!$AL18:$BE18,0)+COUNTIF('Final Calculation Sheet'!$BG18:$BS18,0)&gt;0,0,1)</f>
      </c>
      <c r="TS18" t="str">
        <f>IF($DK$18="",FALSE,SUMPRODUCT(('Final Calculation Sheet'!$U$4:$U$40=$DK$18)*($TR$4:$TR$40=1))&gt;0)</f>
      </c>
      <c r="TT18" t="str">
        <f>=$TT17+--($TS18)</f>
      </c>
      <c r="TU18" t="str">
        <f>IF(ROW()-3&gt;MAX($TT$4:$TT$40),"",INDEX($DK$4:$DK$40,MATCH(ROW()-3,$TT$4:$TT$40,0)))</f>
      </c>
      <c r="TV18" t="str">
        <f>IF(COUNTIF('Final Calculation Sheet'!$AL18:$BF18,0)+COUNTIF('Final Calculation Sheet'!$BH18:$BS18,0)&gt;0,0,1)</f>
      </c>
      <c r="TW18" t="str">
        <f>IF($DP$18="",FALSE,SUMPRODUCT(('Final Calculation Sheet'!$V$4:$V$40=$DP$18)*($TV$4:$TV$40=1))&gt;0)</f>
      </c>
      <c r="TX18" t="str">
        <f>=$TX17+--($TW18)</f>
      </c>
      <c r="TY18" t="str">
        <f>IF(ROW()-3&gt;MAX($TX$4:$TX$40),"",INDEX($DP$4:$DP$40,MATCH(ROW()-3,$TX$4:$TX$40,0)))</f>
      </c>
      <c r="TZ18" t="str">
        <f>IF(COUNTIF('Final Calculation Sheet'!$AL18:$BG18,0)+COUNTIF('Final Calculation Sheet'!$BI18:$BS18,0)&gt;0,0,1)</f>
      </c>
      <c r="UA18" t="str">
        <f>IF($DU$18="",FALSE,SUMPRODUCT(('Final Calculation Sheet'!$W$4:$W$40=$DU$18)*($TZ$4:$TZ$40=1))&gt;0)</f>
      </c>
      <c r="UB18" t="str">
        <f>=$UB17+--($UA18)</f>
      </c>
      <c r="UC18" t="str">
        <f>IF(ROW()-3&gt;MAX($UB$4:$UB$40),"",INDEX($DU$4:$DU$40,MATCH(ROW()-3,$UB$4:$UB$40,0)))</f>
      </c>
      <c r="UD18" t="str">
        <f>IF(COUNTIF('Final Calculation Sheet'!$AL18:$BH18,0)+COUNTIF('Final Calculation Sheet'!$BJ18:$BS18,0)&gt;0,0,1)</f>
      </c>
      <c r="UE18" t="str">
        <f>IF($DZ$18="",FALSE,SUMPRODUCT(('Final Calculation Sheet'!$X$4:$X$40=$DZ$18)*($UD$4:$UD$40=1))&gt;0)</f>
      </c>
      <c r="UF18" t="str">
        <f>=$UF17+--($UE18)</f>
      </c>
      <c r="UG18" t="str">
        <f>IF(ROW()-3&gt;MAX($UF$4:$UF$40),"",INDEX($DZ$4:$DZ$40,MATCH(ROW()-3,$UF$4:$UF$40,0)))</f>
      </c>
      <c r="UH18" t="str">
        <f>IF(COUNTIF('Final Calculation Sheet'!$AL18:$BI18,0)+COUNTIF('Final Calculation Sheet'!$BK18:$BS18,0)&gt;0,0,1)</f>
      </c>
      <c r="UI18" t="str">
        <f>IF($EE$18="",FALSE,SUMPRODUCT(('Final Calculation Sheet'!$Y$4:$Y$40=$EE$18)*($UH$4:$UH$40=1))&gt;0)</f>
      </c>
      <c r="UJ18" t="str">
        <f>=$UJ17+--($UI18)</f>
      </c>
      <c r="UK18" t="str">
        <f>IF(ROW()-3&gt;MAX($UJ$4:$UJ$40),"",INDEX($EE$4:$EE$40,MATCH(ROW()-3,$UJ$4:$UJ$40,0)))</f>
      </c>
      <c r="UL18" t="str">
        <f>IF(COUNTIF('Final Calculation Sheet'!$AL18:$BJ18,0)+COUNTIF('Final Calculation Sheet'!$BL18:$BS18,0)&gt;0,0,1)</f>
      </c>
      <c r="UM18" t="str">
        <f>IF($EJ$18="",FALSE,SUMPRODUCT(('Final Calculation Sheet'!$Z$4:$Z$40=$EJ$18)*($UL$4:$UL$40=1))&gt;0)</f>
      </c>
      <c r="UN18" t="str">
        <f>=$UN17+--($UM18)</f>
      </c>
      <c r="UO18" t="str">
        <f>IF(ROW()-3&gt;MAX($UN$4:$UN$40),"",INDEX($EJ$4:$EJ$40,MATCH(ROW()-3,$UN$4:$UN$40,0)))</f>
      </c>
      <c r="UP18" t="str">
        <f>IF(COUNTIF('Final Calculation Sheet'!$AL18:$BK18,0)+COUNTIF('Final Calculation Sheet'!$BM18:$BS18,0)&gt;0,0,1)</f>
      </c>
      <c r="UQ18" t="str">
        <f>IF($EO$18="",FALSE,SUMPRODUCT(('Final Calculation Sheet'!$AA$4:$AA$40=$EO$18)*($UP$4:$UP$40=1))&gt;0)</f>
      </c>
      <c r="UR18" t="str">
        <f>=$UR17+--($UQ18)</f>
      </c>
      <c r="US18" t="str">
        <f>IF(ROW()-3&gt;MAX($UR$4:$UR$40),"",INDEX($EO$4:$EO$40,MATCH(ROW()-3,$UR$4:$UR$40,0)))</f>
      </c>
      <c r="UT18" t="str">
        <f>IF(COUNTIF('Final Calculation Sheet'!$AL18:$BL18,0)+COUNTIF('Final Calculation Sheet'!$BN18:$BS18,0)&gt;0,0,1)</f>
      </c>
      <c r="UU18" t="str">
        <f>IF($ET$18="",FALSE,SUMPRODUCT(('Final Calculation Sheet'!$AB$4:$AB$40=$ET$18)*($UT$4:$UT$40=1))&gt;0)</f>
      </c>
      <c r="UV18" t="str">
        <f>=$UV17+--($UU18)</f>
      </c>
      <c r="UW18" t="str">
        <f>IF(ROW()-3&gt;MAX($UV$4:$UV$40),"",INDEX($ET$4:$ET$40,MATCH(ROW()-3,$UV$4:$UV$40,0)))</f>
      </c>
      <c r="UX18" t="str">
        <f>IF(COUNTIF('Final Calculation Sheet'!$AL18:$BM18,0)+COUNTIF('Final Calculation Sheet'!$BO18:$BS18,0)&gt;0,0,1)</f>
      </c>
      <c r="UY18" t="str">
        <f>IF($EY$18="",FALSE,SUMPRODUCT(('Final Calculation Sheet'!$AC$4:$AC$40=$EY$18)*($UX$4:$UX$40=1))&gt;0)</f>
      </c>
      <c r="UZ18" t="str">
        <f>=$UZ17+--($UY18)</f>
      </c>
      <c r="VA18" t="str">
        <f>IF(ROW()-3&gt;MAX($UZ$4:$UZ$40),"",INDEX($EY$4:$EY$40,MATCH(ROW()-3,$UZ$4:$UZ$40,0)))</f>
      </c>
      <c r="VB18" t="str">
        <f>IF(COUNTIF('Final Calculation Sheet'!$AL18:$BN18,0)+COUNTIF('Final Calculation Sheet'!$BP18:$BS18,0)&gt;0,0,1)</f>
      </c>
      <c r="VC18" t="str">
        <f>IF($FD$18="",FALSE,SUMPRODUCT(('Final Calculation Sheet'!$AD$4:$AD$40=$FD$18)*($VB$4:$VB$40=1))&gt;0)</f>
      </c>
      <c r="VD18" t="str">
        <f>=$VD17+--($VC18)</f>
      </c>
      <c r="VE18" t="str">
        <f>IF(ROW()-3&gt;MAX($VD$4:$VD$40),"",INDEX($FD$4:$FD$40,MATCH(ROW()-3,$VD$4:$VD$40,0)))</f>
      </c>
      <c r="VF18" t="str">
        <f>IF(COUNTIF('Final Calculation Sheet'!$AL18:$BO18,0)+COUNTIF('Final Calculation Sheet'!$BQ18:$BS18,0)&gt;0,0,1)</f>
      </c>
      <c r="VG18" t="str">
        <f>IF($FI$18="",FALSE,SUMPRODUCT(('Final Calculation Sheet'!$AE$4:$AE$40=$FI$18)*($VF$4:$VF$40=1))&gt;0)</f>
      </c>
      <c r="VH18" t="str">
        <f>=$VH17+--($VG18)</f>
      </c>
      <c r="VI18" t="str">
        <f>IF(ROW()-3&gt;MAX($VH$4:$VH$40),"",INDEX($FI$4:$FI$40,MATCH(ROW()-3,$VH$4:$VH$40,0)))</f>
      </c>
      <c r="VJ18" t="str">
        <f>IF(COUNTIF('Final Calculation Sheet'!$AL18:$BP18,0)+COUNTIF('Final Calculation Sheet'!$BR18:$BS18,0)&gt;0,0,1)</f>
      </c>
      <c r="VK18" t="str">
        <f>IF($FN$18="",FALSE,SUMPRODUCT(('Final Calculation Sheet'!$AF$4:$AF$40=$FN$18)*($VJ$4:$VJ$40=1))&gt;0)</f>
      </c>
      <c r="VL18" t="str">
        <f>=$VL17+--($VK18)</f>
      </c>
      <c r="VM18" t="str">
        <f>IF(ROW()-3&gt;MAX($VL$4:$VL$40),"",INDEX($FN$4:$FN$40,MATCH(ROW()-3,$VL$4:$VL$40,0)))</f>
      </c>
      <c r="VN18" t="str">
        <f>IF(COUNTIF('Final Calculation Sheet'!$AL18:$BQ18,0)+COUNTIF('Final Calculation Sheet'!$BS18:$BS18,0)&gt;0,0,1)</f>
      </c>
      <c r="VO18" t="str">
        <f>IF($FS$18="",FALSE,SUMPRODUCT(('Final Calculation Sheet'!$AG$4:$AG$40=$FS$18)*($VN$4:$VN$40=1))&gt;0)</f>
      </c>
      <c r="VP18" t="str">
        <f>=$VP17+--($VO18)</f>
      </c>
      <c r="VQ18" t="str">
        <f>IF(ROW()-3&gt;MAX($VP$4:$VP$40),"",INDEX($FS$4:$FS$40,MATCH(ROW()-3,$VP$4:$VP$40,0)))</f>
      </c>
      <c r="VR18" t="str">
        <f>IF(COUNTIF('Final Calculation Sheet'!$AL18:$BR18,0)&gt;0,0,1)</f>
      </c>
      <c r="VS18" t="str">
        <f>IF($QO$18="",FALSE,SUMPRODUCT(('Final Calculation Sheet'!$AH$4:$AH$40=$QO$18)*($VR$4:$VR$40=1))&gt;0)</f>
      </c>
      <c r="VT18" t="str">
        <f>=$VT17+--($VS18)</f>
      </c>
      <c r="VU18" t="str">
        <f>IF(ROW()-3&gt;MAX($VT$4:$VT$40),"",INDEX($QO$4:$QO$40,MATCH(ROW()-3,$VT$4:$VT$40,0)))</f>
      </c>
    </row>
    <row r="19">
      <c r="A19">
        <f>IF(IFERROR('Final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IF(IFERROR('Final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s="55">
        <f>IF('Final Calculation Sheet'!$C$19="","",'Final Calculation Sheet'!$C$19)</f>
        <v/>
      </c>
      <c r="AP19">
        <f>IF(AO19="","",COUNTIFS(AO$4:AO$40,"&lt;"&amp;AO19,AO$4:AO$40,"&lt;&gt;"&amp;"")+COUNTIF(AO$4:AO19,AO19))</f>
        <v/>
      </c>
      <c r="AQ19" s="55">
        <f>IF(ROW()-3&gt;COUNTIF(AO$4:AO$40,"&lt;&gt;"&amp;""),"",INDEX(AO$4:AO$40,MATCH(ROW()-3,AP$4:AP$40,0)))</f>
        <v/>
      </c>
      <c r="AR19">
        <f>AR18+IF(AND(AQ19&lt;&gt;"",COUNTIF(AQ$4:AQ19,AQ19)=1),1,0)</f>
        <v/>
      </c>
      <c r="AS19" s="55">
        <f>IF(ROW()-3&gt;MAX(AR$4:AR$40),"",INDEX(AQ$4:AQ$40,MATCH(ROW()-3,AR$4:AR$40,0)))</f>
        <v/>
      </c>
      <c r="AT19" s="55">
        <f>IF('Final Calculation Sheet'!$H$19="","",'Final Calculation Sheet'!$H$19)</f>
        <v/>
      </c>
      <c r="AU19">
        <f>IF(AT19="","",COUNTIFS(AT$4:AT$40,"&lt;"&amp;AT19,AT$4:AT$40,"&lt;&gt;"&amp;"")+COUNTIF(AT$4:AT19,AT19))</f>
        <v/>
      </c>
      <c r="AV19" s="55">
        <f>IF(ROW()-3&gt;COUNTIF(AT$4:AT$40,"&lt;&gt;"&amp;""),"",INDEX(AT$4:AT$40,MATCH(ROW()-3,AU$4:AU$40,0)))</f>
        <v/>
      </c>
      <c r="AW19">
        <f>AW18+IF(AND(AV19&lt;&gt;"",COUNTIF(AV$4:AV19,AV19)=1),1,0)</f>
        <v/>
      </c>
      <c r="AX19" s="55">
        <f>IF(ROW()-3&gt;MAX(AW$4:AW$40),"",INDEX(AV$4:AV$40,MATCH(ROW()-3,AW$4:AW$40,0)))</f>
        <v/>
      </c>
      <c r="AY19" s="55">
        <f>IF('Final Calculation Sheet'!$I$19="","",'Final Calculation Sheet'!$I$19)</f>
        <v/>
      </c>
      <c r="AZ19">
        <f>IF(AY19="","",COUNTIFS(AY$4:AY$40,"&lt;"&amp;AY19,AY$4:AY$40,"&lt;&gt;"&amp;"")+COUNTIF(AY$4:AY19,AY19))</f>
        <v/>
      </c>
      <c r="BA19" s="55">
        <f>IF(ROW()-3&gt;COUNTIF(AY$4:AY$40,"&lt;&gt;"&amp;""),"",INDEX(AY$4:AY$40,MATCH(ROW()-3,AZ$4:AZ$40,0)))</f>
        <v/>
      </c>
      <c r="BB19">
        <f>BB18+IF(AND(BA19&lt;&gt;"",COUNTIF(BA$4:BA19,BA19)=1),1,0)</f>
        <v/>
      </c>
      <c r="BC19" s="55">
        <f>IF(ROW()-3&gt;MAX(BB$4:BB$40),"",INDEX(BA$4:BA$40,MATCH(ROW()-3,BB$4:BB$40,0)))</f>
        <v/>
      </c>
      <c r="BD19" s="55">
        <f>IF('Final Calculation Sheet'!$J$19="","",'Final Calculation Sheet'!$J$19)</f>
        <v/>
      </c>
      <c r="BE19">
        <f>IF(BD19="","",COUNTIFS(BD$4:BD$40,"&lt;"&amp;BD19,BD$4:BD$40,"&lt;&gt;"&amp;"")+COUNTIF(BD$4:BD19,BD19))</f>
        <v/>
      </c>
      <c r="BF19" s="55">
        <f>IF(ROW()-3&gt;COUNTIF(BD$4:BD$40,"&lt;&gt;"&amp;""),"",INDEX(BD$4:BD$40,MATCH(ROW()-3,BE$4:BE$40,0)))</f>
        <v/>
      </c>
      <c r="BG19">
        <f>BG18+IF(AND(BF19&lt;&gt;"",COUNTIF(BF$4:BF19,BF19)=1),1,0)</f>
        <v/>
      </c>
      <c r="BH19" s="55">
        <f>IF(ROW()-3&gt;MAX(BG$4:BG$40),"",INDEX(BF$4:BF$40,MATCH(ROW()-3,BG$4:BG$40,0)))</f>
        <v/>
      </c>
      <c r="BI19" s="55">
        <f>IF('Final Calculation Sheet'!$K$19="","",'Final Calculation Sheet'!$K$19)</f>
        <v/>
      </c>
      <c r="BJ19">
        <f>IF(BI19="","",COUNTIFS(BI$4:BI$40,"&lt;"&amp;BI19,BI$4:BI$40,"&lt;&gt;"&amp;"")+COUNTIF(BI$4:BI19,BI19))</f>
        <v/>
      </c>
      <c r="BK19" s="55">
        <f>IF(ROW()-3&gt;COUNTIF(BI$4:BI$40,"&lt;&gt;"&amp;""),"",INDEX(BI$4:BI$40,MATCH(ROW()-3,BJ$4:BJ$40,0)))</f>
        <v/>
      </c>
      <c r="BL19">
        <f>BL18+IF(AND(BK19&lt;&gt;"",COUNTIF(BK$4:BK19,BK19)=1),1,0)</f>
        <v/>
      </c>
      <c r="BM19" s="55">
        <f>IF(ROW()-3&gt;MAX(BL$4:BL$40),"",INDEX(BK$4:BK$40,MATCH(ROW()-3,BL$4:BL$40,0)))</f>
        <v/>
      </c>
      <c r="BN19" s="55">
        <f>IF('Final Calculation Sheet'!$L$19="","",'Final Calculation Sheet'!$L$19)</f>
        <v/>
      </c>
      <c r="BO19">
        <f>IF(BN19="","",COUNTIFS(BN$4:BN$40,"&lt;"&amp;BN19,BN$4:BN$40,"&lt;&gt;"&amp;"")+COUNTIF(BN$4:BN19,BN19))</f>
        <v/>
      </c>
      <c r="BP19" s="55">
        <f>IF(ROW()-3&gt;COUNTIF(BN$4:BN$40,"&lt;&gt;"&amp;""),"",INDEX(BN$4:BN$40,MATCH(ROW()-3,BO$4:BO$40,0)))</f>
        <v/>
      </c>
      <c r="BQ19">
        <f>BQ18+IF(AND(BP19&lt;&gt;"",COUNTIF(BP$4:BP19,BP19)=1),1,0)</f>
        <v/>
      </c>
      <c r="BR19" s="55">
        <f>IF(ROW()-3&gt;MAX(BQ$4:BQ$40),"",INDEX(BP$4:BP$40,MATCH(ROW()-3,BQ$4:BQ$40,0)))</f>
        <v/>
      </c>
      <c r="BS19" s="55">
        <f>IF('Final Calculation Sheet'!$M$19="","",'Final Calculation Sheet'!$M$19)</f>
        <v/>
      </c>
      <c r="BT19">
        <f>IF(BS19="","",COUNTIFS(BS$4:BS$40,"&lt;"&amp;BS19,BS$4:BS$40,"&lt;&gt;"&amp;"")+COUNTIF(BS$4:BS19,BS19))</f>
        <v/>
      </c>
      <c r="BU19" s="55">
        <f>IF(ROW()-3&gt;COUNTIF(BS$4:BS$40,"&lt;&gt;"&amp;""),"",INDEX(BS$4:BS$40,MATCH(ROW()-3,BT$4:BT$40,0)))</f>
        <v/>
      </c>
      <c r="BV19">
        <f>BV18+IF(AND(BU19&lt;&gt;"",COUNTIF(BU$4:BU19,BU19)=1),1,0)</f>
        <v/>
      </c>
      <c r="BW19" s="55">
        <f>IF(ROW()-3&gt;MAX(BV$4:BV$40),"",INDEX(BU$4:BU$40,MATCH(ROW()-3,BV$4:BV$40,0)))</f>
        <v/>
      </c>
      <c r="BX19" s="138">
        <f>IF('Final Calculation Sheet'!$N$19="","",'Final Calculation Sheet'!$N$19)</f>
        <v/>
      </c>
      <c r="BY19">
        <f>IF(BX19="","",COUNTIFS(BX$4:BX$40,"&lt;"&amp;BX19,BX$4:BX$40,"&lt;&gt;"&amp;"")+COUNTIF(BX$4:BX19,BX19))</f>
        <v/>
      </c>
      <c r="BZ19" s="138">
        <f>IF(ROW()-3&gt;COUNTIF(BX$4:BX$40,"&lt;&gt;"&amp;""),"",INDEX(BX$4:BX$40,MATCH(ROW()-3,BY$4:BY$40,0)))</f>
        <v/>
      </c>
      <c r="CA19">
        <f>CA18+IF(AND(BZ19&lt;&gt;"",COUNTIF(BZ$4:BZ19,BZ19)=1),1,0)</f>
        <v/>
      </c>
      <c r="CB19" s="138">
        <f>IF(ROW()-3&gt;MAX(CA$4:CA$40),"",INDEX(BZ$4:BZ$40,MATCH(ROW()-3,CA$4:CA$40,0)))</f>
        <v/>
      </c>
      <c r="CC19" s="55">
        <f>IF('Final Calculation Sheet'!$O$19="","",'Final Calculation Sheet'!$O$19)</f>
        <v/>
      </c>
      <c r="CD19">
        <f>IF(CC19="","",COUNTIFS(CC$4:CC$40,"&lt;"&amp;CC19,CC$4:CC$40,"&lt;&gt;"&amp;"")+COUNTIF(CC$4:CC19,CC19))</f>
        <v/>
      </c>
      <c r="CE19" s="55">
        <f>IF(ROW()-3&gt;COUNTIF(CC$4:CC$40,"&lt;&gt;"&amp;""),"",INDEX(CC$4:CC$40,MATCH(ROW()-3,CD$4:CD$40,0)))</f>
        <v/>
      </c>
      <c r="CF19">
        <f>CF18+IF(AND(CE19&lt;&gt;"",COUNTIF(CE$4:CE19,CE19)=1),1,0)</f>
        <v/>
      </c>
      <c r="CG19" s="55">
        <f>IF(ROW()-3&gt;MAX(CF$4:CF$40),"",INDEX(CE$4:CE$40,MATCH(ROW()-3,CF$4:CF$40,0)))</f>
        <v/>
      </c>
      <c r="CH19" s="55">
        <f>IF('Final Calculation Sheet'!$P$19="","",'Final Calculation Sheet'!$P$19)</f>
        <v/>
      </c>
      <c r="CI19">
        <f>IF(CH19="","",COUNTIFS(CH$4:CH$40,"&lt;"&amp;CH19,CH$4:CH$40,"&lt;&gt;"&amp;"")+COUNTIF(CH$4:CH19,CH19))</f>
        <v/>
      </c>
      <c r="CJ19" s="55">
        <f>IF(ROW()-3&gt;COUNTIF(CH$4:CH$40,"&lt;&gt;"&amp;""),"",INDEX(CH$4:CH$40,MATCH(ROW()-3,CI$4:CI$40,0)))</f>
        <v/>
      </c>
      <c r="CK19">
        <f>CK18+IF(AND(CJ19&lt;&gt;"",COUNTIF(CJ$4:CJ19,CJ19)=1),1,0)</f>
        <v/>
      </c>
      <c r="CL19" s="55">
        <f>IF(ROW()-3&gt;MAX(CK$4:CK$40),"",INDEX(CJ$4:CJ$40,MATCH(ROW()-3,CK$4:CK$40,0)))</f>
        <v/>
      </c>
      <c r="CM19" s="139">
        <f>IF('Final Calculation Sheet'!$Q$19="","",'Final Calculation Sheet'!$Q$19)</f>
        <v/>
      </c>
      <c r="CN19">
        <f>IF(CM19="","",COUNTIFS(CM$4:CM$40,"&lt;"&amp;CM19,CM$4:CM$40,"&lt;&gt;"&amp;"")+COUNTIF(CM$4:CM19,CM19))</f>
        <v/>
      </c>
      <c r="CO19" s="139">
        <f>IF(ROW()-3&gt;COUNTIF(CM$4:CM$40,"&lt;&gt;"&amp;""),"",INDEX(CM$4:CM$40,MATCH(ROW()-3,CN$4:CN$40,0)))</f>
        <v/>
      </c>
      <c r="CP19">
        <f>CP18+IF(AND(CO19&lt;&gt;"",COUNTIF(CO$4:CO19,CO19)=1),1,0)</f>
        <v/>
      </c>
      <c r="CQ19">
        <f>IF(ROW()-3&gt;MAX(CP$4:CP$40),"",INDEX(CO$4:CO$40,MATCH(ROW()-3,CP$4:CP$40,0)))</f>
        <v/>
      </c>
      <c r="CR19" s="55">
        <f>IF('Final Calculation Sheet'!$R$19="","",'Final Calculation Sheet'!$R$19)</f>
        <v/>
      </c>
      <c r="CS19">
        <f>IF(CR19="","",COUNTIFS(CR$4:CR$40,"&lt;"&amp;CR19,CR$4:CR$40,"&lt;&gt;"&amp;"")+COUNTIF(CR$4:CR19,CR19))</f>
        <v/>
      </c>
      <c r="CT19" s="55">
        <f>IF(ROW()-3&gt;COUNTIF(CR$4:CR$40,"&lt;&gt;"&amp;""),"",INDEX(CR$4:CR$40,MATCH(ROW()-3,CS$4:CS$40,0)))</f>
        <v/>
      </c>
      <c r="CU19">
        <f>CU18+IF(AND(CT19&lt;&gt;"",COUNTIF(CT$4:CT19,CT19)=1),1,0)</f>
        <v/>
      </c>
      <c r="CV19">
        <f>IF(ROW()-3&gt;MAX(CU$4:CU$40),"",INDEX(CT$4:CT$40,MATCH(ROW()-3,CU$4:CU$40,0)))</f>
        <v/>
      </c>
      <c r="CW19" s="55">
        <f>IF('Final Calculation Sheet'!$S$19="","",'Final Calculation Sheet'!$S$19)</f>
        <v/>
      </c>
      <c r="CX19">
        <f>IF(CW19="","",COUNTIFS(CW$4:CW$40,"&lt;"&amp;CW19,CW$4:CW$40,"&lt;&gt;"&amp;"")+COUNTIF(CW$4:CW19,CW19))</f>
        <v/>
      </c>
      <c r="CY19" s="55">
        <f>IF(ROW()-3&gt;COUNTIF(CW$4:CW$40,"&lt;&gt;"&amp;""),"",INDEX(CW$4:CW$40,MATCH(ROW()-3,CX$4:CX$40,0)))</f>
        <v/>
      </c>
      <c r="CZ19">
        <f>CZ18+IF(AND(CY19&lt;&gt;"",COUNTIF(CY$4:CY19,CY19)=1),1,0)</f>
        <v/>
      </c>
      <c r="DA19" s="55">
        <f>IF(ROW()-3&gt;MAX(CZ$4:CZ$40),"",INDEX(CY$4:CY$40,MATCH(ROW()-3,CZ$4:CZ$40,0)))</f>
        <v/>
      </c>
      <c r="DB19" s="55">
        <f>IF('Final Calculation Sheet'!$T$19="","",'Final Calculation Sheet'!$T$19)</f>
        <v/>
      </c>
      <c r="DC19">
        <f>IF(DB19="","",COUNTIFS(DB$4:DB$40,"&lt;"&amp;DB19,DB$4:DB$40,"&lt;&gt;"&amp;"")+COUNTIF(DB$4:DB19,DB19))</f>
        <v/>
      </c>
      <c r="DD19" s="55">
        <f>IF(ROW()-3&gt;COUNTIF(DB$4:DB$40,"&lt;&gt;"&amp;""),"",INDEX(DB$4:DB$40,MATCH(ROW()-3,DC$4:DC$40,0)))</f>
        <v/>
      </c>
      <c r="DE19">
        <f>DE18+IF(AND(DD19&lt;&gt;"",COUNTIF(DD$4:DD19,DD19)=1),1,0)</f>
        <v/>
      </c>
      <c r="DF19" s="55">
        <f>IF(ROW()-3&gt;MAX(DE$4:DE$40),"",INDEX(DD$4:DD$40,MATCH(ROW()-3,DE$4:DE$40,0)))</f>
        <v/>
      </c>
      <c r="DG19" s="140">
        <f>IF('Final Calculation Sheet'!$U$19="","",'Final Calculation Sheet'!$U$19)</f>
        <v/>
      </c>
      <c r="DH19">
        <f>IF(DG19="","",COUNTIFS(DG$4:DG$40,"&lt;"&amp;DG19,DG$4:DG$40,"&lt;&gt;"&amp;"")+COUNTIF(DG$4:DG19,DG19))</f>
        <v/>
      </c>
      <c r="DI19" s="140">
        <f>IF(ROW()-3&gt;COUNTIF(DG$4:DG$40,"&lt;&gt;"&amp;""),"",INDEX(DG$4:DG$40,MATCH(ROW()-3,DH$4:DH$40,0)))</f>
        <v/>
      </c>
      <c r="DJ19">
        <f>DJ18+IF(AND(DI19&lt;&gt;"",COUNTIF(DI$4:DI19,DI19)=1),1,0)</f>
        <v/>
      </c>
      <c r="DK19" s="140">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s="55">
        <f>IF('Final Calculation Sheet'!$W$19="","",'Final Calculation Sheet'!$W$19)</f>
        <v/>
      </c>
      <c r="DR19">
        <f>IF(DQ19="","",COUNTIFS(DQ$4:DQ$40,"&lt;"&amp;DQ19,DQ$4:DQ$40,"&lt;&gt;"&amp;"")+COUNTIF(DQ$4:DQ19,DQ19))</f>
        <v/>
      </c>
      <c r="DS19" s="55">
        <f>IF(ROW()-3&gt;COUNTIF(DQ$4:DQ$40,"&lt;&gt;"&amp;""),"",INDEX(DQ$4:DQ$40,MATCH(ROW()-3,DR$4:DR$40,0)))</f>
        <v/>
      </c>
      <c r="DT19">
        <f>DT18+IF(AND(DS19&lt;&gt;"",COUNTIF(DS$4:DS19,DS19)=1),1,0)</f>
        <v/>
      </c>
      <c r="DU19" s="55">
        <f>IF(ROW()-3&gt;MAX(DT$4:DT$40),"",INDEX(DS$4:DS$40,MATCH(ROW()-3,DT$4:DT$40,0)))</f>
        <v/>
      </c>
      <c r="DV19" s="55">
        <f>IF('Final Calculation Sheet'!$X$19="","",'Final Calculation Sheet'!$X$19)</f>
        <v/>
      </c>
      <c r="DW19">
        <f>IF(DV19="","",COUNTIFS(DV$4:DV$40,"&lt;"&amp;DV19,DV$4:DV$40,"&lt;&gt;"&amp;"")+COUNTIF(DV$4:DV19,DV19))</f>
        <v/>
      </c>
      <c r="DX19" s="55">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s="55">
        <f>IF('Final Calculation Sheet'!$Z$19="","",'Final Calculation Sheet'!$Z$19)</f>
        <v/>
      </c>
      <c r="EG19">
        <f>IF(EF19="","",COUNTIFS(EF$4:EF$40,"&lt;"&amp;EF19,EF$4:EF$40,"&lt;&gt;"&amp;"")+COUNTIF(EF$4:EF19,EF19))</f>
        <v/>
      </c>
      <c r="EH19" s="55">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s="55">
        <f>IF('Final Calculation Sheet'!$AC$19="","",'Final Calculation Sheet'!$AC$19)</f>
        <v/>
      </c>
      <c r="EV19">
        <f>IF(EU19="","",COUNTIFS(EU$4:EU$40,"&lt;"&amp;EU19,EU$4:EU$40,"&lt;&gt;"&amp;"")+COUNTIF(EU$4:EU19,EU19))</f>
        <v/>
      </c>
      <c r="EW19" s="55">
        <f>IF(ROW()-3&gt;COUNTIF(EU$4:EU$40,"&lt;&gt;"&amp;""),"",INDEX(EU$4:EU$40,MATCH(ROW()-3,EV$4:EV$40,0)))</f>
        <v/>
      </c>
      <c r="EX19">
        <f>EX18+IF(AND(EW19&lt;&gt;"",COUNTIF(EW$4:EW19,EW19)=1),1,0)</f>
        <v/>
      </c>
      <c r="EY19" s="55">
        <f>IF(ROW()-3&gt;MAX(EX$4:EX$40),"",INDEX(EW$4:EW$40,MATCH(ROW()-3,EX$4:EX$40,0)))</f>
        <v/>
      </c>
      <c r="EZ19" s="55">
        <f>IF('Final Calculation Sheet'!$AD$19="","",'Final Calculation Sheet'!$AD$19)</f>
        <v/>
      </c>
      <c r="FA19">
        <f>IF(EZ19="","",COUNTIFS(EZ$4:EZ$40,"&lt;"&amp;EZ19,EZ$4:EZ$40,"&lt;&gt;"&amp;"")+COUNTIF(EZ$4:EZ19,EZ19))</f>
        <v/>
      </c>
      <c r="FB19" s="55">
        <f>IF(ROW()-3&gt;COUNTIF(EZ$4:EZ$40,"&lt;&gt;"&amp;""),"",INDEX(EZ$4:EZ$40,MATCH(ROW()-3,FA$4:FA$40,0)))</f>
        <v/>
      </c>
      <c r="FC19">
        <f>FC18+IF(AND(FB19&lt;&gt;"",COUNTIF(FB$4:FB19,FB19)=1),1,0)</f>
        <v/>
      </c>
      <c r="FD19">
        <f>IF(ROW()-3&gt;MAX(FC$4:FC$40),"",INDEX(FB$4:FB$40,MATCH(ROW()-3,FC$4:FC$40,0)))</f>
        <v/>
      </c>
      <c r="FE19">
        <f>IF('Final Calculation Sheet'!$AF$19="","",'Final Calculation Sheet'!$AF$19)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s="141">
        <f>IF('Final Calculation Sheet'!$AG$19="","",'Final Calculation Sheet'!$AG$19)</f>
        <v/>
      </c>
      <c r="FK19">
        <f>IF(FJ19="","",COUNTIFS(FJ$4:FJ$40,"&lt;"&amp;FJ19,FJ$4:FJ$40,"&lt;&gt;"&amp;"")+COUNTIF(FJ$4:FJ19,FJ19))</f>
        <v/>
      </c>
      <c r="FL19" s="141">
        <f>IF(ROW()-3&gt;COUNTIF(FJ$4:FJ$40,"&lt;&gt;"&amp;""),"",INDEX(FJ$4:FJ$40,MATCH(ROW()-3,FK$4:FK$40,0)))</f>
        <v/>
      </c>
      <c r="FM19">
        <f>FM18+IF(AND(FL19&lt;&gt;"",COUNTIF(FL$4:FL19,FL19)=1),1,0)</f>
        <v/>
      </c>
      <c r="FN19">
        <f>IF(ROW()-3&gt;MAX(FM$4:FM$40),"",INDEX(FL$4:FL$40,MATCH(ROW()-3,FM$4:FM$40,0)))</f>
        <v/>
      </c>
      <c r="FO19">
        <f>IF('Final Calculation Sheet'!$AH$19="","",'Final Calculation Sheet'!$AH$19)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c r="FY19">
        <f>IF(COUNTIF('Live Search'!BM$18:BO$18,0)+COUNTIF('Live Search'!BQ$18:CU$18,0)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19">
        <f>IF($Y$19="",FALSE,SUMPRODUCT(('Final Calculation Sheet'!$B$4:$B$40=$Y$19)*($FY$6:$FY$42=1))&gt;0)</f>
        <v/>
      </c>
      <c r="GA19">
        <f>$GA$18+--($FZ$19)</f>
        <v/>
      </c>
      <c r="GB19">
        <f>IF(ROW()-3&gt;MAX($GA$4:$GA$40),"",INDEX($Y$4:$Y$40,MATCH(ROW()-3,$GA$4:$GA$40,0)))</f>
        <v/>
      </c>
      <c r="GC19">
        <f>IF(COUNTIF('Live Search'!BM$18:BM$18,0)+COUNTIF('Live Search'!BO$18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D19">
        <f>IF($O$19="",FALSE,SUMPRODUCT(('Final Calculation Sheet'!$F$4:$F$40=$O$19)*($GC$6:$GC$42=1))&gt;0)</f>
        <v/>
      </c>
      <c r="GE19">
        <f>$GE$18+--($GD19)</f>
        <v/>
      </c>
      <c r="GF19">
        <f>IF(ROW()-3&gt;MAX($GE$4:$GE$40),"",INDEX($O$4:$O$40,MATCH(ROW()-3,$GE$4:$GE$40,0)))</f>
        <v/>
      </c>
      <c r="GG19">
        <f>IF(COUNTIF('Live Search'!BM$18:BN$18,0)+COUNTIF('Live Search'!BP$18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H19">
        <f>IF($T$19="",FALSE,SUMPRODUCT(('Final Calculation Sheet'!$G$4:$G$40=$T$19)*($GG$6:$GG$42=1))&gt;0)</f>
        <v/>
      </c>
      <c r="GI19">
        <f>$GI$18+--($GH19)</f>
        <v/>
      </c>
      <c r="GJ19">
        <f>IF(ROW()-3&gt;MAX($GI$4:$GI$40),"",INDEX($T$4:$T$40,MATCH(ROW()-3,$GI$4:$GI$40,0)))</f>
        <v/>
      </c>
      <c r="GK19">
        <f>IF(COUNTIF('Live Search'!BM$18:BP$18,0)+COUNTIF('Live Search'!BR$18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L19">
        <f>IF($AD$19="",FALSE,SUMPRODUCT(('Final Calculation Sheet'!$D$4:$D$40=$AD$19)*($GK$6:$GK$42=1))&gt;0)</f>
        <v/>
      </c>
      <c r="GM19">
        <f>$GM$18+--($GL19)</f>
        <v/>
      </c>
      <c r="GN19">
        <f>IF(ROW()-3&gt;MAX($GM$4:$GM$40),"",INDEX($AD$4:$AD$40,MATCH(ROW()-3,$GM$4:$GM$40,0)))</f>
        <v/>
      </c>
      <c r="GO19">
        <f>IF(COUNTIF('Live Search'!BM$18:BQ$18,0)+COUNTIF('Live Search'!BS$18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P19">
        <f>IF($AI$19="",FALSE,SUMPRODUCT(('Final Calculation Sheet'!$A$4:$A$40=$AI$19)*($GO$6:$GO$42=1))&gt;0)</f>
        <v/>
      </c>
      <c r="GQ19">
        <f>$GQ$18+--($GP19)</f>
        <v/>
      </c>
      <c r="GR19">
        <f>IF(ROW()-3&gt;MAX($GQ$4:$GQ$40),"",INDEX($AI$4:$AI$40,MATCH(ROW()-3,$GQ$4:$GQ$40,0)))</f>
        <v/>
      </c>
      <c r="GS19">
        <f>IF(COUNTIF('Live Search'!BM$18:BR$18,0)+COUNTIF('Live Search'!BT$18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T19">
        <f>IF($AN$19="",FALSE,SUMPRODUCT(('Final Calculation Sheet'!$E$4:$E$40=$AN$19)*($GS$6:$GS$42=1))&gt;0)</f>
        <v/>
      </c>
      <c r="GU19">
        <f>$GU$18+--($GT19)</f>
        <v/>
      </c>
      <c r="GV19">
        <f>IF(ROW()-3&gt;MAX($GU$4:$GU$40),"",INDEX($AN$4:$AN$40,MATCH(ROW()-3,$GU$4:$GU$40,0)))</f>
        <v/>
      </c>
      <c r="GW19">
        <f>IF(COUNTIF('Live Search'!BM$18:BS$18,0)+COUNTIF('Live Search'!BU$18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GX19">
        <f>IF($AS$19="",FALSE,SUMPRODUCT(('Final Calculation Sheet'!$C$4:$C$40=$AS$19)*($GW$6:$GW$42=1))&gt;0)</f>
        <v/>
      </c>
      <c r="GY19">
        <f>$GY$18+--($GX19)</f>
        <v/>
      </c>
      <c r="GZ19">
        <f>IF(ROW()-3&gt;MAX($GY$4:$GY$40),"",INDEX($AS$4:$AS$40,MATCH(ROW()-3,$GY$4:$GY$40,0)))</f>
        <v/>
      </c>
      <c r="HA19">
        <f>IF(COUNTIF('Live Search'!BM$18:BT$18,0)+COUNTIF('Live Search'!BV$18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B19">
        <f>IF($AX$19="",FALSE,SUMPRODUCT(('Final Calculation Sheet'!$H$4:$H$40=$AX$19)*($HA$6:$HA$42=1))&gt;0)</f>
        <v/>
      </c>
      <c r="HC19">
        <f>$HC$18+--($HB19)</f>
        <v/>
      </c>
      <c r="HD19">
        <f>IF(ROW()-3&gt;MAX($HC$4:$HC$40),"",INDEX($AX$4:$AX$40,MATCH(ROW()-3,$HC$4:$HC$40,0)))</f>
        <v/>
      </c>
      <c r="HE19">
        <f>IF(COUNTIF('Live Search'!BM$18:BU$18,0)+COUNTIF('Live Search'!BW$18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F19">
        <f>IF($BC$19="",FALSE,SUMPRODUCT(('Final Calculation Sheet'!$I$4:$I$40=$BC$19)*($HE$6:$HE$42=1))&gt;0)</f>
        <v/>
      </c>
      <c r="HG19">
        <f>$HG$18+--($HF19)</f>
        <v/>
      </c>
      <c r="HH19">
        <f>IF(ROW()-3&gt;MAX($HG$4:$HG$40),"",INDEX($BC$4:$BC$40,MATCH(ROW()-3,$HG$4:$HG$40,0)))</f>
        <v/>
      </c>
      <c r="HI19">
        <f>IF(COUNTIF('Live Search'!BM$18:BV$18,0)+COUNTIF('Live Search'!BX$18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J19">
        <f>IF($BH$19="",FALSE,SUMPRODUCT(('Final Calculation Sheet'!$J$4:$J$40=$BH$19)*($HI$6:$HI$42=1))&gt;0)</f>
        <v/>
      </c>
      <c r="HK19">
        <f>$HK$18+--($HJ19)</f>
        <v/>
      </c>
      <c r="HL19">
        <f>IF(ROW()-3&gt;MAX($HK$4:$HK$40),"",INDEX($BH$4:$BH$40,MATCH(ROW()-3,$HK$4:$HK$40,0)))</f>
        <v/>
      </c>
      <c r="HM19">
        <f>IF(COUNTIF('Live Search'!BM$18:BW$18,0)+COUNTIF('Live Search'!BY$18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N19">
        <f>IF($BM$19="",FALSE,SUMPRODUCT(('Final Calculation Sheet'!$K$4:$K$40=$BM$19)*($HM$6:$HM$42=1))&gt;0)</f>
        <v/>
      </c>
      <c r="HO19">
        <f>$HO$18+--($HN19)</f>
        <v/>
      </c>
      <c r="HP19">
        <f>IF(ROW()-3&gt;MAX($HO$4:$HO$40),"",INDEX($BM$4:$BM$40,MATCH(ROW()-3,$HO$4:$HO$40,0)))</f>
        <v/>
      </c>
      <c r="HQ19">
        <f>IF(COUNTIF('Live Search'!BM$18:BX$18,0)+COUNTIF('Live Search'!BZ$18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R19">
        <f>IF($BR$19="",FALSE,SUMPRODUCT(('Final Calculation Sheet'!$L$4:$L$40=$BR$19)*($HQ$6:$HQ$42=1))&gt;0)</f>
        <v/>
      </c>
      <c r="HS19">
        <f>$HS$18+--($HR19)</f>
        <v/>
      </c>
      <c r="HT19">
        <f>IF(ROW()-3&gt;MAX($HS$4:$HS$40),"",INDEX($BR$4:$BR$40,MATCH(ROW()-3,$HS$4:$HS$40,0)))</f>
        <v/>
      </c>
      <c r="HU19">
        <f>IF(COUNTIF('Live Search'!BM$18:BY$18,0)+COUNTIF('Live Search'!CA$18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V19">
        <f>IF($BW$19="",FALSE,SUMPRODUCT(('Final Calculation Sheet'!$M$4:$M$40=$BW$19)*($HU$6:$HU$42=1))&gt;0)</f>
        <v/>
      </c>
      <c r="HW19">
        <f>$HW$18+--($HV19)</f>
        <v/>
      </c>
      <c r="HX19">
        <f>IF(ROW()-3&gt;MAX($HW$4:$HW$40),"",INDEX($BW$4:$BW$40,MATCH(ROW()-3,$HW$4:$HW$40,0)))</f>
        <v/>
      </c>
      <c r="HY19">
        <f>IF(COUNTIF('Live Search'!BM$18:BZ$18,0)+COUNTIF('Live Search'!CB$18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HZ19">
        <f>IF($CB$19="",FALSE,SUMPRODUCT(('Final Calculation Sheet'!$N$4:$N$40=$CB$19)*($HY$6:$HY$42=1))&gt;0)</f>
        <v/>
      </c>
      <c r="IA19">
        <f>$IA$18+--($HZ19)</f>
        <v/>
      </c>
      <c r="IB19">
        <f>IF(ROW()-3&gt;MAX($IA$4:$IA$40),"",INDEX($CB$4:$CB$40,MATCH(ROW()-3,$IA$4:$IA$40,0)))</f>
        <v/>
      </c>
      <c r="IC19">
        <f>IF(COUNTIF('Live Search'!BM$18:CA$18,0)+COUNTIF('Live Search'!CC$18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D19">
        <f>IF($CG$19="",FALSE,SUMPRODUCT(('Final Calculation Sheet'!$O$4:$O$40=$CG$19)*($IC$6:$IC$42=1))&gt;0)</f>
        <v/>
      </c>
      <c r="IE19">
        <f>$IE$18+--($ID19)</f>
        <v/>
      </c>
      <c r="IF19">
        <f>IF(ROW()-3&gt;MAX($IE$4:$IE$40),"",INDEX($CG$4:$CG$40,MATCH(ROW()-3,$IE$4:$IE$40,0)))</f>
        <v/>
      </c>
      <c r="IG19">
        <f>IF(COUNTIF('Live Search'!BM$18:CB$18,0)+COUNTIF('Live Search'!CD$18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H19">
        <f>IF($CL$19="",FALSE,SUMPRODUCT(('Final Calculation Sheet'!$P$4:$P$40=$CL$19)*($IG$6:$IG$42=1))&gt;0)</f>
        <v/>
      </c>
      <c r="II19">
        <f>$II$18+--($IH19)</f>
        <v/>
      </c>
      <c r="IJ19">
        <f>IF(ROW()-3&gt;MAX($II$4:$II$40),"",INDEX($CL$4:$CL$40,MATCH(ROW()-3,$II$4:$II$40,0)))</f>
        <v/>
      </c>
      <c r="IK19">
        <f>IF(COUNTIF('Live Search'!BM$18:CC$18,0)+COUNTIF('Live Search'!CE$18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L19">
        <f>IF($CQ$19="",FALSE,SUMPRODUCT(('Final Calculation Sheet'!$Q$4:$Q$40=$CQ$19)*($IK$6:$IK$42=1))&gt;0)</f>
        <v/>
      </c>
      <c r="IM19">
        <f>$IM$18+--($IL19)</f>
        <v/>
      </c>
      <c r="IN19">
        <f>IF(ROW()-3&gt;MAX($IM$4:$IM$40),"",INDEX($CQ$4:$CQ$40,MATCH(ROW()-3,$IM$4:$IM$40,0)))</f>
        <v/>
      </c>
      <c r="IO19">
        <f>IF(COUNTIF('Live Search'!BM$18:CD$18,0)+COUNTIF('Live Search'!CF$18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P19">
        <f>IF($CV$19="",FALSE,SUMPRODUCT(('Final Calculation Sheet'!$R$4:$R$40=$CV$19)*($IO$6:$IO$42=1))&gt;0)</f>
        <v/>
      </c>
      <c r="IQ19">
        <f>$IQ$18+--($IP19)</f>
        <v/>
      </c>
      <c r="IR19">
        <f>IF(ROW()-3&gt;MAX($IQ$4:$IQ$40),"",INDEX($CV$4:$CV$40,MATCH(ROW()-3,$IQ$4:$IQ$40,0)))</f>
        <v/>
      </c>
      <c r="IS19">
        <f>IF(COUNTIF('Live Search'!BM$18:CE$18,0)+COUNTIF('Live Search'!CG$18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T19">
        <f>IF($DA$19="",FALSE,SUMPRODUCT(('Final Calculation Sheet'!$S$4:$S$40=$DA$19)*($IS$6:$IS$42=1))&gt;0)</f>
        <v/>
      </c>
      <c r="IU19">
        <f>$IU$18+--($IT19)</f>
        <v/>
      </c>
      <c r="IV19">
        <f>IF(ROW()-3&gt;MAX($IU$4:$IU$40),"",INDEX($DA$4:$DA$40,MATCH(ROW()-3,$IU$4:$IU$40,0)))</f>
        <v/>
      </c>
      <c r="IW19">
        <f>IF(COUNTIF('Live Search'!BM$18:CF$18,0)+COUNTIF('Live Search'!CH$18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IX19">
        <f>IF($DF$19="",FALSE,SUMPRODUCT(('Final Calculation Sheet'!$T$4:$T$40=$DF$19)*($IW$6:$IW$42=1))&gt;0)</f>
        <v/>
      </c>
      <c r="IY19">
        <f>$IY$18+--($IX19)</f>
        <v/>
      </c>
      <c r="IZ19">
        <f>IF(ROW()-3&gt;MAX($IY$4:$IY$40),"",INDEX($DF$4:$DF$40,MATCH(ROW()-3,$IY$4:$IY$40,0)))</f>
        <v/>
      </c>
      <c r="JA19">
        <f>IF(COUNTIF('Live Search'!BM$18:CG$18,0)+COUNTIF('Live Search'!CI$18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B19">
        <f>IF($DK$19="",FALSE,SUMPRODUCT(('Final Calculation Sheet'!$U$4:$U$40=$DK$19)*($JA$6:$JA$42=1))&gt;0)</f>
        <v/>
      </c>
      <c r="JC19">
        <f>$JC$18+--($JB19)</f>
        <v/>
      </c>
      <c r="JD19">
        <f>IF(ROW()-3&gt;MAX($JC$4:$JC$40),"",INDEX($DK$4:$DK$40,MATCH(ROW()-3,$JC$4:$JC$40,0)))</f>
        <v/>
      </c>
      <c r="JE19">
        <f>IF(COUNTIF('Live Search'!BM$18:CH$18,0)+COUNTIF('Live Search'!CJ$18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F19">
        <f>IF($DP$19="",FALSE,SUMPRODUCT(('Final Calculation Sheet'!$V$4:$V$40=$DP$19)*($JE$6:$JE$42=1))&gt;0)</f>
        <v/>
      </c>
      <c r="JG19">
        <f>$JG$18+--($JF19)</f>
        <v/>
      </c>
      <c r="JH19">
        <f>IF(ROW()-3&gt;MAX($JG$4:$JG$40),"",INDEX($DP$4:$DP$40,MATCH(ROW()-3,$JG$4:$JG$40,0)))</f>
        <v/>
      </c>
      <c r="JI19">
        <f>IF(COUNTIF('Live Search'!BM$18:CI$18,0)+COUNTIF('Live Search'!CK$18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J19">
        <f>IF($DU$19="",FALSE,SUMPRODUCT(('Final Calculation Sheet'!$W$4:$W$40=$DU$19)*($JI$6:$JI$42=1))&gt;0)</f>
        <v/>
      </c>
      <c r="JK19">
        <f>$JK$18+--($JJ19)</f>
        <v/>
      </c>
      <c r="JL19">
        <f>IF(ROW()-3&gt;MAX($JK$4:$JK$40),"",INDEX($DU$4:$DU$40,MATCH(ROW()-3,$JK$4:$JK$40,0)))</f>
        <v/>
      </c>
      <c r="JM19">
        <f>IF(COUNTIF('Live Search'!BM$18:CJ$18,0)+COUNTIF('Live Search'!CL$18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N19">
        <f>IF($DZ$19="",FALSE,SUMPRODUCT(('Final Calculation Sheet'!$X$4:$X$40=$DZ$19)*($JM$6:$JM$42=1))&gt;0)</f>
        <v/>
      </c>
      <c r="JO19">
        <f>$JO$18+--($JN19)</f>
        <v/>
      </c>
      <c r="JP19">
        <f>IF(ROW()-3&gt;MAX($JO$4:$JO$40),"",INDEX($DZ$4:$DZ$40,MATCH(ROW()-3,$JO$4:$JO$40,0)))</f>
        <v/>
      </c>
      <c r="JQ19">
        <f>IF(COUNTIF('Live Search'!BM$18:CK$18,0)+COUNTIF('Live Search'!C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R19">
        <f>IF($EE$19="",FALSE,SUMPRODUCT(('Final Calculation Sheet'!$Y$4:$Y$40=$EE$19)*($JQ$6:$JQ$42=1))&gt;0)</f>
        <v/>
      </c>
      <c r="JS19">
        <f>$JS$18+--($JR19)</f>
        <v/>
      </c>
      <c r="JT19">
        <f>IF(ROW()-3&gt;MAX($JS$4:$JS$40),"",INDEX($EE$4:$EE$40,MATCH(ROW()-3,$JS$4:$JS$40,0)))</f>
        <v/>
      </c>
      <c r="JU19">
        <f>IF(COUNTIF('Live Search'!BM$18:CL$18,0)+COUNTIF('Live Search'!CN$18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V19">
        <f>IF($EJ$19="",FALSE,SUMPRODUCT(('Final Calculation Sheet'!$Z$4:$Z$40=$EJ$19)*($JU$6:$JU$42=1))&gt;0)</f>
        <v/>
      </c>
      <c r="JW19">
        <f>$JW$18+--($JV19)</f>
        <v/>
      </c>
      <c r="JX19">
        <f>IF(ROW()-3&gt;MAX($JW$4:$JW$40),"",INDEX($EJ$4:$EJ$40,MATCH(ROW()-3,$JW$4:$JW$40,0)))</f>
        <v/>
      </c>
      <c r="JY19">
        <f>IF(COUNTIF('Live Search'!BM$18:CM$18,0)+COUNTIF('Live Search'!CO$18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JZ19">
        <f>IF($EO$19="",FALSE,SUMPRODUCT(('Final Calculation Sheet'!$AA$4:$AA$40=$EO$19)*($JY$6:$JY$42=1))&gt;0)</f>
        <v/>
      </c>
      <c r="KA19">
        <f>$KA$18+--($JZ19)</f>
        <v/>
      </c>
      <c r="KB19">
        <f>IF(ROW()-3&gt;MAX($KA$4:$KA$40),"",INDEX($EO$4:$EO$40,MATCH(ROW()-3,$KA$4:$KA$40,0)))</f>
        <v/>
      </c>
      <c r="KC19">
        <f>IF(COUNTIF('Live Search'!BM$18:CN$18,0)+COUNTIF('Live Search'!CP$18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D19">
        <f>IF($ET$19="",FALSE,SUMPRODUCT(('Final Calculation Sheet'!$AB$4:$AB$40=$ET$19)*($KC$6:$KC$42=1))&gt;0)</f>
        <v/>
      </c>
      <c r="KE19">
        <f>$KE$18+--($KD19)</f>
        <v/>
      </c>
      <c r="KF19">
        <f>IF(ROW()-3&gt;MAX($KE$4:$KE$40),"",INDEX($ET$4:$ET$40,MATCH(ROW()-3,$KE$4:$KE$40,0)))</f>
        <v/>
      </c>
      <c r="KG19">
        <f>IF(COUNTIF('Live Search'!BM$18:CO$18,0)+COUNTIF('Live Search'!CQ$18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H19">
        <f>IF($EY$19="",FALSE,SUMPRODUCT(('Final Calculation Sheet'!$AC$4:$AC$40=$EY$19)*($KG$6:$KG$42=1))&gt;0)</f>
        <v/>
      </c>
      <c r="KI19">
        <f>$KI$18+--($KH19)</f>
        <v/>
      </c>
      <c r="KJ19">
        <f>IF(ROW()-3&gt;MAX($KI$4:$KI$40),"",INDEX($EY$4:$EY$40,MATCH(ROW()-3,$KI$4:$KI$40,0)))</f>
        <v/>
      </c>
      <c r="KK19">
        <f>IF(COUNTIF('Live Search'!BM$18:CP$18,0)+COUNTIF('Live Search'!CR$18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L19">
        <f>IF($FD$19="",FALSE,SUMPRODUCT(('Final Calculation Sheet'!$AD$4:$AD$40=$FD$19)*($KK$6:$KK$42=1))&gt;0)</f>
        <v/>
      </c>
      <c r="KM19">
        <f>$KM$18+--($KL19)</f>
        <v/>
      </c>
      <c r="KN19">
        <f>IF(ROW()-3&gt;MAX($KM$4:$KM$40),"",INDEX($FD$4:$FD$40,MATCH(ROW()-3,$KM$4:$KM$40,0)))</f>
        <v/>
      </c>
      <c r="KO19">
        <f>IF(COUNTIF('Live Search'!BM$18:CT$18,0)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P19">
        <f>IF($FX$19="",FALSE,SUMPRODUCT((IF('Final Calculation Sheet'!$AD$4:$AD$40&lt;=5,"SETTLED","OUTSTANDING")=$FX$19)*($KO$6:$KO$42=1))&gt;0)</f>
        <v/>
      </c>
      <c r="KQ19">
        <f>$KQ$18+--($KP19)</f>
        <v/>
      </c>
      <c r="KR19">
        <f>IF(ROW()-3&gt;MAX($KQ$4:$KQ$40),"",INDEX($FX$4:$FX$40,MATCH(ROW()-3,$KQ$4:$KQ$40,0)))</f>
        <v/>
      </c>
      <c r="KS19">
        <f>IF(COUNTIF('Live Search'!BM$18:CQ$18,0)+COUNTIF('Live Search'!CS$18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T19">
        <f>IF($FI$19="",FALSE,SUMPRODUCT(('Final Calculation Sheet'!$AF$4:$AF$40=$FI$19)*($KS$6:$KS$42=1))&gt;0)</f>
        <v/>
      </c>
      <c r="KU19">
        <f>$KU$18+--($KT19)</f>
        <v/>
      </c>
      <c r="KV19">
        <f>IF(ROW()-3&gt;MAX($KU$4:$KU$40),"",INDEX($FI$4:$FI$40,MATCH(ROW()-3,$KU$4:$KU$40,0)))</f>
        <v/>
      </c>
      <c r="KW19">
        <f>IF(COUNTIF('Live Search'!BM$18:CR$18,0)+COUNTIF('Live Search'!CT$18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KX19">
        <f>IF($FN$19="",FALSE,SUMPRODUCT(('Final Calculation Sheet'!$AG$4:$AG$40=$FN$19)*($KW$6:$KW$42=1))&gt;0)</f>
        <v/>
      </c>
      <c r="KY19">
        <f>$KY$18+--($KX19)</f>
        <v/>
      </c>
      <c r="KZ19">
        <f>IF(ROW()-3&gt;MAX($KY$4:$KY$40),"",INDEX($FN$4:$FN$40,MATCH(ROW()-3,$KY$4:$KY$40,0)))</f>
        <v/>
      </c>
      <c r="LA19">
        <f>IF(COUNTIF('Live Search'!BM$18:CS$18,0)+COUNTIF('Live Search'!CU$18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LB19">
        <f>IF($FS$19="",FALSE,SUMPRODUCT(('Final Calculation Sheet'!$AH$4:$AH$40=$FS$19)*($LA$6:$LA$42=1))&gt;0)</f>
        <v/>
      </c>
      <c r="LC19">
        <f>$LC$18+--($LB19)</f>
        <v/>
      </c>
      <c r="LD19">
        <f>IF(ROW()-3&gt;MAX($LC$4:$LC$40),"",INDEX($FS$4:$FS$40,MATCH(ROW()-3,$LC$4:$LC$40,0)))</f>
        <v/>
      </c>
      <c r="LE19">
        <f>IF(COUNTIF('Buyer Groups'!DH72:EN72,0)&gt;0,0,1)</f>
        <v/>
      </c>
      <c r="LF19">
        <f>IF($O$19="",FALSE,SUMPRODUCT(('Final Calculation Sheet'!$F$4:$F$40=$O$19)*($LE$6:$LE$42=1))&gt;0)</f>
        <v/>
      </c>
      <c r="LG19">
        <f>$LG$18+--($LF19)</f>
        <v/>
      </c>
      <c r="LH19">
        <f>IF(ROW()-3&gt;MAX($LG$4:$LG$40),"",INDEX($O$4:$O$40,MATCH(ROW()-3,$LG$4:$LG$40,0)))</f>
        <v/>
      </c>
      <c r="LI19">
        <f>IF(COUNTIF('Buyer Groups'!DG72:DG72,0)+COUNTIF('Buyer Groups'!DI72:EN72,0)&gt;0,0,1)</f>
        <v/>
      </c>
      <c r="LJ19">
        <f>IF($T$19="",FALSE,SUMPRODUCT(('Final Calculation Sheet'!$G$4:$G$40=$T$19)*($LI$6:$LI$42=1))&gt;0)</f>
        <v/>
      </c>
      <c r="LK19">
        <f>$LK$18+--($LJ19)</f>
        <v/>
      </c>
      <c r="LL19">
        <f>IF(ROW()-3&gt;MAX($LK$4:$LK$40),"",INDEX($T$4:$T$40,MATCH(ROW()-3,$LK$4:$LK$40,0)))</f>
        <v/>
      </c>
      <c r="LM19">
        <f>IF(COUNTIF('Buyer Groups'!DG72:DH72,0)+COUNTIF('Buyer Groups'!DJ72:EN72,0)&gt;0,0,1)</f>
        <v/>
      </c>
      <c r="LN19">
        <f>IF($Y$19="",FALSE,SUMPRODUCT(('Final Calculation Sheet'!$B$4:$B$40=$Y$19)*($LM$6:$LM$42=1))&gt;0)</f>
        <v/>
      </c>
      <c r="LO19">
        <f>$LO$18+--($LN19)</f>
        <v/>
      </c>
      <c r="LP19">
        <f>IF(ROW()-3&gt;MAX($LO$4:$LO$40),"",INDEX($Y$4:$Y$40,MATCH(ROW()-3,$LO$4:$LO$40,0)))</f>
        <v/>
      </c>
      <c r="LQ19">
        <f>IF(COUNTIF('Buyer Groups'!DG72:DI72,0)+COUNTIF('Buyer Groups'!DK72:EN72,0)&gt;0,0,1)</f>
        <v/>
      </c>
      <c r="LR19">
        <f>IF($AD$19="",FALSE,SUMPRODUCT(('Final Calculation Sheet'!$D$4:$D$40=$AD$19)*($LQ$6:$LQ$42=1))&gt;0)</f>
        <v/>
      </c>
      <c r="LS19">
        <f>$LS$18+--($LR19)</f>
        <v/>
      </c>
      <c r="LT19">
        <f>IF(ROW()-3&gt;MAX($LS$4:$LS$40),"",INDEX($AD$4:$AD$40,MATCH(ROW()-3,$LS$4:$LS$40,0)))</f>
        <v/>
      </c>
      <c r="LU19">
        <f>IF(COUNTIF('Buyer Groups'!DG72:DJ72,0)+COUNTIF('Buyer Groups'!DL72:EN72,0)&gt;0,0,1)</f>
        <v/>
      </c>
      <c r="LV19">
        <f>IF($AI$19="",FALSE,SUMPRODUCT(('Final Calculation Sheet'!$A$4:$A$40=$AI$19)*($LU$6:$LU$42=1))&gt;0)</f>
        <v/>
      </c>
      <c r="LW19">
        <f>$LW$18+--($LV19)</f>
        <v/>
      </c>
      <c r="LX19">
        <f>IF(ROW()-3&gt;MAX($LW$4:$LW$40),"",INDEX($AI$4:$AI$40,MATCH(ROW()-3,$LW$4:$LW$40,0)))</f>
        <v/>
      </c>
      <c r="LY19">
        <f>IF(COUNTIF('Buyer Groups'!DG72:DK72,0)+COUNTIF('Buyer Groups'!DM72:EN72,0)&gt;0,0,1)</f>
        <v/>
      </c>
      <c r="LZ19">
        <f>IF($AN$19="",FALSE,SUMPRODUCT(('Final Calculation Sheet'!$E$4:$E$40=$AN$19)*($LY$6:$LY$42=1))&gt;0)</f>
        <v/>
      </c>
      <c r="MA19">
        <f>$MA$18+--($LZ19)</f>
        <v/>
      </c>
      <c r="MB19">
        <f>IF(ROW()-3&gt;MAX($MA$4:$MA$40),"",INDEX($AN$4:$AN$40,MATCH(ROW()-3,$MA$4:$MA$40,0)))</f>
        <v/>
      </c>
      <c r="MC19">
        <f>IF(COUNTIF('Buyer Groups'!DG72:DL72,0)+COUNTIF('Buyer Groups'!DN72:EN72,0)&gt;0,0,1)</f>
        <v/>
      </c>
      <c r="MD19">
        <f>IF($AS$19="",FALSE,SUMPRODUCT(('Final Calculation Sheet'!$C$4:$C$40=$AS$19)*($MC$6:$MC$42=1))&gt;0)</f>
        <v/>
      </c>
      <c r="ME19">
        <f>$ME$18+--($MD19)</f>
        <v/>
      </c>
      <c r="MF19">
        <f>IF(ROW()-3&gt;MAX($ME$4:$ME$40),"",INDEX($AS$4:$AS$40,MATCH(ROW()-3,$ME$4:$ME$40,0)))</f>
        <v/>
      </c>
      <c r="MG19">
        <f>IF(COUNTIF('Buyer Groups'!DG72:DM72,0)+COUNTIF('Buyer Groups'!DO72:EN72,0)&gt;0,0,1)</f>
        <v/>
      </c>
      <c r="MH19">
        <f>IF($AX$19="",FALSE,SUMPRODUCT(('Final Calculation Sheet'!$H$4:$H$40=$AX$19)*($MG$6:$MG$42=1))&gt;0)</f>
        <v/>
      </c>
      <c r="MI19">
        <f>$MI$18+--($MH19)</f>
        <v/>
      </c>
      <c r="MJ19">
        <f>IF(ROW()-3&gt;MAX($MI$4:$MI$40),"",INDEX($AX$4:$AX$40,MATCH(ROW()-3,$MI$4:$MI$40,0)))</f>
        <v/>
      </c>
      <c r="MK19">
        <f>IF(COUNTIF('Buyer Groups'!DG72:DN72,0)+COUNTIF('Buyer Groups'!DP72:EN72,0)&gt;0,0,1)</f>
        <v/>
      </c>
      <c r="ML19">
        <f>IF($BC$19="",FALSE,SUMPRODUCT(('Final Calculation Sheet'!$I$4:$I$40=$BC$19)*($MK$6:$MK$42=1))&gt;0)</f>
        <v/>
      </c>
      <c r="MM19">
        <f>$MM$18+--($ML19)</f>
        <v/>
      </c>
      <c r="MN19">
        <f>IF(ROW()-3&gt;MAX($MM$4:$MM$40),"",INDEX($BC$4:$BC$40,MATCH(ROW()-3,$MM$4:$MM$40,0)))</f>
        <v/>
      </c>
      <c r="MO19">
        <f>IF(COUNTIF('Buyer Groups'!DG72:DO72,0)+COUNTIF('Buyer Groups'!DQ72:EN72,0)&gt;0,0,1)</f>
        <v/>
      </c>
      <c r="MP19">
        <f>IF($BH$19="",FALSE,SUMPRODUCT(('Final Calculation Sheet'!$J$4:$J$40=$BH$19)*($MO$6:$MO$42=1))&gt;0)</f>
        <v/>
      </c>
      <c r="MQ19">
        <f>$MQ$18+--($MP19)</f>
        <v/>
      </c>
      <c r="MR19">
        <f>IF(ROW()-3&gt;MAX($MQ$4:$MQ$40),"",INDEX($BH$4:$BH$40,MATCH(ROW()-3,$MQ$4:$MQ$40,0)))</f>
        <v/>
      </c>
      <c r="MS19">
        <f>IF(COUNTIF('Buyer Groups'!DG72:DP72,0)+COUNTIF('Buyer Groups'!DR72:EN72,0)&gt;0,0,1)</f>
        <v/>
      </c>
      <c r="MT19">
        <f>IF($BM$19="",FALSE,SUMPRODUCT(('Final Calculation Sheet'!$K$4:$K$40=$BM$19)*($MS$6:$MS$42=1))&gt;0)</f>
        <v/>
      </c>
      <c r="MU19">
        <f>$MU$18+--($MT19)</f>
        <v/>
      </c>
      <c r="MV19">
        <f>IF(ROW()-3&gt;MAX($MU$4:$MU$40),"",INDEX($BM$4:$BM$40,MATCH(ROW()-3,$MU$4:$MU$40,0)))</f>
        <v/>
      </c>
      <c r="MW19">
        <f>IF(COUNTIF('Buyer Groups'!DG72:DQ72,0)+COUNTIF('Buyer Groups'!DS72:EN72,0)&gt;0,0,1)</f>
        <v/>
      </c>
      <c r="MX19">
        <f>IF($BR$19="",FALSE,SUMPRODUCT(('Final Calculation Sheet'!$L$4:$L$40=$BR$19)*($MW$6:$MW$42=1))&gt;0)</f>
        <v/>
      </c>
      <c r="MY19">
        <f>$MY$18+--($MX19)</f>
        <v/>
      </c>
      <c r="MZ19">
        <f>IF(ROW()-3&gt;MAX($MY$4:$MY$40),"",INDEX($BR$4:$BR$40,MATCH(ROW()-3,$MY$4:$MY$40,0)))</f>
        <v/>
      </c>
      <c r="NA19">
        <f>IF(COUNTIF('Buyer Groups'!DG72:DR72,0)+COUNTIF('Buyer Groups'!DT72:EN72,0)&gt;0,0,1)</f>
        <v/>
      </c>
      <c r="NB19">
        <f>IF($BW$19="",FALSE,SUMPRODUCT(('Final Calculation Sheet'!$M$4:$M$40=$BW$19)*($NA$6:$NA$42=1))&gt;0)</f>
        <v/>
      </c>
      <c r="NC19">
        <f>$NC$18+--($NB19)</f>
        <v/>
      </c>
      <c r="ND19">
        <f>IF(ROW()-3&gt;MAX($NC$4:$NC$40),"",INDEX($BW$4:$BW$40,MATCH(ROW()-3,$NC$4:$NC$40,0)))</f>
        <v/>
      </c>
      <c r="NE19">
        <f>IF(COUNTIF('Buyer Groups'!DG72:DS72,0)+COUNTIF('Buyer Groups'!DU72:EN72,0)&gt;0,0,1)</f>
        <v/>
      </c>
      <c r="NF19">
        <f>IF($CB$19="",FALSE,SUMPRODUCT(('Final Calculation Sheet'!$N$4:$N$40=$CB$19)*($NE$6:$NE$42=1))&gt;0)</f>
        <v/>
      </c>
      <c r="NG19">
        <f>$NG$18+--($NF19)</f>
        <v/>
      </c>
      <c r="NH19">
        <f>IF(ROW()-3&gt;MAX($NG$4:$NG$40),"",INDEX($CB$4:$CB$40,MATCH(ROW()-3,$NG$4:$NG$40,0)))</f>
        <v/>
      </c>
      <c r="NI19">
        <f>IF(COUNTIF('Buyer Groups'!DG72:DT72,0)+COUNTIF('Buyer Groups'!DV72:EN72,0)&gt;0,0,1)</f>
        <v/>
      </c>
      <c r="NJ19">
        <f>IF($CG$19="",FALSE,SUMPRODUCT(('Final Calculation Sheet'!$O$4:$O$40=$CG$19)*($NI$6:$NI$42=1))&gt;0)</f>
        <v/>
      </c>
      <c r="NK19">
        <f>$NK$18+--($NJ19)</f>
        <v/>
      </c>
      <c r="NL19">
        <f>IF(ROW()-3&gt;MAX($NK$4:$NK$40),"",INDEX($CG$4:$CG$40,MATCH(ROW()-3,$NK$4:$NK$40,0)))</f>
        <v/>
      </c>
      <c r="NM19">
        <f>IF(COUNTIF('Buyer Groups'!DG72:DU72,0)+COUNTIF('Buyer Groups'!DW72:EN72,0)&gt;0,0,1)</f>
        <v/>
      </c>
      <c r="NN19">
        <f>IF($CL$19="",FALSE,SUMPRODUCT(('Final Calculation Sheet'!$P$4:$P$40=$CL$19)*($NM$6:$NM$42=1))&gt;0)</f>
        <v/>
      </c>
      <c r="NO19">
        <f>$NO$18+--($NN19)</f>
        <v/>
      </c>
      <c r="NP19">
        <f>IF(ROW()-3&gt;MAX($NO$4:$NO$40),"",INDEX($CL$4:$CL$40,MATCH(ROW()-3,$NO$4:$NO$40,0)))</f>
        <v/>
      </c>
      <c r="NQ19">
        <f>IF(COUNTIF('Buyer Groups'!DG72:DV72,0)+COUNTIF('Buyer Groups'!DX72:EN72,0)&gt;0,0,1)</f>
        <v/>
      </c>
      <c r="NR19">
        <f>IF($CQ$19="",FALSE,SUMPRODUCT(('Final Calculation Sheet'!$Q$4:$Q$40=$CQ$19)*($NQ$6:$NQ$42=1))&gt;0)</f>
        <v/>
      </c>
      <c r="NS19">
        <f>$NS$18+--($NR19)</f>
        <v/>
      </c>
      <c r="NT19">
        <f>IF(ROW()-3&gt;MAX($NS$4:$NS$40),"",INDEX($CQ$4:$CQ$40,MATCH(ROW()-3,$NS$4:$NS$40,0)))</f>
        <v/>
      </c>
      <c r="NU19">
        <f>IF(COUNTIF('Buyer Groups'!DG72:DW72,0)+COUNTIF('Buyer Groups'!DY72:EN72,0)&gt;0,0,1)</f>
        <v/>
      </c>
      <c r="NV19">
        <f>IF($CV$19="",FALSE,SUMPRODUCT(('Final Calculation Sheet'!$R$4:$R$40=$CV$19)*($NU$6:$NU$42=1))&gt;0)</f>
        <v/>
      </c>
      <c r="NW19">
        <f>$NW$18+--($NV19)</f>
        <v/>
      </c>
      <c r="NX19">
        <f>IF(ROW()-3&gt;MAX($NW$4:$NW$40),"",INDEX($CV$4:$CV$40,MATCH(ROW()-3,$NW$4:$NW$40,0)))</f>
        <v/>
      </c>
      <c r="NY19">
        <f>IF(COUNTIF('Buyer Groups'!DG72:DX72,0)+COUNTIF('Buyer Groups'!DZ72:EN72,0)&gt;0,0,1)</f>
        <v/>
      </c>
      <c r="NZ19">
        <f>IF($DA$19="",FALSE,SUMPRODUCT(('Final Calculation Sheet'!$S$4:$S$40=$DA$19)*($NY$6:$NY$42=1))&gt;0)</f>
        <v/>
      </c>
      <c r="OA19">
        <f>$OA$18+--($NZ19)</f>
        <v/>
      </c>
      <c r="OB19">
        <f>IF(ROW()-3&gt;MAX($OA$4:$OA$40),"",INDEX($DA$4:$DA$40,MATCH(ROW()-3,$OA$4:$OA$40,0)))</f>
        <v/>
      </c>
      <c r="OC19">
        <f>IF(COUNTIF('Buyer Groups'!DG72:DY72,0)+COUNTIF('Buyer Groups'!EA72:EN72,0)&gt;0,0,1)</f>
        <v/>
      </c>
      <c r="OD19">
        <f>IF($DF$19="",FALSE,SUMPRODUCT(('Final Calculation Sheet'!$T$4:$T$40=$DF$19)*($OC$6:$OC$42=1))&gt;0)</f>
        <v/>
      </c>
      <c r="OE19">
        <f>$OE$18+--($OD19)</f>
        <v/>
      </c>
      <c r="OF19">
        <f>IF(ROW()-3&gt;MAX($OE$4:$OE$40),"",INDEX($DF$4:$DF$40,MATCH(ROW()-3,$OE$4:$OE$40,0)))</f>
        <v/>
      </c>
      <c r="OG19">
        <f>IF(COUNTIF('Buyer Groups'!DG72:DZ72,0)+COUNTIF('Buyer Groups'!EB72:EN72,0)&gt;0,0,1)</f>
        <v/>
      </c>
      <c r="OH19">
        <f>IF($DK$19="",FALSE,SUMPRODUCT(('Final Calculation Sheet'!$U$4:$U$40=$DK$19)*($OG$6:$OG$42=1))&gt;0)</f>
        <v/>
      </c>
      <c r="OI19">
        <f>$OI$18+--($OH19)</f>
        <v/>
      </c>
      <c r="OJ19">
        <f>IF(ROW()-3&gt;MAX($OI$4:$OI$40),"",INDEX($DK$4:$DK$40,MATCH(ROW()-3,$OI$4:$OI$40,0)))</f>
        <v/>
      </c>
      <c r="OK19">
        <f>IF(COUNTIF('Buyer Groups'!DG72:EA72,0)+COUNTIF('Buyer Groups'!EC72:EN72,0)&gt;0,0,1)</f>
        <v/>
      </c>
      <c r="OL19">
        <f>IF($DP$19="",FALSE,SUMPRODUCT(('Final Calculation Sheet'!$V$4:$V$40=$DP$19)*($OK$6:$OK$42=1))&gt;0)</f>
        <v/>
      </c>
      <c r="OM19">
        <f>$OM$18+--($OL19)</f>
        <v/>
      </c>
      <c r="ON19">
        <f>IF(ROW()-3&gt;MAX($OM$4:$OM$40),"",INDEX($DP$4:$DP$40,MATCH(ROW()-3,$OM$4:$OM$40,0)))</f>
        <v/>
      </c>
      <c r="OO19">
        <f>IF(COUNTIF('Buyer Groups'!DG72:EB72,0)+COUNTIF('Buyer Groups'!ED72:EN72,0)&gt;0,0,1)</f>
        <v/>
      </c>
      <c r="OP19">
        <f>IF($DU$19="",FALSE,SUMPRODUCT(('Final Calculation Sheet'!$W$4:$W$40=$DU$19)*($OO$6:$OO$42=1))&gt;0)</f>
        <v/>
      </c>
      <c r="OQ19">
        <f>$OQ$18+--($OP19)</f>
        <v/>
      </c>
      <c r="OR19">
        <f>IF(ROW()-3&gt;MAX($OQ$4:$OQ$40),"",INDEX($DU$4:$DU$40,MATCH(ROW()-3,$OQ$4:$OQ$40,0)))</f>
        <v/>
      </c>
      <c r="OS19">
        <f>IF(COUNTIF('Buyer Groups'!DG72:EC72,0)+COUNTIF('Buyer Groups'!EE72:EN72,0)&gt;0,0,1)</f>
        <v/>
      </c>
      <c r="OT19">
        <f>IF($DZ$19="",FALSE,SUMPRODUCT(('Final Calculation Sheet'!$X$4:$X$40=$DZ$19)*($OS$6:$OS$42=1))&gt;0)</f>
        <v/>
      </c>
      <c r="OU19">
        <f>$OU$18+--($OT19)</f>
        <v/>
      </c>
      <c r="OV19">
        <f>IF(ROW()-3&gt;MAX($OU$4:$OU$40),"",INDEX($DZ$4:$DZ$40,MATCH(ROW()-3,$OU$4:$OU$40,0)))</f>
        <v/>
      </c>
      <c r="OW19">
        <f>IF(COUNTIF('Buyer Groups'!DG72:ED72,0)+COUNTIF('Buyer Groups'!EF72:EN72,0)&gt;0,0,1)</f>
        <v/>
      </c>
      <c r="OX19">
        <f>IF($EE$19="",FALSE,SUMPRODUCT(('Final Calculation Sheet'!$Y$4:$Y$40=$EE$19)*($OW$6:$OW$42=1))&gt;0)</f>
        <v/>
      </c>
      <c r="OY19">
        <f>$OY$18+--($OX19)</f>
        <v/>
      </c>
      <c r="OZ19">
        <f>IF(ROW()-3&gt;MAX($OY$4:$OY$40),"",INDEX($EE$4:$EE$40,MATCH(ROW()-3,$OY$4:$OY$40,0)))</f>
        <v/>
      </c>
      <c r="PA19">
        <f>IF(COUNTIF('Buyer Groups'!DG72:EE72,0)+COUNTIF('Buyer Groups'!EG72:EN72,0)&gt;0,0,1)</f>
        <v/>
      </c>
      <c r="PB19">
        <f>IF($EJ$19="",FALSE,SUMPRODUCT(('Final Calculation Sheet'!$Z$4:$Z$40=$EJ$19)*($PA$6:$PA$42=1))&gt;0)</f>
        <v/>
      </c>
      <c r="PC19">
        <f>$PC$18+--($PB19)</f>
        <v/>
      </c>
      <c r="PD19">
        <f>IF(ROW()-3&gt;MAX($PC$4:$PC$40),"",INDEX($EJ$4:$EJ$40,MATCH(ROW()-3,$PC$4:$PC$40,0)))</f>
        <v/>
      </c>
      <c r="PE19">
        <f>IF(COUNTIF('Buyer Groups'!DG72:EF72,0)+COUNTIF('Buyer Groups'!EH72:EN72,0)&gt;0,0,1)</f>
        <v/>
      </c>
      <c r="PF19">
        <f>IF($EO$19="",FALSE,SUMPRODUCT(('Final Calculation Sheet'!$AA$4:$AA$40=$EO$19)*($PE$6:$PE$42=1))&gt;0)</f>
        <v/>
      </c>
      <c r="PG19">
        <f>$PG$18+--($PF19)</f>
        <v/>
      </c>
      <c r="PH19">
        <f>IF(ROW()-3&gt;MAX($PG$4:$PG$40),"",INDEX($EO$4:$EO$40,MATCH(ROW()-3,$PG$4:$PG$40,0)))</f>
        <v/>
      </c>
      <c r="PI19">
        <f>IF(COUNTIF('Buyer Groups'!DG72:EG72,0)+COUNTIF('Buyer Groups'!EI72:EN72,0)&gt;0,0,1)</f>
        <v/>
      </c>
      <c r="PJ19">
        <f>IF($ET$19="",FALSE,SUMPRODUCT(('Final Calculation Sheet'!$AB$4:$AB$40=$ET$19)*($PI$6:$PI$42=1))&gt;0)</f>
        <v/>
      </c>
      <c r="PK19">
        <f>$PK$18+--($PJ19)</f>
        <v/>
      </c>
      <c r="PL19">
        <f>IF(ROW()-3&gt;MAX($PK$4:$PK$40),"",INDEX($ET$4:$ET$40,MATCH(ROW()-3,$PK$4:$PK$40,0)))</f>
        <v/>
      </c>
      <c r="PM19">
        <f>IF(COUNTIF('Buyer Groups'!DG72:EH72,0)+COUNTIF('Buyer Groups'!EJ72:EN72,0)&gt;0,0,1)</f>
        <v/>
      </c>
      <c r="PN19">
        <f>IF($EY$19="",FALSE,SUMPRODUCT(('Final Calculation Sheet'!$AC$4:$AC$40=$EY$19)*($PM$6:$PM$42=1))&gt;0)</f>
        <v/>
      </c>
      <c r="PO19">
        <f>$PO$18+--($PN19)</f>
        <v/>
      </c>
      <c r="PP19">
        <f>IF(ROW()-3&gt;MAX($PO$4:$PO$40),"",INDEX($EY$4:$EY$40,MATCH(ROW()-3,$PO$4:$PO$40,0)))</f>
        <v/>
      </c>
      <c r="PQ19">
        <f>IF(COUNTIF('Buyer Groups'!DG72:EI72,0)+COUNTIF('Buyer Groups'!EK72:EN72,0)&gt;0,0,1)</f>
        <v/>
      </c>
      <c r="PR19">
        <f>IF($FD$19="",FALSE,SUMPRODUCT(('Final Calculation Sheet'!$AD$4:$AD$40=$FD$19)*($PQ$6:$PQ$42=1))&gt;0)</f>
        <v/>
      </c>
      <c r="PS19">
        <f>$PS$18+--($PR19)</f>
        <v/>
      </c>
      <c r="PT19">
        <f>IF(ROW()-3&gt;MAX($PS$4:$PS$40),"",INDEX($FD$4:$FD$40,MATCH(ROW()-3,$PS$4:$PS$40,0)))</f>
        <v/>
      </c>
      <c r="PU19">
        <f>IF(COUNTIF('Buyer Groups'!DG72:EJ72,0)+COUNTIF('Buyer Groups'!EL72:EN72,0)&gt;0,0,1)</f>
        <v/>
      </c>
      <c r="PV19">
        <f>IF($FX$19="",FALSE,SUMPRODUCT((IF('Final Calculation Sheet'!$AD$4:$AD$40&lt;=5,"SETTLED","OUTSTANDING")=$FX$19)*($PU$6:$PU$42=1))&gt;0)</f>
        <v/>
      </c>
      <c r="PW19">
        <f>$PW$18+--($PV19)</f>
        <v/>
      </c>
      <c r="PX19">
        <f>IF(ROW()-3&gt;MAX($PW$4:$PW$40),"",INDEX($FX$4:$FX$40,MATCH(ROW()-3,$PW$4:$PW$40,0)))</f>
        <v/>
      </c>
      <c r="PY19">
        <f>IF(COUNTIF('Buyer Groups'!DG72:EK72,0)+COUNTIF('Buyer Groups'!EM72:EN72,0)&gt;0,0,1)</f>
        <v/>
      </c>
      <c r="PZ19">
        <f>IF($FI$19="",FALSE,SUMPRODUCT(('Final Calculation Sheet'!$AF$4:$AF$40=$FI$19)*($PY$6:$PY$42=1))&gt;0)</f>
        <v/>
      </c>
      <c r="QA19">
        <f>$QA$18+--($PZ19)</f>
        <v/>
      </c>
      <c r="QB19">
        <f>IF(ROW()-3&gt;MAX($QA$4:$QA$40),"",INDEX($FI$4:$FI$40,MATCH(ROW()-3,$QA$4:$QA$40,0)))</f>
        <v/>
      </c>
      <c r="QC19">
        <f>IF(COUNTIF('Buyer Groups'!DG72:EL72,0)+COUNTIF('Buyer Groups'!EN72:EN72,0)&gt;0,0,1)</f>
        <v/>
      </c>
      <c r="QD19">
        <f>IF($FN$19="",FALSE,SUMPRODUCT(('Final Calculation Sheet'!$AG$4:$AG$40=$FN$19)*($QC$6:$QC$42=1))&gt;0)</f>
        <v/>
      </c>
      <c r="QE19">
        <f>$QE$18+--($QD19)</f>
        <v/>
      </c>
      <c r="QF19">
        <f>IF(ROW()-3&gt;MAX($QE$4:$QE$40),"",INDEX($FN$4:$FN$40,MATCH(ROW()-3,$QE$4:$QE$40,0)))</f>
        <v/>
      </c>
      <c r="QG19">
        <f>IF(COUNTIF('Buyer Groups'!DG72:EM72,0)&gt;0,0,1)</f>
        <v/>
      </c>
      <c r="QH19">
        <f>IF($FS$19="",FALSE,SUMPRODUCT(('Final Calculation Sheet'!$AH$4:$AH$40=$FS$19)*($QG$6:$QG$42=1))&gt;0)</f>
        <v/>
      </c>
      <c r="QI19">
        <f>$QI$18+--($QH19)</f>
        <v/>
      </c>
      <c r="QJ19">
        <f>IF(ROW()-3&gt;MAX($QI$4:$QI$40),"",INDEX($FS$4:$FS$40,MATCH(ROW()-3,$QI$4:$QI$40,0)))</f>
        <v/>
      </c>
      <c r="QK19" t="str">
        <f>IF('Final Calculation Sheet'!$AH$19="","",'Final Calculation Sheet'!$AH$19)</f>
      </c>
      <c r="QL19" t="str">
        <f>IF(QK19="","",COUNTIFS(QK$4:QK$40,"&lt;"&amp;QK19,QK$4:QK$40,"&lt;&gt;"&amp;"")+COUNTIF(QK$4:QK19,QK19))</f>
      </c>
      <c r="QM19" t="str">
        <f>IF(ROW()-3&gt;COUNTIF(QK$4:QK$40,"&lt;&gt;"&amp;""),"",INDEX(QK$4:QK$40,MATCH(ROW()-3,QL$4:QL$40,0)))</f>
      </c>
      <c r="QN19" t="str">
        <f>=QN18+F(AND(QM19&lt;&gt;"",COUNTIF(QM$4:QM19,QM19)=1),1,0)</f>
      </c>
      <c r="QO19" t="str">
        <f>IF(ROW()-3&gt;MAX(QN$4:QN$40),"",INDEX(QM$4:QM$40,MATCH(ROW()-3,QN$4:QN$40,0)))</f>
      </c>
      <c r="QP19" t="str">
        <f>IF(COUNTIF('Final Calculation Sheet'!$AM19:$BS19,0)&gt;0,0,1)</f>
      </c>
      <c r="QQ19" t="str">
        <f>IF($AI$19="",FALSE,SUMPRODUCT(('Final Calculation Sheet'!$A$4:$A$40=$AI$19)*($QP$4:$QP$40=1))&gt;0)</f>
      </c>
      <c r="QR19" t="str">
        <f>=$QR18+--($QQ19)</f>
      </c>
      <c r="QS19" t="str">
        <f>IF(ROW()-3&gt;MAX($QR$4:$QR$40),"",INDEX($AI$4:$AI$40,MATCH(ROW()-3,$QR$4:$QR$40,0)))</f>
      </c>
      <c r="QT19" t="str">
        <f>IF(COUNTIF('Final Calculation Sheet'!$AL19:$AL19,0)+COUNTIF('Final Calculation Sheet'!$AN19:$BS19,0)&gt;0,0,1)</f>
      </c>
      <c r="QU19" t="str">
        <f>IF($Y$19="",FALSE,SUMPRODUCT(('Final Calculation Sheet'!$B$4:$B$40=$Y$19)*($QT$4:$QT$40=1))&gt;0)</f>
      </c>
      <c r="QV19" t="str">
        <f>=$QV18+--($QU19)</f>
      </c>
      <c r="QW19" t="str">
        <f>IF(ROW()-3&gt;MAX($QV$4:$QV$40),"",INDEX($Y$4:$Y$40,MATCH(ROW()-3,$QV$4:$QV$40,0)))</f>
      </c>
      <c r="QX19" t="str">
        <f>IF(COUNTIF('Final Calculation Sheet'!$AL19:$AM19,0)+COUNTIF('Final Calculation Sheet'!$AO19:$BS19,0)&gt;0,0,1)</f>
      </c>
      <c r="QY19" t="str">
        <f>IF($AS$19="",FALSE,SUMPRODUCT(('Final Calculation Sheet'!$C$4:$C$40=$AS$19)*($QX$4:$QX$40=1))&gt;0)</f>
      </c>
      <c r="QZ19" t="str">
        <f>=$QZ18+--($QY19)</f>
      </c>
      <c r="RA19" t="str">
        <f>IF(ROW()-3&gt;MAX($QZ$4:$QZ$40),"",INDEX($AS$4:$AS$40,MATCH(ROW()-3,$QZ$4:$QZ$40,0)))</f>
      </c>
      <c r="RB19" t="str">
        <f>IF(COUNTIF('Final Calculation Sheet'!$AL19:$AN19,0)+COUNTIF('Final Calculation Sheet'!$AP19:$BS19,0)&gt;0,0,1)</f>
      </c>
      <c r="RC19" t="str">
        <f>IF($AD$19="",FALSE,SUMPRODUCT(('Final Calculation Sheet'!$D$4:$D$40=$AD$19)*($RB$4:$RB$40=1))&gt;0)</f>
      </c>
      <c r="RD19" t="str">
        <f>=$RD18+--($RC19)</f>
      </c>
      <c r="RE19" t="str">
        <f>IF(ROW()-3&gt;MAX($RD$4:$RD$40),"",INDEX($AD$4:$AD$40,MATCH(ROW()-3,$RD$4:$RD$40,0)))</f>
      </c>
      <c r="RF19" t="str">
        <f>IF(COUNTIF('Final Calculation Sheet'!$AL19:$AO19,0)+COUNTIF('Final Calculation Sheet'!$AQ19:$BS19,0)&gt;0,0,1)</f>
      </c>
      <c r="RG19" t="str">
        <f>IF($AN$19="",FALSE,SUMPRODUCT(('Final Calculation Sheet'!$E$4:$E$40=$AN$19)*($RF$4:$RF$40=1))&gt;0)</f>
      </c>
      <c r="RH19" t="str">
        <f>=$RH18+--($RG19)</f>
      </c>
      <c r="RI19" t="str">
        <f>IF(ROW()-3&gt;MAX($RH$4:$RH$40),"",INDEX($AN$4:$AN$40,MATCH(ROW()-3,$RH$4:$RH$40,0)))</f>
      </c>
      <c r="RJ19" t="str">
        <f>IF(COUNTIF('Final Calculation Sheet'!$AL19:$AP19,0)+COUNTIF('Final Calculation Sheet'!$AR19:$BS19,0)&gt;0,0,1)</f>
      </c>
      <c r="RK19" t="str">
        <f>IF($O$19="",FALSE,SUMPRODUCT(('Final Calculation Sheet'!$F$4:$F$40=$O$19)*($RJ$4:$RJ$40=1))&gt;0)</f>
      </c>
      <c r="RL19" t="str">
        <f>=$RL18+--($RK19)</f>
      </c>
      <c r="RM19" t="str">
        <f>IF(ROW()-3&gt;MAX($RL$4:$RL$40),"",INDEX($O$4:$O$40,MATCH(ROW()-3,$RL$4:$RL$40,0)))</f>
      </c>
      <c r="RN19" t="str">
        <f>IF(COUNTIF('Final Calculation Sheet'!$AL19:$AQ19,0)+COUNTIF('Final Calculation Sheet'!$AS19:$BS19,0)&gt;0,0,1)</f>
      </c>
      <c r="RO19" t="str">
        <f>IF($T$19="",FALSE,SUMPRODUCT(('Final Calculation Sheet'!$G$4:$G$40=$T$19)*($RN$4:$RN$40=1))&gt;0)</f>
      </c>
      <c r="RP19" t="str">
        <f>=$RP18+--($RO19)</f>
      </c>
      <c r="RQ19" t="str">
        <f>IF(ROW()-3&gt;MAX($RP$4:$RP$40),"",INDEX($T$4:$T$40,MATCH(ROW()-3,$RP$4:$RP$40,0)))</f>
      </c>
      <c r="RR19" t="str">
        <f>IF(COUNTIF('Final Calculation Sheet'!$AL19:$AR19,0)+COUNTIF('Final Calculation Sheet'!$AT19:$BS19,0)&gt;0,0,1)</f>
      </c>
      <c r="RS19" t="str">
        <f>IF($AX$19="",FALSE,SUMPRODUCT(('Final Calculation Sheet'!$H$4:$H$40=$AX$19)*($RR$4:$RR$40=1))&gt;0)</f>
      </c>
      <c r="RT19" t="str">
        <f>=$RT18+--($RS19)</f>
      </c>
      <c r="RU19" t="str">
        <f>IF(ROW()-3&gt;MAX($RT$4:$RT$40),"",INDEX($AX$4:$AX$40,MATCH(ROW()-3,$RT$4:$RT$40,0)))</f>
      </c>
      <c r="RV19" t="str">
        <f>IF(COUNTIF('Final Calculation Sheet'!$AL19:$AS19,0)+COUNTIF('Final Calculation Sheet'!$AU19:$BS19,0)&gt;0,0,1)</f>
      </c>
      <c r="RW19" t="str">
        <f>IF($BC$19="",FALSE,SUMPRODUCT(('Final Calculation Sheet'!$I$4:$I$40=$BC$19)*($RV$4:$RV$40=1))&gt;0)</f>
      </c>
      <c r="RX19" t="str">
        <f>=$RX18+--($RW19)</f>
      </c>
      <c r="RY19" t="str">
        <f>IF(ROW()-3&gt;MAX($RX$4:$RX$40),"",INDEX($BC$4:$BC$40,MATCH(ROW()-3,$RX$4:$RX$40,0)))</f>
      </c>
      <c r="RZ19" t="str">
        <f>IF(COUNTIF('Final Calculation Sheet'!$AL19:$AT19,0)+COUNTIF('Final Calculation Sheet'!$AV19:$BS19,0)&gt;0,0,1)</f>
      </c>
      <c r="SA19" t="str">
        <f>IF($BH$19="",FALSE,SUMPRODUCT(('Final Calculation Sheet'!$J$4:$J$40=$BH$19)*($RZ$4:$RZ$40=1))&gt;0)</f>
      </c>
      <c r="SB19" t="str">
        <f>=$SB18+--($SA19)</f>
      </c>
      <c r="SC19" t="str">
        <f>IF(ROW()-3&gt;MAX($SB$4:$SB$40),"",INDEX($BH$4:$BH$40,MATCH(ROW()-3,$SB$4:$SB$40,0)))</f>
      </c>
      <c r="SD19" t="str">
        <f>IF(COUNTIF('Final Calculation Sheet'!$AL19:$AU19,0)+COUNTIF('Final Calculation Sheet'!$AW19:$BS19,0)&gt;0,0,1)</f>
      </c>
      <c r="SE19" t="str">
        <f>IF($BM$19="",FALSE,SUMPRODUCT(('Final Calculation Sheet'!$K$4:$K$40=$BM$19)*($SD$4:$SD$40=1))&gt;0)</f>
      </c>
      <c r="SF19" t="str">
        <f>=$SF18+--($SE19)</f>
      </c>
      <c r="SG19" t="str">
        <f>IF(ROW()-3&gt;MAX($SF$4:$SF$40),"",INDEX($BM$4:$BM$40,MATCH(ROW()-3,$SF$4:$SF$40,0)))</f>
      </c>
      <c r="SH19" t="str">
        <f>IF(COUNTIF('Final Calculation Sheet'!$AL19:$AV19,0)+COUNTIF('Final Calculation Sheet'!$AX19:$BS19,0)&gt;0,0,1)</f>
      </c>
      <c r="SI19" t="str">
        <f>IF($BR$19="",FALSE,SUMPRODUCT(('Final Calculation Sheet'!$L$4:$L$40=$BR$19)*($SH$4:$SH$40=1))&gt;0)</f>
      </c>
      <c r="SJ19" t="str">
        <f>=$SJ18+--($SI19)</f>
      </c>
      <c r="SK19" t="str">
        <f>IF(ROW()-3&gt;MAX($SJ$4:$SJ$40),"",INDEX($BR$4:$BR$40,MATCH(ROW()-3,$SJ$4:$SJ$40,0)))</f>
      </c>
      <c r="SL19" t="str">
        <f>IF(COUNTIF('Final Calculation Sheet'!$AL19:$AW19,0)+COUNTIF('Final Calculation Sheet'!$AY19:$BS19,0)&gt;0,0,1)</f>
      </c>
      <c r="SM19" t="str">
        <f>IF($BW$19="",FALSE,SUMPRODUCT(('Final Calculation Sheet'!$M$4:$M$40=$BW$19)*($SL$4:$SL$40=1))&gt;0)</f>
      </c>
      <c r="SN19" t="str">
        <f>=$SN18+--($SM19)</f>
      </c>
      <c r="SO19" t="str">
        <f>IF(ROW()-3&gt;MAX($SN$4:$SN$40),"",INDEX($BW$4:$BW$40,MATCH(ROW()-3,$SN$4:$SN$40,0)))</f>
      </c>
      <c r="SP19" t="str">
        <f>IF(COUNTIF('Final Calculation Sheet'!$AL19:$AX19,0)+COUNTIF('Final Calculation Sheet'!$AZ19:$BS19,0)&gt;0,0,1)</f>
      </c>
      <c r="SQ19" t="str">
        <f>IF($CB$19="",FALSE,SUMPRODUCT(('Final Calculation Sheet'!$N$4:$N$40=$CB$19)*($SP$4:$SP$40=1))&gt;0)</f>
      </c>
      <c r="SR19" t="str">
        <f>=$SR18+--($SQ19)</f>
      </c>
      <c r="SS19" t="str">
        <f>IF(ROW()-3&gt;MAX($SR$4:$SR$40),"",INDEX($CB$4:$CB$40,MATCH(ROW()-3,$SR$4:$SR$40,0)))</f>
      </c>
      <c r="ST19" t="str">
        <f>IF(COUNTIF('Final Calculation Sheet'!$AL19:$AY19,0)+COUNTIF('Final Calculation Sheet'!$BA19:$BS19,0)&gt;0,0,1)</f>
      </c>
      <c r="SU19" t="str">
        <f>IF($CG$19="",FALSE,SUMPRODUCT(('Final Calculation Sheet'!$O$4:$O$40=$CG$19)*($ST$4:$ST$40=1))&gt;0)</f>
      </c>
      <c r="SV19" t="str">
        <f>=$SV18+--($SU19)</f>
      </c>
      <c r="SW19" t="str">
        <f>IF(ROW()-3&gt;MAX($SV$4:$SV$40),"",INDEX($CG$4:$CG$40,MATCH(ROW()-3,$SV$4:$SV$40,0)))</f>
      </c>
      <c r="SX19" t="str">
        <f>IF(COUNTIF('Final Calculation Sheet'!$AL19:$AZ19,0)+COUNTIF('Final Calculation Sheet'!$BB19:$BS19,0)&gt;0,0,1)</f>
      </c>
      <c r="SY19" t="str">
        <f>IF($CL$19="",FALSE,SUMPRODUCT(('Final Calculation Sheet'!$P$4:$P$40=$CL$19)*($SX$4:$SX$40=1))&gt;0)</f>
      </c>
      <c r="SZ19" t="str">
        <f>=$SZ18+--($SY19)</f>
      </c>
      <c r="TA19" t="str">
        <f>IF(ROW()-3&gt;MAX($SZ$4:$SZ$40),"",INDEX($CL$4:$CL$40,MATCH(ROW()-3,$SZ$4:$SZ$40,0)))</f>
      </c>
      <c r="TB19" t="str">
        <f>IF(COUNTIF('Final Calculation Sheet'!$AL19:$BA19,0)+COUNTIF('Final Calculation Sheet'!$BC19:$BS19,0)&gt;0,0,1)</f>
      </c>
      <c r="TC19" t="str">
        <f>IF($CQ$19="",FALSE,SUMPRODUCT(('Final Calculation Sheet'!$Q$4:$Q$40=$CQ$19)*($TB$4:$TB$40=1))&gt;0)</f>
      </c>
      <c r="TD19" t="str">
        <f>=$TD18+--($TC19)</f>
      </c>
      <c r="TE19" t="str">
        <f>IF(ROW()-3&gt;MAX($TD$4:$TD$40),"",INDEX($CQ$4:$CQ$40,MATCH(ROW()-3,$TD$4:$TD$40,0)))</f>
      </c>
      <c r="TF19" t="str">
        <f>IF(COUNTIF('Final Calculation Sheet'!$AL19:$BB19,0)+COUNTIF('Final Calculation Sheet'!$BD19:$BS19,0)&gt;0,0,1)</f>
      </c>
      <c r="TG19" t="str">
        <f>IF($CV$19="",FALSE,SUMPRODUCT(('Final Calculation Sheet'!$R$4:$R$40=$CV$19)*($TF$4:$TF$40=1))&gt;0)</f>
      </c>
      <c r="TH19" t="str">
        <f>=$TH18+--($TG19)</f>
      </c>
      <c r="TI19" t="str">
        <f>IF(ROW()-3&gt;MAX($TH$4:$TH$40),"",INDEX($CV$4:$CV$40,MATCH(ROW()-3,$TH$4:$TH$40,0)))</f>
      </c>
      <c r="TJ19" t="str">
        <f>IF(COUNTIF('Final Calculation Sheet'!$AL19:$BC19,0)+COUNTIF('Final Calculation Sheet'!$BE19:$BS19,0)&gt;0,0,1)</f>
      </c>
      <c r="TK19" t="str">
        <f>IF($DA$19="",FALSE,SUMPRODUCT(('Final Calculation Sheet'!$S$4:$S$40=$DA$19)*($TJ$4:$TJ$40=1))&gt;0)</f>
      </c>
      <c r="TL19" t="str">
        <f>=$TL18+--($TK19)</f>
      </c>
      <c r="TM19" t="str">
        <f>IF(ROW()-3&gt;MAX($TL$4:$TL$40),"",INDEX($DA$4:$DA$40,MATCH(ROW()-3,$TL$4:$TL$40,0)))</f>
      </c>
      <c r="TN19" t="str">
        <f>IF(COUNTIF('Final Calculation Sheet'!$AL19:$BD19,0)+COUNTIF('Final Calculation Sheet'!$BF19:$BS19,0)&gt;0,0,1)</f>
      </c>
      <c r="TO19" t="str">
        <f>IF($DF$19="",FALSE,SUMPRODUCT(('Final Calculation Sheet'!$T$4:$T$40=$DF$19)*($TN$4:$TN$40=1))&gt;0)</f>
      </c>
      <c r="TP19" t="str">
        <f>=$TP18+--($TO19)</f>
      </c>
      <c r="TQ19" t="str">
        <f>IF(ROW()-3&gt;MAX($TP$4:$TP$40),"",INDEX($DF$4:$DF$40,MATCH(ROW()-3,$TP$4:$TP$40,0)))</f>
      </c>
      <c r="TR19" t="str">
        <f>IF(COUNTIF('Final Calculation Sheet'!$AL19:$BE19,0)+COUNTIF('Final Calculation Sheet'!$BG19:$BS19,0)&gt;0,0,1)</f>
      </c>
      <c r="TS19" t="str">
        <f>IF($DK$19="",FALSE,SUMPRODUCT(('Final Calculation Sheet'!$U$4:$U$40=$DK$19)*($TR$4:$TR$40=1))&gt;0)</f>
      </c>
      <c r="TT19" t="str">
        <f>=$TT18+--($TS19)</f>
      </c>
      <c r="TU19" t="str">
        <f>IF(ROW()-3&gt;MAX($TT$4:$TT$40),"",INDEX($DK$4:$DK$40,MATCH(ROW()-3,$TT$4:$TT$40,0)))</f>
      </c>
      <c r="TV19" t="str">
        <f>IF(COUNTIF('Final Calculation Sheet'!$AL19:$BF19,0)+COUNTIF('Final Calculation Sheet'!$BH19:$BS19,0)&gt;0,0,1)</f>
      </c>
      <c r="TW19" t="str">
        <f>IF($DP$19="",FALSE,SUMPRODUCT(('Final Calculation Sheet'!$V$4:$V$40=$DP$19)*($TV$4:$TV$40=1))&gt;0)</f>
      </c>
      <c r="TX19" t="str">
        <f>=$TX18+--($TW19)</f>
      </c>
      <c r="TY19" t="str">
        <f>IF(ROW()-3&gt;MAX($TX$4:$TX$40),"",INDEX($DP$4:$DP$40,MATCH(ROW()-3,$TX$4:$TX$40,0)))</f>
      </c>
      <c r="TZ19" t="str">
        <f>IF(COUNTIF('Final Calculation Sheet'!$AL19:$BG19,0)+COUNTIF('Final Calculation Sheet'!$BI19:$BS19,0)&gt;0,0,1)</f>
      </c>
      <c r="UA19" t="str">
        <f>IF($DU$19="",FALSE,SUMPRODUCT(('Final Calculation Sheet'!$W$4:$W$40=$DU$19)*($TZ$4:$TZ$40=1))&gt;0)</f>
      </c>
      <c r="UB19" t="str">
        <f>=$UB18+--($UA19)</f>
      </c>
      <c r="UC19" t="str">
        <f>IF(ROW()-3&gt;MAX($UB$4:$UB$40),"",INDEX($DU$4:$DU$40,MATCH(ROW()-3,$UB$4:$UB$40,0)))</f>
      </c>
      <c r="UD19" t="str">
        <f>IF(COUNTIF('Final Calculation Sheet'!$AL19:$BH19,0)+COUNTIF('Final Calculation Sheet'!$BJ19:$BS19,0)&gt;0,0,1)</f>
      </c>
      <c r="UE19" t="str">
        <f>IF($DZ$19="",FALSE,SUMPRODUCT(('Final Calculation Sheet'!$X$4:$X$40=$DZ$19)*($UD$4:$UD$40=1))&gt;0)</f>
      </c>
      <c r="UF19" t="str">
        <f>=$UF18+--($UE19)</f>
      </c>
      <c r="UG19" t="str">
        <f>IF(ROW()-3&gt;MAX($UF$4:$UF$40),"",INDEX($DZ$4:$DZ$40,MATCH(ROW()-3,$UF$4:$UF$40,0)))</f>
      </c>
      <c r="UH19" t="str">
        <f>IF(COUNTIF('Final Calculation Sheet'!$AL19:$BI19,0)+COUNTIF('Final Calculation Sheet'!$BK19:$BS19,0)&gt;0,0,1)</f>
      </c>
      <c r="UI19" t="str">
        <f>IF($EE$19="",FALSE,SUMPRODUCT(('Final Calculation Sheet'!$Y$4:$Y$40=$EE$19)*($UH$4:$UH$40=1))&gt;0)</f>
      </c>
      <c r="UJ19" t="str">
        <f>=$UJ18+--($UI19)</f>
      </c>
      <c r="UK19" t="str">
        <f>IF(ROW()-3&gt;MAX($UJ$4:$UJ$40),"",INDEX($EE$4:$EE$40,MATCH(ROW()-3,$UJ$4:$UJ$40,0)))</f>
      </c>
      <c r="UL19" t="str">
        <f>IF(COUNTIF('Final Calculation Sheet'!$AL19:$BJ19,0)+COUNTIF('Final Calculation Sheet'!$BL19:$BS19,0)&gt;0,0,1)</f>
      </c>
      <c r="UM19" t="str">
        <f>IF($EJ$19="",FALSE,SUMPRODUCT(('Final Calculation Sheet'!$Z$4:$Z$40=$EJ$19)*($UL$4:$UL$40=1))&gt;0)</f>
      </c>
      <c r="UN19" t="str">
        <f>=$UN18+--($UM19)</f>
      </c>
      <c r="UO19" t="str">
        <f>IF(ROW()-3&gt;MAX($UN$4:$UN$40),"",INDEX($EJ$4:$EJ$40,MATCH(ROW()-3,$UN$4:$UN$40,0)))</f>
      </c>
      <c r="UP19" t="str">
        <f>IF(COUNTIF('Final Calculation Sheet'!$AL19:$BK19,0)+COUNTIF('Final Calculation Sheet'!$BM19:$BS19,0)&gt;0,0,1)</f>
      </c>
      <c r="UQ19" t="str">
        <f>IF($EO$19="",FALSE,SUMPRODUCT(('Final Calculation Sheet'!$AA$4:$AA$40=$EO$19)*($UP$4:$UP$40=1))&gt;0)</f>
      </c>
      <c r="UR19" t="str">
        <f>=$UR18+--($UQ19)</f>
      </c>
      <c r="US19" t="str">
        <f>IF(ROW()-3&gt;MAX($UR$4:$UR$40),"",INDEX($EO$4:$EO$40,MATCH(ROW()-3,$UR$4:$UR$40,0)))</f>
      </c>
      <c r="UT19" t="str">
        <f>IF(COUNTIF('Final Calculation Sheet'!$AL19:$BL19,0)+COUNTIF('Final Calculation Sheet'!$BN19:$BS19,0)&gt;0,0,1)</f>
      </c>
      <c r="UU19" t="str">
        <f>IF($ET$19="",FALSE,SUMPRODUCT(('Final Calculation Sheet'!$AB$4:$AB$40=$ET$19)*($UT$4:$UT$40=1))&gt;0)</f>
      </c>
      <c r="UV19" t="str">
        <f>=$UV18+--($UU19)</f>
      </c>
      <c r="UW19" t="str">
        <f>IF(ROW()-3&gt;MAX($UV$4:$UV$40),"",INDEX($ET$4:$ET$40,MATCH(ROW()-3,$UV$4:$UV$40,0)))</f>
      </c>
      <c r="UX19" t="str">
        <f>IF(COUNTIF('Final Calculation Sheet'!$AL19:$BM19,0)+COUNTIF('Final Calculation Sheet'!$BO19:$BS19,0)&gt;0,0,1)</f>
      </c>
      <c r="UY19" t="str">
        <f>IF($EY$19="",FALSE,SUMPRODUCT(('Final Calculation Sheet'!$AC$4:$AC$40=$EY$19)*($UX$4:$UX$40=1))&gt;0)</f>
      </c>
      <c r="UZ19" t="str">
        <f>=$UZ18+--($UY19)</f>
      </c>
      <c r="VA19" t="str">
        <f>IF(ROW()-3&gt;MAX($UZ$4:$UZ$40),"",INDEX($EY$4:$EY$40,MATCH(ROW()-3,$UZ$4:$UZ$40,0)))</f>
      </c>
      <c r="VB19" t="str">
        <f>IF(COUNTIF('Final Calculation Sheet'!$AL19:$BN19,0)+COUNTIF('Final Calculation Sheet'!$BP19:$BS19,0)&gt;0,0,1)</f>
      </c>
      <c r="VC19" t="str">
        <f>IF($FD$19="",FALSE,SUMPRODUCT(('Final Calculation Sheet'!$AD$4:$AD$40=$FD$19)*($VB$4:$VB$40=1))&gt;0)</f>
      </c>
      <c r="VD19" t="str">
        <f>=$VD18+--($VC19)</f>
      </c>
      <c r="VE19" t="str">
        <f>IF(ROW()-3&gt;MAX($VD$4:$VD$40),"",INDEX($FD$4:$FD$40,MATCH(ROW()-3,$VD$4:$VD$40,0)))</f>
      </c>
      <c r="VF19" t="str">
        <f>IF(COUNTIF('Final Calculation Sheet'!$AL19:$BO19,0)+COUNTIF('Final Calculation Sheet'!$BQ19:$BS19,0)&gt;0,0,1)</f>
      </c>
      <c r="VG19" t="str">
        <f>IF($FI$19="",FALSE,SUMPRODUCT(('Final Calculation Sheet'!$AE$4:$AE$40=$FI$19)*($VF$4:$VF$40=1))&gt;0)</f>
      </c>
      <c r="VH19" t="str">
        <f>=$VH18+--($VG19)</f>
      </c>
      <c r="VI19" t="str">
        <f>IF(ROW()-3&gt;MAX($VH$4:$VH$40),"",INDEX($FI$4:$FI$40,MATCH(ROW()-3,$VH$4:$VH$40,0)))</f>
      </c>
      <c r="VJ19" t="str">
        <f>IF(COUNTIF('Final Calculation Sheet'!$AL19:$BP19,0)+COUNTIF('Final Calculation Sheet'!$BR19:$BS19,0)&gt;0,0,1)</f>
      </c>
      <c r="VK19" t="str">
        <f>IF($FN$19="",FALSE,SUMPRODUCT(('Final Calculation Sheet'!$AF$4:$AF$40=$FN$19)*($VJ$4:$VJ$40=1))&gt;0)</f>
      </c>
      <c r="VL19" t="str">
        <f>=$VL18+--($VK19)</f>
      </c>
      <c r="VM19" t="str">
        <f>IF(ROW()-3&gt;MAX($VL$4:$VL$40),"",INDEX($FN$4:$FN$40,MATCH(ROW()-3,$VL$4:$VL$40,0)))</f>
      </c>
      <c r="VN19" t="str">
        <f>IF(COUNTIF('Final Calculation Sheet'!$AL19:$BQ19,0)+COUNTIF('Final Calculation Sheet'!$BS19:$BS19,0)&gt;0,0,1)</f>
      </c>
      <c r="VO19" t="str">
        <f>IF($FS$19="",FALSE,SUMPRODUCT(('Final Calculation Sheet'!$AG$4:$AG$40=$FS$19)*($VN$4:$VN$40=1))&gt;0)</f>
      </c>
      <c r="VP19" t="str">
        <f>=$VP18+--($VO19)</f>
      </c>
      <c r="VQ19" t="str">
        <f>IF(ROW()-3&gt;MAX($VP$4:$VP$40),"",INDEX($FS$4:$FS$40,MATCH(ROW()-3,$VP$4:$VP$40,0)))</f>
      </c>
      <c r="VR19" t="str">
        <f>IF(COUNTIF('Final Calculation Sheet'!$AL19:$BR19,0)&gt;0,0,1)</f>
      </c>
      <c r="VS19" t="str">
        <f>IF($QO$19="",FALSE,SUMPRODUCT(('Final Calculation Sheet'!$AH$4:$AH$40=$QO$19)*($VR$4:$VR$40=1))&gt;0)</f>
      </c>
      <c r="VT19" t="str">
        <f>=$VT18+--($VS19)</f>
      </c>
      <c r="VU19" t="str">
        <f>IF(ROW()-3&gt;MAX($VT$4:$VT$40),"",INDEX($QO$4:$QO$40,MATCH(ROW()-3,$VT$4:$VT$40,0)))</f>
      </c>
    </row>
    <row r="20">
      <c r="A20">
        <f>IF(IFERROR('Final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IF(IFERROR('Final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s="55">
        <f>IF('Final Calculation Sheet'!$C$20="","",'Final Calculation Sheet'!$C$20)</f>
        <v/>
      </c>
      <c r="AP20">
        <f>IF(AO20="","",COUNTIFS(AO$4:AO$40,"&lt;"&amp;AO20,AO$4:AO$40,"&lt;&gt;"&amp;"")+COUNTIF(AO$4:AO20,AO20))</f>
        <v/>
      </c>
      <c r="AQ20" s="55">
        <f>IF(ROW()-3&gt;COUNTIF(AO$4:AO$40,"&lt;&gt;"&amp;""),"",INDEX(AO$4:AO$40,MATCH(ROW()-3,AP$4:AP$40,0)))</f>
        <v/>
      </c>
      <c r="AR20">
        <f>AR19+IF(AND(AQ20&lt;&gt;"",COUNTIF(AQ$4:AQ20,AQ20)=1),1,0)</f>
        <v/>
      </c>
      <c r="AS20" s="55">
        <f>IF(ROW()-3&gt;MAX(AR$4:AR$40),"",INDEX(AQ$4:AQ$40,MATCH(ROW()-3,AR$4:AR$40,0)))</f>
        <v/>
      </c>
      <c r="AT20" s="55">
        <f>IF('Final Calculation Sheet'!$H$20="","",'Final Calculation Sheet'!$H$20)</f>
        <v/>
      </c>
      <c r="AU20">
        <f>IF(AT20="","",COUNTIFS(AT$4:AT$40,"&lt;"&amp;AT20,AT$4:AT$40,"&lt;&gt;"&amp;"")+COUNTIF(AT$4:AT20,AT20))</f>
        <v/>
      </c>
      <c r="AV20" s="55">
        <f>IF(ROW()-3&gt;COUNTIF(AT$4:AT$40,"&lt;&gt;"&amp;""),"",INDEX(AT$4:AT$40,MATCH(ROW()-3,AU$4:AU$40,0)))</f>
        <v/>
      </c>
      <c r="AW20">
        <f>AW19+IF(AND(AV20&lt;&gt;"",COUNTIF(AV$4:AV20,AV20)=1),1,0)</f>
        <v/>
      </c>
      <c r="AX20" s="55">
        <f>IF(ROW()-3&gt;MAX(AW$4:AW$40),"",INDEX(AV$4:AV$40,MATCH(ROW()-3,AW$4:AW$40,0)))</f>
        <v/>
      </c>
      <c r="AY20" s="55">
        <f>IF('Final Calculation Sheet'!$I$20="","",'Final Calculation Sheet'!$I$20)</f>
        <v/>
      </c>
      <c r="AZ20">
        <f>IF(AY20="","",COUNTIFS(AY$4:AY$40,"&lt;"&amp;AY20,AY$4:AY$40,"&lt;&gt;"&amp;"")+COUNTIF(AY$4:AY20,AY20))</f>
        <v/>
      </c>
      <c r="BA20" s="55">
        <f>IF(ROW()-3&gt;COUNTIF(AY$4:AY$40,"&lt;&gt;"&amp;""),"",INDEX(AY$4:AY$40,MATCH(ROW()-3,AZ$4:AZ$40,0)))</f>
        <v/>
      </c>
      <c r="BB20">
        <f>BB19+IF(AND(BA20&lt;&gt;"",COUNTIF(BA$4:BA20,BA20)=1),1,0)</f>
        <v/>
      </c>
      <c r="BC20" s="55">
        <f>IF(ROW()-3&gt;MAX(BB$4:BB$40),"",INDEX(BA$4:BA$40,MATCH(ROW()-3,BB$4:BB$40,0)))</f>
        <v/>
      </c>
      <c r="BD20" s="55">
        <f>IF('Final Calculation Sheet'!$J$20="","",'Final Calculation Sheet'!$J$20)</f>
        <v/>
      </c>
      <c r="BE20">
        <f>IF(BD20="","",COUNTIFS(BD$4:BD$40,"&lt;"&amp;BD20,BD$4:BD$40,"&lt;&gt;"&amp;"")+COUNTIF(BD$4:BD20,BD20))</f>
        <v/>
      </c>
      <c r="BF20" s="55">
        <f>IF(ROW()-3&gt;COUNTIF(BD$4:BD$40,"&lt;&gt;"&amp;""),"",INDEX(BD$4:BD$40,MATCH(ROW()-3,BE$4:BE$40,0)))</f>
        <v/>
      </c>
      <c r="BG20">
        <f>BG19+IF(AND(BF20&lt;&gt;"",COUNTIF(BF$4:BF20,BF20)=1),1,0)</f>
        <v/>
      </c>
      <c r="BH20" s="55">
        <f>IF(ROW()-3&gt;MAX(BG$4:BG$40),"",INDEX(BF$4:BF$40,MATCH(ROW()-3,BG$4:BG$40,0)))</f>
        <v/>
      </c>
      <c r="BI20" s="55">
        <f>IF('Final Calculation Sheet'!$K$20="","",'Final Calculation Sheet'!$K$20)</f>
        <v/>
      </c>
      <c r="BJ20">
        <f>IF(BI20="","",COUNTIFS(BI$4:BI$40,"&lt;"&amp;BI20,BI$4:BI$40,"&lt;&gt;"&amp;"")+COUNTIF(BI$4:BI20,BI20))</f>
        <v/>
      </c>
      <c r="BK20" s="55">
        <f>IF(ROW()-3&gt;COUNTIF(BI$4:BI$40,"&lt;&gt;"&amp;""),"",INDEX(BI$4:BI$40,MATCH(ROW()-3,BJ$4:BJ$40,0)))</f>
        <v/>
      </c>
      <c r="BL20">
        <f>BL19+IF(AND(BK20&lt;&gt;"",COUNTIF(BK$4:BK20,BK20)=1),1,0)</f>
        <v/>
      </c>
      <c r="BM20" s="55">
        <f>IF(ROW()-3&gt;MAX(BL$4:BL$40),"",INDEX(BK$4:BK$40,MATCH(ROW()-3,BL$4:BL$40,0)))</f>
        <v/>
      </c>
      <c r="BN20" s="55">
        <f>IF('Final Calculation Sheet'!$L$20="","",'Final Calculation Sheet'!$L$20)</f>
        <v/>
      </c>
      <c r="BO20">
        <f>IF(BN20="","",COUNTIFS(BN$4:BN$40,"&lt;"&amp;BN20,BN$4:BN$40,"&lt;&gt;"&amp;"")+COUNTIF(BN$4:BN20,BN20))</f>
        <v/>
      </c>
      <c r="BP20" s="55">
        <f>IF(ROW()-3&gt;COUNTIF(BN$4:BN$40,"&lt;&gt;"&amp;""),"",INDEX(BN$4:BN$40,MATCH(ROW()-3,BO$4:BO$40,0)))</f>
        <v/>
      </c>
      <c r="BQ20">
        <f>BQ19+IF(AND(BP20&lt;&gt;"",COUNTIF(BP$4:BP20,BP20)=1),1,0)</f>
        <v/>
      </c>
      <c r="BR20" s="55">
        <f>IF(ROW()-3&gt;MAX(BQ$4:BQ$40),"",INDEX(BP$4:BP$40,MATCH(ROW()-3,BQ$4:BQ$40,0)))</f>
        <v/>
      </c>
      <c r="BS20" s="55">
        <f>IF('Final Calculation Sheet'!$M$20="","",'Final Calculation Sheet'!$M$20)</f>
        <v/>
      </c>
      <c r="BT20">
        <f>IF(BS20="","",COUNTIFS(BS$4:BS$40,"&lt;"&amp;BS20,BS$4:BS$40,"&lt;&gt;"&amp;"")+COUNTIF(BS$4:BS20,BS20))</f>
        <v/>
      </c>
      <c r="BU20" s="55">
        <f>IF(ROW()-3&gt;COUNTIF(BS$4:BS$40,"&lt;&gt;"&amp;""),"",INDEX(BS$4:BS$40,MATCH(ROW()-3,BT$4:BT$40,0)))</f>
        <v/>
      </c>
      <c r="BV20">
        <f>BV19+IF(AND(BU20&lt;&gt;"",COUNTIF(BU$4:BU20,BU20)=1),1,0)</f>
        <v/>
      </c>
      <c r="BW20" s="55">
        <f>IF(ROW()-3&gt;MAX(BV$4:BV$40),"",INDEX(BU$4:BU$40,MATCH(ROW()-3,BV$4:BV$40,0)))</f>
        <v/>
      </c>
      <c r="BX20" s="138">
        <f>IF('Final Calculation Sheet'!$N$20="","",'Final Calculation Sheet'!$N$20)</f>
        <v/>
      </c>
      <c r="BY20">
        <f>IF(BX20="","",COUNTIFS(BX$4:BX$40,"&lt;"&amp;BX20,BX$4:BX$40,"&lt;&gt;"&amp;"")+COUNTIF(BX$4:BX20,BX20))</f>
        <v/>
      </c>
      <c r="BZ20" s="138">
        <f>IF(ROW()-3&gt;COUNTIF(BX$4:BX$40,"&lt;&gt;"&amp;""),"",INDEX(BX$4:BX$40,MATCH(ROW()-3,BY$4:BY$40,0)))</f>
        <v/>
      </c>
      <c r="CA20">
        <f>CA19+IF(AND(BZ20&lt;&gt;"",COUNTIF(BZ$4:BZ20,BZ20)=1),1,0)</f>
        <v/>
      </c>
      <c r="CB20" s="138">
        <f>IF(ROW()-3&gt;MAX(CA$4:CA$40),"",INDEX(BZ$4:BZ$40,MATCH(ROW()-3,CA$4:CA$40,0)))</f>
        <v/>
      </c>
      <c r="CC20" s="55">
        <f>IF('Final Calculation Sheet'!$O$20="","",'Final Calculation Sheet'!$O$20)</f>
        <v/>
      </c>
      <c r="CD20">
        <f>IF(CC20="","",COUNTIFS(CC$4:CC$40,"&lt;"&amp;CC20,CC$4:CC$40,"&lt;&gt;"&amp;"")+COUNTIF(CC$4:CC20,CC20))</f>
        <v/>
      </c>
      <c r="CE20" s="55">
        <f>IF(ROW()-3&gt;COUNTIF(CC$4:CC$40,"&lt;&gt;"&amp;""),"",INDEX(CC$4:CC$40,MATCH(ROW()-3,CD$4:CD$40,0)))</f>
        <v/>
      </c>
      <c r="CF20">
        <f>CF19+IF(AND(CE20&lt;&gt;"",COUNTIF(CE$4:CE20,CE20)=1),1,0)</f>
        <v/>
      </c>
      <c r="CG20" s="55">
        <f>IF(ROW()-3&gt;MAX(CF$4:CF$40),"",INDEX(CE$4:CE$40,MATCH(ROW()-3,CF$4:CF$40,0)))</f>
        <v/>
      </c>
      <c r="CH20" s="55">
        <f>IF('Final Calculation Sheet'!$P$20="","",'Final Calculation Sheet'!$P$20)</f>
        <v/>
      </c>
      <c r="CI20">
        <f>IF(CH20="","",COUNTIFS(CH$4:CH$40,"&lt;"&amp;CH20,CH$4:CH$40,"&lt;&gt;"&amp;"")+COUNTIF(CH$4:CH20,CH20))</f>
        <v/>
      </c>
      <c r="CJ20" s="55">
        <f>IF(ROW()-3&gt;COUNTIF(CH$4:CH$40,"&lt;&gt;"&amp;""),"",INDEX(CH$4:CH$40,MATCH(ROW()-3,CI$4:CI$40,0)))</f>
        <v/>
      </c>
      <c r="CK20">
        <f>CK19+IF(AND(CJ20&lt;&gt;"",COUNTIF(CJ$4:CJ20,CJ20)=1),1,0)</f>
        <v/>
      </c>
      <c r="CL20" s="55">
        <f>IF(ROW()-3&gt;MAX(CK$4:CK$40),"",INDEX(CJ$4:CJ$40,MATCH(ROW()-3,CK$4:CK$40,0)))</f>
        <v/>
      </c>
      <c r="CM20" s="139">
        <f>IF('Final Calculation Sheet'!$Q$20="","",'Final Calculation Sheet'!$Q$20)</f>
        <v/>
      </c>
      <c r="CN20">
        <f>IF(CM20="","",COUNTIFS(CM$4:CM$40,"&lt;"&amp;CM20,CM$4:CM$40,"&lt;&gt;"&amp;"")+COUNTIF(CM$4:CM20,CM20))</f>
        <v/>
      </c>
      <c r="CO20" s="139">
        <f>IF(ROW()-3&gt;COUNTIF(CM$4:CM$40,"&lt;&gt;"&amp;""),"",INDEX(CM$4:CM$40,MATCH(ROW()-3,CN$4:CN$40,0)))</f>
        <v/>
      </c>
      <c r="CP20">
        <f>CP19+IF(AND(CO20&lt;&gt;"",COUNTIF(CO$4:CO20,CO20)=1),1,0)</f>
        <v/>
      </c>
      <c r="CQ20">
        <f>IF(ROW()-3&gt;MAX(CP$4:CP$40),"",INDEX(CO$4:CO$40,MATCH(ROW()-3,CP$4:CP$40,0)))</f>
        <v/>
      </c>
      <c r="CR20" s="55">
        <f>IF('Final Calculation Sheet'!$R$20="","",'Final Calculation Sheet'!$R$20)</f>
        <v/>
      </c>
      <c r="CS20">
        <f>IF(CR20="","",COUNTIFS(CR$4:CR$40,"&lt;"&amp;CR20,CR$4:CR$40,"&lt;&gt;"&amp;"")+COUNTIF(CR$4:CR20,CR20))</f>
        <v/>
      </c>
      <c r="CT20" s="55">
        <f>IF(ROW()-3&gt;COUNTIF(CR$4:CR$40,"&lt;&gt;"&amp;""),"",INDEX(CR$4:CR$40,MATCH(ROW()-3,CS$4:CS$40,0)))</f>
        <v/>
      </c>
      <c r="CU20">
        <f>CU19+IF(AND(CT20&lt;&gt;"",COUNTIF(CT$4:CT20,CT20)=1),1,0)</f>
        <v/>
      </c>
      <c r="CV20">
        <f>IF(ROW()-3&gt;MAX(CU$4:CU$40),"",INDEX(CT$4:CT$40,MATCH(ROW()-3,CU$4:CU$40,0)))</f>
        <v/>
      </c>
      <c r="CW20" s="55">
        <f>IF('Final Calculation Sheet'!$S$20="","",'Final Calculation Sheet'!$S$20)</f>
        <v/>
      </c>
      <c r="CX20">
        <f>IF(CW20="","",COUNTIFS(CW$4:CW$40,"&lt;"&amp;CW20,CW$4:CW$40,"&lt;&gt;"&amp;"")+COUNTIF(CW$4:CW20,CW20))</f>
        <v/>
      </c>
      <c r="CY20" s="55">
        <f>IF(ROW()-3&gt;COUNTIF(CW$4:CW$40,"&lt;&gt;"&amp;""),"",INDEX(CW$4:CW$40,MATCH(ROW()-3,CX$4:CX$40,0)))</f>
        <v/>
      </c>
      <c r="CZ20">
        <f>CZ19+IF(AND(CY20&lt;&gt;"",COUNTIF(CY$4:CY20,CY20)=1),1,0)</f>
        <v/>
      </c>
      <c r="DA20" s="55">
        <f>IF(ROW()-3&gt;MAX(CZ$4:CZ$40),"",INDEX(CY$4:CY$40,MATCH(ROW()-3,CZ$4:CZ$40,0)))</f>
        <v/>
      </c>
      <c r="DB20" s="55">
        <f>IF('Final Calculation Sheet'!$T$20="","",'Final Calculation Sheet'!$T$20)</f>
        <v/>
      </c>
      <c r="DC20">
        <f>IF(DB20="","",COUNTIFS(DB$4:DB$40,"&lt;"&amp;DB20,DB$4:DB$40,"&lt;&gt;"&amp;"")+COUNTIF(DB$4:DB20,DB20))</f>
        <v/>
      </c>
      <c r="DD20" s="55">
        <f>IF(ROW()-3&gt;COUNTIF(DB$4:DB$40,"&lt;&gt;"&amp;""),"",INDEX(DB$4:DB$40,MATCH(ROW()-3,DC$4:DC$40,0)))</f>
        <v/>
      </c>
      <c r="DE20">
        <f>DE19+IF(AND(DD20&lt;&gt;"",COUNTIF(DD$4:DD20,DD20)=1),1,0)</f>
        <v/>
      </c>
      <c r="DF20" s="55">
        <f>IF(ROW()-3&gt;MAX(DE$4:DE$40),"",INDEX(DD$4:DD$40,MATCH(ROW()-3,DE$4:DE$40,0)))</f>
        <v/>
      </c>
      <c r="DG20" s="140">
        <f>IF('Final Calculation Sheet'!$U$20="","",'Final Calculation Sheet'!$U$20)</f>
        <v/>
      </c>
      <c r="DH20">
        <f>IF(DG20="","",COUNTIFS(DG$4:DG$40,"&lt;"&amp;DG20,DG$4:DG$40,"&lt;&gt;"&amp;"")+COUNTIF(DG$4:DG20,DG20))</f>
        <v/>
      </c>
      <c r="DI20" s="140">
        <f>IF(ROW()-3&gt;COUNTIF(DG$4:DG$40,"&lt;&gt;"&amp;""),"",INDEX(DG$4:DG$40,MATCH(ROW()-3,DH$4:DH$40,0)))</f>
        <v/>
      </c>
      <c r="DJ20">
        <f>DJ19+IF(AND(DI20&lt;&gt;"",COUNTIF(DI$4:DI20,DI20)=1),1,0)</f>
        <v/>
      </c>
      <c r="DK20" s="14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s="55">
        <f>IF('Final Calculation Sheet'!$W$20="","",'Final Calculation Sheet'!$W$20)</f>
        <v/>
      </c>
      <c r="DR20">
        <f>IF(DQ20="","",COUNTIFS(DQ$4:DQ$40,"&lt;"&amp;DQ20,DQ$4:DQ$40,"&lt;&gt;"&amp;"")+COUNTIF(DQ$4:DQ20,DQ20))</f>
        <v/>
      </c>
      <c r="DS20" s="55">
        <f>IF(ROW()-3&gt;COUNTIF(DQ$4:DQ$40,"&lt;&gt;"&amp;""),"",INDEX(DQ$4:DQ$40,MATCH(ROW()-3,DR$4:DR$40,0)))</f>
        <v/>
      </c>
      <c r="DT20">
        <f>DT19+IF(AND(DS20&lt;&gt;"",COUNTIF(DS$4:DS20,DS20)=1),1,0)</f>
        <v/>
      </c>
      <c r="DU20" s="55">
        <f>IF(ROW()-3&gt;MAX(DT$4:DT$40),"",INDEX(DS$4:DS$40,MATCH(ROW()-3,DT$4:DT$40,0)))</f>
        <v/>
      </c>
      <c r="DV20" s="55">
        <f>IF('Final Calculation Sheet'!$X$20="","",'Final Calculation Sheet'!$X$20)</f>
        <v/>
      </c>
      <c r="DW20">
        <f>IF(DV20="","",COUNTIFS(DV$4:DV$40,"&lt;"&amp;DV20,DV$4:DV$40,"&lt;&gt;"&amp;"")+COUNTIF(DV$4:DV20,DV20))</f>
        <v/>
      </c>
      <c r="DX20" s="55">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s="55">
        <f>IF('Final Calculation Sheet'!$Z$20="","",'Final Calculation Sheet'!$Z$20)</f>
        <v/>
      </c>
      <c r="EG20">
        <f>IF(EF20="","",COUNTIFS(EF$4:EF$40,"&lt;"&amp;EF20,EF$4:EF$40,"&lt;&gt;"&amp;"")+COUNTIF(EF$4:EF20,EF20))</f>
        <v/>
      </c>
      <c r="EH20" s="55">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s="55">
        <f>IF('Final Calculation Sheet'!$AC$20="","",'Final Calculation Sheet'!$AC$20)</f>
        <v/>
      </c>
      <c r="EV20">
        <f>IF(EU20="","",COUNTIFS(EU$4:EU$40,"&lt;"&amp;EU20,EU$4:EU$40,"&lt;&gt;"&amp;"")+COUNTIF(EU$4:EU20,EU20))</f>
        <v/>
      </c>
      <c r="EW20" s="55">
        <f>IF(ROW()-3&gt;COUNTIF(EU$4:EU$40,"&lt;&gt;"&amp;""),"",INDEX(EU$4:EU$40,MATCH(ROW()-3,EV$4:EV$40,0)))</f>
        <v/>
      </c>
      <c r="EX20">
        <f>EX19+IF(AND(EW20&lt;&gt;"",COUNTIF(EW$4:EW20,EW20)=1),1,0)</f>
        <v/>
      </c>
      <c r="EY20" s="55">
        <f>IF(ROW()-3&gt;MAX(EX$4:EX$40),"",INDEX(EW$4:EW$40,MATCH(ROW()-3,EX$4:EX$40,0)))</f>
        <v/>
      </c>
      <c r="EZ20" s="55">
        <f>IF('Final Calculation Sheet'!$AD$20="","",'Final Calculation Sheet'!$AD$20)</f>
        <v/>
      </c>
      <c r="FA20">
        <f>IF(EZ20="","",COUNTIFS(EZ$4:EZ$40,"&lt;"&amp;EZ20,EZ$4:EZ$40,"&lt;&gt;"&amp;"")+COUNTIF(EZ$4:EZ20,EZ20))</f>
        <v/>
      </c>
      <c r="FB20" s="55">
        <f>IF(ROW()-3&gt;COUNTIF(EZ$4:EZ$40,"&lt;&gt;"&amp;""),"",INDEX(EZ$4:EZ$40,MATCH(ROW()-3,FA$4:FA$40,0)))</f>
        <v/>
      </c>
      <c r="FC20">
        <f>FC19+IF(AND(FB20&lt;&gt;"",COUNTIF(FB$4:FB20,FB20)=1),1,0)</f>
        <v/>
      </c>
      <c r="FD20">
        <f>IF(ROW()-3&gt;MAX(FC$4:FC$40),"",INDEX(FB$4:FB$40,MATCH(ROW()-3,FC$4:FC$40,0)))</f>
        <v/>
      </c>
      <c r="FE20">
        <f>IF('Final Calculation Sheet'!$AF$20="","",'Final Calculation Sheet'!$AF$20)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s="141">
        <f>IF('Final Calculation Sheet'!$AG$20="","",'Final Calculation Sheet'!$AG$20)</f>
        <v/>
      </c>
      <c r="FK20">
        <f>IF(FJ20="","",COUNTIFS(FJ$4:FJ$40,"&lt;"&amp;FJ20,FJ$4:FJ$40,"&lt;&gt;"&amp;"")+COUNTIF(FJ$4:FJ20,FJ20))</f>
        <v/>
      </c>
      <c r="FL20" s="141">
        <f>IF(ROW()-3&gt;COUNTIF(FJ$4:FJ$40,"&lt;&gt;"&amp;""),"",INDEX(FJ$4:FJ$40,MATCH(ROW()-3,FK$4:FK$40,0)))</f>
        <v/>
      </c>
      <c r="FM20">
        <f>FM19+IF(AND(FL20&lt;&gt;"",COUNTIF(FL$4:FL20,FL20)=1),1,0)</f>
        <v/>
      </c>
      <c r="FN20">
        <f>IF(ROW()-3&gt;MAX(FM$4:FM$40),"",INDEX(FL$4:FL$40,MATCH(ROW()-3,FM$4:FM$40,0)))</f>
        <v/>
      </c>
      <c r="FO20">
        <f>IF('Final Calculation Sheet'!$AH$20="","",'Final Calculation Sheet'!$AH$20)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c r="FY20">
        <f>IF(COUNTIF('Live Search'!BM$19:BO$19,0)+COUNTIF('Live Search'!BQ$19:CU$19,0)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0">
        <f>IF($Y$20="",FALSE,SUMPRODUCT(('Final Calculation Sheet'!$B$4:$B$40=$Y$20)*($FY$6:$FY$42=1))&gt;0)</f>
        <v/>
      </c>
      <c r="GA20">
        <f>$GA$19+--($FZ$20)</f>
        <v/>
      </c>
      <c r="GB20">
        <f>IF(ROW()-3&gt;MAX($GA$4:$GA$40),"",INDEX($Y$4:$Y$40,MATCH(ROW()-3,$GA$4:$GA$40,0)))</f>
        <v/>
      </c>
      <c r="GC20">
        <f>IF(COUNTIF('Live Search'!BM$19:BM$19,0)+COUNTIF('Live Search'!BO$19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D20">
        <f>IF($O$20="",FALSE,SUMPRODUCT(('Final Calculation Sheet'!$F$4:$F$40=$O$20)*($GC$6:$GC$42=1))&gt;0)</f>
        <v/>
      </c>
      <c r="GE20">
        <f>$GE$19+--($GD20)</f>
        <v/>
      </c>
      <c r="GF20">
        <f>IF(ROW()-3&gt;MAX($GE$4:$GE$40),"",INDEX($O$4:$O$40,MATCH(ROW()-3,$GE$4:$GE$40,0)))</f>
        <v/>
      </c>
      <c r="GG20">
        <f>IF(COUNTIF('Live Search'!BM$19:BN$19,0)+COUNTIF('Live Search'!BP$19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H20">
        <f>IF($T$20="",FALSE,SUMPRODUCT(('Final Calculation Sheet'!$G$4:$G$40=$T$20)*($GG$6:$GG$42=1))&gt;0)</f>
        <v/>
      </c>
      <c r="GI20">
        <f>$GI$19+--($GH20)</f>
        <v/>
      </c>
      <c r="GJ20">
        <f>IF(ROW()-3&gt;MAX($GI$4:$GI$40),"",INDEX($T$4:$T$40,MATCH(ROW()-3,$GI$4:$GI$40,0)))</f>
        <v/>
      </c>
      <c r="GK20">
        <f>IF(COUNTIF('Live Search'!BM$19:BP$19,0)+COUNTIF('Live Search'!BR$19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L20">
        <f>IF($AD$20="",FALSE,SUMPRODUCT(('Final Calculation Sheet'!$D$4:$D$40=$AD$20)*($GK$6:$GK$42=1))&gt;0)</f>
        <v/>
      </c>
      <c r="GM20">
        <f>$GM$19+--($GL20)</f>
        <v/>
      </c>
      <c r="GN20">
        <f>IF(ROW()-3&gt;MAX($GM$4:$GM$40),"",INDEX($AD$4:$AD$40,MATCH(ROW()-3,$GM$4:$GM$40,0)))</f>
        <v/>
      </c>
      <c r="GO20">
        <f>IF(COUNTIF('Live Search'!BM$19:BQ$19,0)+COUNTIF('Live Search'!BS$19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P20">
        <f>IF($AI$20="",FALSE,SUMPRODUCT(('Final Calculation Sheet'!$A$4:$A$40=$AI$20)*($GO$6:$GO$42=1))&gt;0)</f>
        <v/>
      </c>
      <c r="GQ20">
        <f>$GQ$19+--($GP20)</f>
        <v/>
      </c>
      <c r="GR20">
        <f>IF(ROW()-3&gt;MAX($GQ$4:$GQ$40),"",INDEX($AI$4:$AI$40,MATCH(ROW()-3,$GQ$4:$GQ$40,0)))</f>
        <v/>
      </c>
      <c r="GS20">
        <f>IF(COUNTIF('Live Search'!BM$19:BR$19,0)+COUNTIF('Live Search'!BT$19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T20">
        <f>IF($AN$20="",FALSE,SUMPRODUCT(('Final Calculation Sheet'!$E$4:$E$40=$AN$20)*($GS$6:$GS$42=1))&gt;0)</f>
        <v/>
      </c>
      <c r="GU20">
        <f>$GU$19+--($GT20)</f>
        <v/>
      </c>
      <c r="GV20">
        <f>IF(ROW()-3&gt;MAX($GU$4:$GU$40),"",INDEX($AN$4:$AN$40,MATCH(ROW()-3,$GU$4:$GU$40,0)))</f>
        <v/>
      </c>
      <c r="GW20">
        <f>IF(COUNTIF('Live Search'!BM$19:BS$19,0)+COUNTIF('Live Search'!BU$19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GX20">
        <f>IF($AS$20="",FALSE,SUMPRODUCT(('Final Calculation Sheet'!$C$4:$C$40=$AS$20)*($GW$6:$GW$42=1))&gt;0)</f>
        <v/>
      </c>
      <c r="GY20">
        <f>$GY$19+--($GX20)</f>
        <v/>
      </c>
      <c r="GZ20">
        <f>IF(ROW()-3&gt;MAX($GY$4:$GY$40),"",INDEX($AS$4:$AS$40,MATCH(ROW()-3,$GY$4:$GY$40,0)))</f>
        <v/>
      </c>
      <c r="HA20">
        <f>IF(COUNTIF('Live Search'!BM$19:BT$19,0)+COUNTIF('Live Search'!BV$19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B20">
        <f>IF($AX$20="",FALSE,SUMPRODUCT(('Final Calculation Sheet'!$H$4:$H$40=$AX$20)*($HA$6:$HA$42=1))&gt;0)</f>
        <v/>
      </c>
      <c r="HC20">
        <f>$HC$19+--($HB20)</f>
        <v/>
      </c>
      <c r="HD20">
        <f>IF(ROW()-3&gt;MAX($HC$4:$HC$40),"",INDEX($AX$4:$AX$40,MATCH(ROW()-3,$HC$4:$HC$40,0)))</f>
        <v/>
      </c>
      <c r="HE20">
        <f>IF(COUNTIF('Live Search'!BM$19:BU$19,0)+COUNTIF('Live Search'!BW$19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F20">
        <f>IF($BC$20="",FALSE,SUMPRODUCT(('Final Calculation Sheet'!$I$4:$I$40=$BC$20)*($HE$6:$HE$42=1))&gt;0)</f>
        <v/>
      </c>
      <c r="HG20">
        <f>$HG$19+--($HF20)</f>
        <v/>
      </c>
      <c r="HH20">
        <f>IF(ROW()-3&gt;MAX($HG$4:$HG$40),"",INDEX($BC$4:$BC$40,MATCH(ROW()-3,$HG$4:$HG$40,0)))</f>
        <v/>
      </c>
      <c r="HI20">
        <f>IF(COUNTIF('Live Search'!BM$19:BV$19,0)+COUNTIF('Live Search'!BX$19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J20">
        <f>IF($BH$20="",FALSE,SUMPRODUCT(('Final Calculation Sheet'!$J$4:$J$40=$BH$20)*($HI$6:$HI$42=1))&gt;0)</f>
        <v/>
      </c>
      <c r="HK20">
        <f>$HK$19+--($HJ20)</f>
        <v/>
      </c>
      <c r="HL20">
        <f>IF(ROW()-3&gt;MAX($HK$4:$HK$40),"",INDEX($BH$4:$BH$40,MATCH(ROW()-3,$HK$4:$HK$40,0)))</f>
        <v/>
      </c>
      <c r="HM20">
        <f>IF(COUNTIF('Live Search'!BM$19:BW$19,0)+COUNTIF('Live Search'!BY$19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N20">
        <f>IF($BM$20="",FALSE,SUMPRODUCT(('Final Calculation Sheet'!$K$4:$K$40=$BM$20)*($HM$6:$HM$42=1))&gt;0)</f>
        <v/>
      </c>
      <c r="HO20">
        <f>$HO$19+--($HN20)</f>
        <v/>
      </c>
      <c r="HP20">
        <f>IF(ROW()-3&gt;MAX($HO$4:$HO$40),"",INDEX($BM$4:$BM$40,MATCH(ROW()-3,$HO$4:$HO$40,0)))</f>
        <v/>
      </c>
      <c r="HQ20">
        <f>IF(COUNTIF('Live Search'!BM$19:BX$19,0)+COUNTIF('Live Search'!BZ$19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R20">
        <f>IF($BR$20="",FALSE,SUMPRODUCT(('Final Calculation Sheet'!$L$4:$L$40=$BR$20)*($HQ$6:$HQ$42=1))&gt;0)</f>
        <v/>
      </c>
      <c r="HS20">
        <f>$HS$19+--($HR20)</f>
        <v/>
      </c>
      <c r="HT20">
        <f>IF(ROW()-3&gt;MAX($HS$4:$HS$40),"",INDEX($BR$4:$BR$40,MATCH(ROW()-3,$HS$4:$HS$40,0)))</f>
        <v/>
      </c>
      <c r="HU20">
        <f>IF(COUNTIF('Live Search'!BM$19:BY$19,0)+COUNTIF('Live Search'!CA$19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V20">
        <f>IF($BW$20="",FALSE,SUMPRODUCT(('Final Calculation Sheet'!$M$4:$M$40=$BW$20)*($HU$6:$HU$42=1))&gt;0)</f>
        <v/>
      </c>
      <c r="HW20">
        <f>$HW$19+--($HV20)</f>
        <v/>
      </c>
      <c r="HX20">
        <f>IF(ROW()-3&gt;MAX($HW$4:$HW$40),"",INDEX($BW$4:$BW$40,MATCH(ROW()-3,$HW$4:$HW$40,0)))</f>
        <v/>
      </c>
      <c r="HY20">
        <f>IF(COUNTIF('Live Search'!BM$19:BZ$19,0)+COUNTIF('Live Search'!CB$19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HZ20">
        <f>IF($CB$20="",FALSE,SUMPRODUCT(('Final Calculation Sheet'!$N$4:$N$40=$CB$20)*($HY$6:$HY$42=1))&gt;0)</f>
        <v/>
      </c>
      <c r="IA20">
        <f>$IA$19+--($HZ20)</f>
        <v/>
      </c>
      <c r="IB20">
        <f>IF(ROW()-3&gt;MAX($IA$4:$IA$40),"",INDEX($CB$4:$CB$40,MATCH(ROW()-3,$IA$4:$IA$40,0)))</f>
        <v/>
      </c>
      <c r="IC20">
        <f>IF(COUNTIF('Live Search'!BM$19:CA$19,0)+COUNTIF('Live Search'!CC$19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D20">
        <f>IF($CG$20="",FALSE,SUMPRODUCT(('Final Calculation Sheet'!$O$4:$O$40=$CG$20)*($IC$6:$IC$42=1))&gt;0)</f>
        <v/>
      </c>
      <c r="IE20">
        <f>$IE$19+--($ID20)</f>
        <v/>
      </c>
      <c r="IF20">
        <f>IF(ROW()-3&gt;MAX($IE$4:$IE$40),"",INDEX($CG$4:$CG$40,MATCH(ROW()-3,$IE$4:$IE$40,0)))</f>
        <v/>
      </c>
      <c r="IG20">
        <f>IF(COUNTIF('Live Search'!BM$19:CB$19,0)+COUNTIF('Live Search'!CD$19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H20">
        <f>IF($CL$20="",FALSE,SUMPRODUCT(('Final Calculation Sheet'!$P$4:$P$40=$CL$20)*($IG$6:$IG$42=1))&gt;0)</f>
        <v/>
      </c>
      <c r="II20">
        <f>$II$19+--($IH20)</f>
        <v/>
      </c>
      <c r="IJ20">
        <f>IF(ROW()-3&gt;MAX($II$4:$II$40),"",INDEX($CL$4:$CL$40,MATCH(ROW()-3,$II$4:$II$40,0)))</f>
        <v/>
      </c>
      <c r="IK20">
        <f>IF(COUNTIF('Live Search'!BM$19:CC$19,0)+COUNTIF('Live Search'!CE$19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L20">
        <f>IF($CQ$20="",FALSE,SUMPRODUCT(('Final Calculation Sheet'!$Q$4:$Q$40=$CQ$20)*($IK$6:$IK$42=1))&gt;0)</f>
        <v/>
      </c>
      <c r="IM20">
        <f>$IM$19+--($IL20)</f>
        <v/>
      </c>
      <c r="IN20">
        <f>IF(ROW()-3&gt;MAX($IM$4:$IM$40),"",INDEX($CQ$4:$CQ$40,MATCH(ROW()-3,$IM$4:$IM$40,0)))</f>
        <v/>
      </c>
      <c r="IO20">
        <f>IF(COUNTIF('Live Search'!BM$19:CD$19,0)+COUNTIF('Live Search'!CF$19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P20">
        <f>IF($CV$20="",FALSE,SUMPRODUCT(('Final Calculation Sheet'!$R$4:$R$40=$CV$20)*($IO$6:$IO$42=1))&gt;0)</f>
        <v/>
      </c>
      <c r="IQ20">
        <f>$IQ$19+--($IP20)</f>
        <v/>
      </c>
      <c r="IR20">
        <f>IF(ROW()-3&gt;MAX($IQ$4:$IQ$40),"",INDEX($CV$4:$CV$40,MATCH(ROW()-3,$IQ$4:$IQ$40,0)))</f>
        <v/>
      </c>
      <c r="IS20">
        <f>IF(COUNTIF('Live Search'!BM$19:CE$19,0)+COUNTIF('Live Search'!CG$19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T20">
        <f>IF($DA$20="",FALSE,SUMPRODUCT(('Final Calculation Sheet'!$S$4:$S$40=$DA$20)*($IS$6:$IS$42=1))&gt;0)</f>
        <v/>
      </c>
      <c r="IU20">
        <f>$IU$19+--($IT20)</f>
        <v/>
      </c>
      <c r="IV20">
        <f>IF(ROW()-3&gt;MAX($IU$4:$IU$40),"",INDEX($DA$4:$DA$40,MATCH(ROW()-3,$IU$4:$IU$40,0)))</f>
        <v/>
      </c>
      <c r="IW20">
        <f>IF(COUNTIF('Live Search'!BM$19:CF$19,0)+COUNTIF('Live Search'!CH$19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IX20">
        <f>IF($DF$20="",FALSE,SUMPRODUCT(('Final Calculation Sheet'!$T$4:$T$40=$DF$20)*($IW$6:$IW$42=1))&gt;0)</f>
        <v/>
      </c>
      <c r="IY20">
        <f>$IY$19+--($IX20)</f>
        <v/>
      </c>
      <c r="IZ20">
        <f>IF(ROW()-3&gt;MAX($IY$4:$IY$40),"",INDEX($DF$4:$DF$40,MATCH(ROW()-3,$IY$4:$IY$40,0)))</f>
        <v/>
      </c>
      <c r="JA20">
        <f>IF(COUNTIF('Live Search'!BM$19:CG$19,0)+COUNTIF('Live Search'!CI$19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B20">
        <f>IF($DK$20="",FALSE,SUMPRODUCT(('Final Calculation Sheet'!$U$4:$U$40=$DK$20)*($JA$6:$JA$42=1))&gt;0)</f>
        <v/>
      </c>
      <c r="JC20">
        <f>$JC$19+--($JB20)</f>
        <v/>
      </c>
      <c r="JD20">
        <f>IF(ROW()-3&gt;MAX($JC$4:$JC$40),"",INDEX($DK$4:$DK$40,MATCH(ROW()-3,$JC$4:$JC$40,0)))</f>
        <v/>
      </c>
      <c r="JE20">
        <f>IF(COUNTIF('Live Search'!BM$19:CH$19,0)+COUNTIF('Live Search'!CJ$19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F20">
        <f>IF($DP$20="",FALSE,SUMPRODUCT(('Final Calculation Sheet'!$V$4:$V$40=$DP$20)*($JE$6:$JE$42=1))&gt;0)</f>
        <v/>
      </c>
      <c r="JG20">
        <f>$JG$19+--($JF20)</f>
        <v/>
      </c>
      <c r="JH20">
        <f>IF(ROW()-3&gt;MAX($JG$4:$JG$40),"",INDEX($DP$4:$DP$40,MATCH(ROW()-3,$JG$4:$JG$40,0)))</f>
        <v/>
      </c>
      <c r="JI20">
        <f>IF(COUNTIF('Live Search'!BM$19:CI$19,0)+COUNTIF('Live Search'!CK$19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J20">
        <f>IF($DU$20="",FALSE,SUMPRODUCT(('Final Calculation Sheet'!$W$4:$W$40=$DU$20)*($JI$6:$JI$42=1))&gt;0)</f>
        <v/>
      </c>
      <c r="JK20">
        <f>$JK$19+--($JJ20)</f>
        <v/>
      </c>
      <c r="JL20">
        <f>IF(ROW()-3&gt;MAX($JK$4:$JK$40),"",INDEX($DU$4:$DU$40,MATCH(ROW()-3,$JK$4:$JK$40,0)))</f>
        <v/>
      </c>
      <c r="JM20">
        <f>IF(COUNTIF('Live Search'!BM$19:CJ$19,0)+COUNTIF('Live Search'!CL$19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N20">
        <f>IF($DZ$20="",FALSE,SUMPRODUCT(('Final Calculation Sheet'!$X$4:$X$40=$DZ$20)*($JM$6:$JM$42=1))&gt;0)</f>
        <v/>
      </c>
      <c r="JO20">
        <f>$JO$19+--($JN20)</f>
        <v/>
      </c>
      <c r="JP20">
        <f>IF(ROW()-3&gt;MAX($JO$4:$JO$40),"",INDEX($DZ$4:$DZ$40,MATCH(ROW()-3,$JO$4:$JO$40,0)))</f>
        <v/>
      </c>
      <c r="JQ20">
        <f>IF(COUNTIF('Live Search'!BM$19:CK$19,0)+COUNTIF('Live Search'!C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R20">
        <f>IF($EE$20="",FALSE,SUMPRODUCT(('Final Calculation Sheet'!$Y$4:$Y$40=$EE$20)*($JQ$6:$JQ$42=1))&gt;0)</f>
        <v/>
      </c>
      <c r="JS20">
        <f>$JS$19+--($JR20)</f>
        <v/>
      </c>
      <c r="JT20">
        <f>IF(ROW()-3&gt;MAX($JS$4:$JS$40),"",INDEX($EE$4:$EE$40,MATCH(ROW()-3,$JS$4:$JS$40,0)))</f>
        <v/>
      </c>
      <c r="JU20">
        <f>IF(COUNTIF('Live Search'!BM$19:CL$19,0)+COUNTIF('Live Search'!CN$19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V20">
        <f>IF($EJ$20="",FALSE,SUMPRODUCT(('Final Calculation Sheet'!$Z$4:$Z$40=$EJ$20)*($JU$6:$JU$42=1))&gt;0)</f>
        <v/>
      </c>
      <c r="JW20">
        <f>$JW$19+--($JV20)</f>
        <v/>
      </c>
      <c r="JX20">
        <f>IF(ROW()-3&gt;MAX($JW$4:$JW$40),"",INDEX($EJ$4:$EJ$40,MATCH(ROW()-3,$JW$4:$JW$40,0)))</f>
        <v/>
      </c>
      <c r="JY20">
        <f>IF(COUNTIF('Live Search'!BM$19:CM$19,0)+COUNTIF('Live Search'!CO$19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JZ20">
        <f>IF($EO$20="",FALSE,SUMPRODUCT(('Final Calculation Sheet'!$AA$4:$AA$40=$EO$20)*($JY$6:$JY$42=1))&gt;0)</f>
        <v/>
      </c>
      <c r="KA20">
        <f>$KA$19+--($JZ20)</f>
        <v/>
      </c>
      <c r="KB20">
        <f>IF(ROW()-3&gt;MAX($KA$4:$KA$40),"",INDEX($EO$4:$EO$40,MATCH(ROW()-3,$KA$4:$KA$40,0)))</f>
        <v/>
      </c>
      <c r="KC20">
        <f>IF(COUNTIF('Live Search'!BM$19:CN$19,0)+COUNTIF('Live Search'!CP$19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D20">
        <f>IF($ET$20="",FALSE,SUMPRODUCT(('Final Calculation Sheet'!$AB$4:$AB$40=$ET$20)*($KC$6:$KC$42=1))&gt;0)</f>
        <v/>
      </c>
      <c r="KE20">
        <f>$KE$19+--($KD20)</f>
        <v/>
      </c>
      <c r="KF20">
        <f>IF(ROW()-3&gt;MAX($KE$4:$KE$40),"",INDEX($ET$4:$ET$40,MATCH(ROW()-3,$KE$4:$KE$40,0)))</f>
        <v/>
      </c>
      <c r="KG20">
        <f>IF(COUNTIF('Live Search'!BM$19:CO$19,0)+COUNTIF('Live Search'!CQ$19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H20">
        <f>IF($EY$20="",FALSE,SUMPRODUCT(('Final Calculation Sheet'!$AC$4:$AC$40=$EY$20)*($KG$6:$KG$42=1))&gt;0)</f>
        <v/>
      </c>
      <c r="KI20">
        <f>$KI$19+--($KH20)</f>
        <v/>
      </c>
      <c r="KJ20">
        <f>IF(ROW()-3&gt;MAX($KI$4:$KI$40),"",INDEX($EY$4:$EY$40,MATCH(ROW()-3,$KI$4:$KI$40,0)))</f>
        <v/>
      </c>
      <c r="KK20">
        <f>IF(COUNTIF('Live Search'!BM$19:CP$19,0)+COUNTIF('Live Search'!CR$19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L20">
        <f>IF($FD$20="",FALSE,SUMPRODUCT(('Final Calculation Sheet'!$AD$4:$AD$40=$FD$20)*($KK$6:$KK$42=1))&gt;0)</f>
        <v/>
      </c>
      <c r="KM20">
        <f>$KM$19+--($KL20)</f>
        <v/>
      </c>
      <c r="KN20">
        <f>IF(ROW()-3&gt;MAX($KM$4:$KM$40),"",INDEX($FD$4:$FD$40,MATCH(ROW()-3,$KM$4:$KM$40,0)))</f>
        <v/>
      </c>
      <c r="KO20">
        <f>IF(COUNTIF('Live Search'!BM$19:CT$19,0)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P20">
        <f>IF($FX$20="",FALSE,SUMPRODUCT((IF('Final Calculation Sheet'!$AD$4:$AD$40&lt;=5,"SETTLED","OUTSTANDING")=$FX$20)*($KO$6:$KO$42=1))&gt;0)</f>
        <v/>
      </c>
      <c r="KQ20">
        <f>$KQ$19+--($KP20)</f>
        <v/>
      </c>
      <c r="KR20">
        <f>IF(ROW()-3&gt;MAX($KQ$4:$KQ$40),"",INDEX($FX$4:$FX$40,MATCH(ROW()-3,$KQ$4:$KQ$40,0)))</f>
        <v/>
      </c>
      <c r="KS20">
        <f>IF(COUNTIF('Live Search'!BM$19:CQ$19,0)+COUNTIF('Live Search'!CS$19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T20">
        <f>IF($FI$20="",FALSE,SUMPRODUCT(('Final Calculation Sheet'!$AF$4:$AF$40=$FI$20)*($KS$6:$KS$42=1))&gt;0)</f>
        <v/>
      </c>
      <c r="KU20">
        <f>$KU$19+--($KT20)</f>
        <v/>
      </c>
      <c r="KV20">
        <f>IF(ROW()-3&gt;MAX($KU$4:$KU$40),"",INDEX($FI$4:$FI$40,MATCH(ROW()-3,$KU$4:$KU$40,0)))</f>
        <v/>
      </c>
      <c r="KW20">
        <f>IF(COUNTIF('Live Search'!BM$19:CR$19,0)+COUNTIF('Live Search'!CT$19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KX20">
        <f>IF($FN$20="",FALSE,SUMPRODUCT(('Final Calculation Sheet'!$AG$4:$AG$40=$FN$20)*($KW$6:$KW$42=1))&gt;0)</f>
        <v/>
      </c>
      <c r="KY20">
        <f>$KY$19+--($KX20)</f>
        <v/>
      </c>
      <c r="KZ20">
        <f>IF(ROW()-3&gt;MAX($KY$4:$KY$40),"",INDEX($FN$4:$FN$40,MATCH(ROW()-3,$KY$4:$KY$40,0)))</f>
        <v/>
      </c>
      <c r="LA20">
        <f>IF(COUNTIF('Live Search'!BM$19:CS$19,0)+COUNTIF('Live Search'!CU$19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LB20">
        <f>IF($FS$20="",FALSE,SUMPRODUCT(('Final Calculation Sheet'!$AH$4:$AH$40=$FS$20)*($LA$6:$LA$42=1))&gt;0)</f>
        <v/>
      </c>
      <c r="LC20">
        <f>$LC$19+--($LB20)</f>
        <v/>
      </c>
      <c r="LD20">
        <f>IF(ROW()-3&gt;MAX($LC$4:$LC$40),"",INDEX($FS$4:$FS$40,MATCH(ROW()-3,$LC$4:$LC$40,0)))</f>
        <v/>
      </c>
      <c r="LE20">
        <f>IF(COUNTIF('Buyer Groups'!DH73:EN73,0)&gt;0,0,1)</f>
        <v/>
      </c>
      <c r="LF20">
        <f>IF($O$20="",FALSE,SUMPRODUCT(('Final Calculation Sheet'!$F$4:$F$40=$O$20)*($LE$6:$LE$42=1))&gt;0)</f>
        <v/>
      </c>
      <c r="LG20">
        <f>$LG$19+--($LF20)</f>
        <v/>
      </c>
      <c r="LH20">
        <f>IF(ROW()-3&gt;MAX($LG$4:$LG$40),"",INDEX($O$4:$O$40,MATCH(ROW()-3,$LG$4:$LG$40,0)))</f>
        <v/>
      </c>
      <c r="LI20">
        <f>IF(COUNTIF('Buyer Groups'!DG73:DG73,0)+COUNTIF('Buyer Groups'!DI73:EN73,0)&gt;0,0,1)</f>
        <v/>
      </c>
      <c r="LJ20">
        <f>IF($T$20="",FALSE,SUMPRODUCT(('Final Calculation Sheet'!$G$4:$G$40=$T$20)*($LI$6:$LI$42=1))&gt;0)</f>
        <v/>
      </c>
      <c r="LK20">
        <f>$LK$19+--($LJ20)</f>
        <v/>
      </c>
      <c r="LL20">
        <f>IF(ROW()-3&gt;MAX($LK$4:$LK$40),"",INDEX($T$4:$T$40,MATCH(ROW()-3,$LK$4:$LK$40,0)))</f>
        <v/>
      </c>
      <c r="LM20">
        <f>IF(COUNTIF('Buyer Groups'!DG73:DH73,0)+COUNTIF('Buyer Groups'!DJ73:EN73,0)&gt;0,0,1)</f>
        <v/>
      </c>
      <c r="LN20">
        <f>IF($Y$20="",FALSE,SUMPRODUCT(('Final Calculation Sheet'!$B$4:$B$40=$Y$20)*($LM$6:$LM$42=1))&gt;0)</f>
        <v/>
      </c>
      <c r="LO20">
        <f>$LO$19+--($LN20)</f>
        <v/>
      </c>
      <c r="LP20">
        <f>IF(ROW()-3&gt;MAX($LO$4:$LO$40),"",INDEX($Y$4:$Y$40,MATCH(ROW()-3,$LO$4:$LO$40,0)))</f>
        <v/>
      </c>
      <c r="LQ20">
        <f>IF(COUNTIF('Buyer Groups'!DG73:DI73,0)+COUNTIF('Buyer Groups'!DK73:EN73,0)&gt;0,0,1)</f>
        <v/>
      </c>
      <c r="LR20">
        <f>IF($AD$20="",FALSE,SUMPRODUCT(('Final Calculation Sheet'!$D$4:$D$40=$AD$20)*($LQ$6:$LQ$42=1))&gt;0)</f>
        <v/>
      </c>
      <c r="LS20">
        <f>$LS$19+--($LR20)</f>
        <v/>
      </c>
      <c r="LT20">
        <f>IF(ROW()-3&gt;MAX($LS$4:$LS$40),"",INDEX($AD$4:$AD$40,MATCH(ROW()-3,$LS$4:$LS$40,0)))</f>
        <v/>
      </c>
      <c r="LU20">
        <f>IF(COUNTIF('Buyer Groups'!DG73:DJ73,0)+COUNTIF('Buyer Groups'!DL73:EN73,0)&gt;0,0,1)</f>
        <v/>
      </c>
      <c r="LV20">
        <f>IF($AI$20="",FALSE,SUMPRODUCT(('Final Calculation Sheet'!$A$4:$A$40=$AI$20)*($LU$6:$LU$42=1))&gt;0)</f>
        <v/>
      </c>
      <c r="LW20">
        <f>$LW$19+--($LV20)</f>
        <v/>
      </c>
      <c r="LX20">
        <f>IF(ROW()-3&gt;MAX($LW$4:$LW$40),"",INDEX($AI$4:$AI$40,MATCH(ROW()-3,$LW$4:$LW$40,0)))</f>
        <v/>
      </c>
      <c r="LY20">
        <f>IF(COUNTIF('Buyer Groups'!DG73:DK73,0)+COUNTIF('Buyer Groups'!DM73:EN73,0)&gt;0,0,1)</f>
        <v/>
      </c>
      <c r="LZ20">
        <f>IF($AN$20="",FALSE,SUMPRODUCT(('Final Calculation Sheet'!$E$4:$E$40=$AN$20)*($LY$6:$LY$42=1))&gt;0)</f>
        <v/>
      </c>
      <c r="MA20">
        <f>$MA$19+--($LZ20)</f>
        <v/>
      </c>
      <c r="MB20">
        <f>IF(ROW()-3&gt;MAX($MA$4:$MA$40),"",INDEX($AN$4:$AN$40,MATCH(ROW()-3,$MA$4:$MA$40,0)))</f>
        <v/>
      </c>
      <c r="MC20">
        <f>IF(COUNTIF('Buyer Groups'!DG73:DL73,0)+COUNTIF('Buyer Groups'!DN73:EN73,0)&gt;0,0,1)</f>
        <v/>
      </c>
      <c r="MD20">
        <f>IF($AS$20="",FALSE,SUMPRODUCT(('Final Calculation Sheet'!$C$4:$C$40=$AS$20)*($MC$6:$MC$42=1))&gt;0)</f>
        <v/>
      </c>
      <c r="ME20">
        <f>$ME$19+--($MD20)</f>
        <v/>
      </c>
      <c r="MF20">
        <f>IF(ROW()-3&gt;MAX($ME$4:$ME$40),"",INDEX($AS$4:$AS$40,MATCH(ROW()-3,$ME$4:$ME$40,0)))</f>
        <v/>
      </c>
      <c r="MG20">
        <f>IF(COUNTIF('Buyer Groups'!DG73:DM73,0)+COUNTIF('Buyer Groups'!DO73:EN73,0)&gt;0,0,1)</f>
        <v/>
      </c>
      <c r="MH20">
        <f>IF($AX$20="",FALSE,SUMPRODUCT(('Final Calculation Sheet'!$H$4:$H$40=$AX$20)*($MG$6:$MG$42=1))&gt;0)</f>
        <v/>
      </c>
      <c r="MI20">
        <f>$MI$19+--($MH20)</f>
        <v/>
      </c>
      <c r="MJ20">
        <f>IF(ROW()-3&gt;MAX($MI$4:$MI$40),"",INDEX($AX$4:$AX$40,MATCH(ROW()-3,$MI$4:$MI$40,0)))</f>
        <v/>
      </c>
      <c r="MK20">
        <f>IF(COUNTIF('Buyer Groups'!DG73:DN73,0)+COUNTIF('Buyer Groups'!DP73:EN73,0)&gt;0,0,1)</f>
        <v/>
      </c>
      <c r="ML20">
        <f>IF($BC$20="",FALSE,SUMPRODUCT(('Final Calculation Sheet'!$I$4:$I$40=$BC$20)*($MK$6:$MK$42=1))&gt;0)</f>
        <v/>
      </c>
      <c r="MM20">
        <f>$MM$19+--($ML20)</f>
        <v/>
      </c>
      <c r="MN20">
        <f>IF(ROW()-3&gt;MAX($MM$4:$MM$40),"",INDEX($BC$4:$BC$40,MATCH(ROW()-3,$MM$4:$MM$40,0)))</f>
        <v/>
      </c>
      <c r="MO20">
        <f>IF(COUNTIF('Buyer Groups'!DG73:DO73,0)+COUNTIF('Buyer Groups'!DQ73:EN73,0)&gt;0,0,1)</f>
        <v/>
      </c>
      <c r="MP20">
        <f>IF($BH$20="",FALSE,SUMPRODUCT(('Final Calculation Sheet'!$J$4:$J$40=$BH$20)*($MO$6:$MO$42=1))&gt;0)</f>
        <v/>
      </c>
      <c r="MQ20">
        <f>$MQ$19+--($MP20)</f>
        <v/>
      </c>
      <c r="MR20">
        <f>IF(ROW()-3&gt;MAX($MQ$4:$MQ$40),"",INDEX($BH$4:$BH$40,MATCH(ROW()-3,$MQ$4:$MQ$40,0)))</f>
        <v/>
      </c>
      <c r="MS20">
        <f>IF(COUNTIF('Buyer Groups'!DG73:DP73,0)+COUNTIF('Buyer Groups'!DR73:EN73,0)&gt;0,0,1)</f>
        <v/>
      </c>
      <c r="MT20">
        <f>IF($BM$20="",FALSE,SUMPRODUCT(('Final Calculation Sheet'!$K$4:$K$40=$BM$20)*($MS$6:$MS$42=1))&gt;0)</f>
        <v/>
      </c>
      <c r="MU20">
        <f>$MU$19+--($MT20)</f>
        <v/>
      </c>
      <c r="MV20">
        <f>IF(ROW()-3&gt;MAX($MU$4:$MU$40),"",INDEX($BM$4:$BM$40,MATCH(ROW()-3,$MU$4:$MU$40,0)))</f>
        <v/>
      </c>
      <c r="MW20">
        <f>IF(COUNTIF('Buyer Groups'!DG73:DQ73,0)+COUNTIF('Buyer Groups'!DS73:EN73,0)&gt;0,0,1)</f>
        <v/>
      </c>
      <c r="MX20">
        <f>IF($BR$20="",FALSE,SUMPRODUCT(('Final Calculation Sheet'!$L$4:$L$40=$BR$20)*($MW$6:$MW$42=1))&gt;0)</f>
        <v/>
      </c>
      <c r="MY20">
        <f>$MY$19+--($MX20)</f>
        <v/>
      </c>
      <c r="MZ20">
        <f>IF(ROW()-3&gt;MAX($MY$4:$MY$40),"",INDEX($BR$4:$BR$40,MATCH(ROW()-3,$MY$4:$MY$40,0)))</f>
        <v/>
      </c>
      <c r="NA20">
        <f>IF(COUNTIF('Buyer Groups'!DG73:DR73,0)+COUNTIF('Buyer Groups'!DT73:EN73,0)&gt;0,0,1)</f>
        <v/>
      </c>
      <c r="NB20">
        <f>IF($BW$20="",FALSE,SUMPRODUCT(('Final Calculation Sheet'!$M$4:$M$40=$BW$20)*($NA$6:$NA$42=1))&gt;0)</f>
        <v/>
      </c>
      <c r="NC20">
        <f>$NC$19+--($NB20)</f>
        <v/>
      </c>
      <c r="ND20">
        <f>IF(ROW()-3&gt;MAX($NC$4:$NC$40),"",INDEX($BW$4:$BW$40,MATCH(ROW()-3,$NC$4:$NC$40,0)))</f>
        <v/>
      </c>
      <c r="NE20">
        <f>IF(COUNTIF('Buyer Groups'!DG73:DS73,0)+COUNTIF('Buyer Groups'!DU73:EN73,0)&gt;0,0,1)</f>
        <v/>
      </c>
      <c r="NF20">
        <f>IF($CB$20="",FALSE,SUMPRODUCT(('Final Calculation Sheet'!$N$4:$N$40=$CB$20)*($NE$6:$NE$42=1))&gt;0)</f>
        <v/>
      </c>
      <c r="NG20">
        <f>$NG$19+--($NF20)</f>
        <v/>
      </c>
      <c r="NH20">
        <f>IF(ROW()-3&gt;MAX($NG$4:$NG$40),"",INDEX($CB$4:$CB$40,MATCH(ROW()-3,$NG$4:$NG$40,0)))</f>
        <v/>
      </c>
      <c r="NI20">
        <f>IF(COUNTIF('Buyer Groups'!DG73:DT73,0)+COUNTIF('Buyer Groups'!DV73:EN73,0)&gt;0,0,1)</f>
        <v/>
      </c>
      <c r="NJ20">
        <f>IF($CG$20="",FALSE,SUMPRODUCT(('Final Calculation Sheet'!$O$4:$O$40=$CG$20)*($NI$6:$NI$42=1))&gt;0)</f>
        <v/>
      </c>
      <c r="NK20">
        <f>$NK$19+--($NJ20)</f>
        <v/>
      </c>
      <c r="NL20">
        <f>IF(ROW()-3&gt;MAX($NK$4:$NK$40),"",INDEX($CG$4:$CG$40,MATCH(ROW()-3,$NK$4:$NK$40,0)))</f>
        <v/>
      </c>
      <c r="NM20">
        <f>IF(COUNTIF('Buyer Groups'!DG73:DU73,0)+COUNTIF('Buyer Groups'!DW73:EN73,0)&gt;0,0,1)</f>
        <v/>
      </c>
      <c r="NN20">
        <f>IF($CL$20="",FALSE,SUMPRODUCT(('Final Calculation Sheet'!$P$4:$P$40=$CL$20)*($NM$6:$NM$42=1))&gt;0)</f>
        <v/>
      </c>
      <c r="NO20">
        <f>$NO$19+--($NN20)</f>
        <v/>
      </c>
      <c r="NP20">
        <f>IF(ROW()-3&gt;MAX($NO$4:$NO$40),"",INDEX($CL$4:$CL$40,MATCH(ROW()-3,$NO$4:$NO$40,0)))</f>
        <v/>
      </c>
      <c r="NQ20">
        <f>IF(COUNTIF('Buyer Groups'!DG73:DV73,0)+COUNTIF('Buyer Groups'!DX73:EN73,0)&gt;0,0,1)</f>
        <v/>
      </c>
      <c r="NR20">
        <f>IF($CQ$20="",FALSE,SUMPRODUCT(('Final Calculation Sheet'!$Q$4:$Q$40=$CQ$20)*($NQ$6:$NQ$42=1))&gt;0)</f>
        <v/>
      </c>
      <c r="NS20">
        <f>$NS$19+--($NR20)</f>
        <v/>
      </c>
      <c r="NT20">
        <f>IF(ROW()-3&gt;MAX($NS$4:$NS$40),"",INDEX($CQ$4:$CQ$40,MATCH(ROW()-3,$NS$4:$NS$40,0)))</f>
        <v/>
      </c>
      <c r="NU20">
        <f>IF(COUNTIF('Buyer Groups'!DG73:DW73,0)+COUNTIF('Buyer Groups'!DY73:EN73,0)&gt;0,0,1)</f>
        <v/>
      </c>
      <c r="NV20">
        <f>IF($CV$20="",FALSE,SUMPRODUCT(('Final Calculation Sheet'!$R$4:$R$40=$CV$20)*($NU$6:$NU$42=1))&gt;0)</f>
        <v/>
      </c>
      <c r="NW20">
        <f>$NW$19+--($NV20)</f>
        <v/>
      </c>
      <c r="NX20">
        <f>IF(ROW()-3&gt;MAX($NW$4:$NW$40),"",INDEX($CV$4:$CV$40,MATCH(ROW()-3,$NW$4:$NW$40,0)))</f>
        <v/>
      </c>
      <c r="NY20">
        <f>IF(COUNTIF('Buyer Groups'!DG73:DX73,0)+COUNTIF('Buyer Groups'!DZ73:EN73,0)&gt;0,0,1)</f>
        <v/>
      </c>
      <c r="NZ20">
        <f>IF($DA$20="",FALSE,SUMPRODUCT(('Final Calculation Sheet'!$S$4:$S$40=$DA$20)*($NY$6:$NY$42=1))&gt;0)</f>
        <v/>
      </c>
      <c r="OA20">
        <f>$OA$19+--($NZ20)</f>
        <v/>
      </c>
      <c r="OB20">
        <f>IF(ROW()-3&gt;MAX($OA$4:$OA$40),"",INDEX($DA$4:$DA$40,MATCH(ROW()-3,$OA$4:$OA$40,0)))</f>
        <v/>
      </c>
      <c r="OC20">
        <f>IF(COUNTIF('Buyer Groups'!DG73:DY73,0)+COUNTIF('Buyer Groups'!EA73:EN73,0)&gt;0,0,1)</f>
        <v/>
      </c>
      <c r="OD20">
        <f>IF($DF$20="",FALSE,SUMPRODUCT(('Final Calculation Sheet'!$T$4:$T$40=$DF$20)*($OC$6:$OC$42=1))&gt;0)</f>
        <v/>
      </c>
      <c r="OE20">
        <f>$OE$19+--($OD20)</f>
        <v/>
      </c>
      <c r="OF20">
        <f>IF(ROW()-3&gt;MAX($OE$4:$OE$40),"",INDEX($DF$4:$DF$40,MATCH(ROW()-3,$OE$4:$OE$40,0)))</f>
        <v/>
      </c>
      <c r="OG20">
        <f>IF(COUNTIF('Buyer Groups'!DG73:DZ73,0)+COUNTIF('Buyer Groups'!EB73:EN73,0)&gt;0,0,1)</f>
        <v/>
      </c>
      <c r="OH20">
        <f>IF($DK$20="",FALSE,SUMPRODUCT(('Final Calculation Sheet'!$U$4:$U$40=$DK$20)*($OG$6:$OG$42=1))&gt;0)</f>
        <v/>
      </c>
      <c r="OI20">
        <f>$OI$19+--($OH20)</f>
        <v/>
      </c>
      <c r="OJ20">
        <f>IF(ROW()-3&gt;MAX($OI$4:$OI$40),"",INDEX($DK$4:$DK$40,MATCH(ROW()-3,$OI$4:$OI$40,0)))</f>
        <v/>
      </c>
      <c r="OK20">
        <f>IF(COUNTIF('Buyer Groups'!DG73:EA73,0)+COUNTIF('Buyer Groups'!EC73:EN73,0)&gt;0,0,1)</f>
        <v/>
      </c>
      <c r="OL20">
        <f>IF($DP$20="",FALSE,SUMPRODUCT(('Final Calculation Sheet'!$V$4:$V$40=$DP$20)*($OK$6:$OK$42=1))&gt;0)</f>
        <v/>
      </c>
      <c r="OM20">
        <f>$OM$19+--($OL20)</f>
        <v/>
      </c>
      <c r="ON20">
        <f>IF(ROW()-3&gt;MAX($OM$4:$OM$40),"",INDEX($DP$4:$DP$40,MATCH(ROW()-3,$OM$4:$OM$40,0)))</f>
        <v/>
      </c>
      <c r="OO20">
        <f>IF(COUNTIF('Buyer Groups'!DG73:EB73,0)+COUNTIF('Buyer Groups'!ED73:EN73,0)&gt;0,0,1)</f>
        <v/>
      </c>
      <c r="OP20">
        <f>IF($DU$20="",FALSE,SUMPRODUCT(('Final Calculation Sheet'!$W$4:$W$40=$DU$20)*($OO$6:$OO$42=1))&gt;0)</f>
        <v/>
      </c>
      <c r="OQ20">
        <f>$OQ$19+--($OP20)</f>
        <v/>
      </c>
      <c r="OR20">
        <f>IF(ROW()-3&gt;MAX($OQ$4:$OQ$40),"",INDEX($DU$4:$DU$40,MATCH(ROW()-3,$OQ$4:$OQ$40,0)))</f>
        <v/>
      </c>
      <c r="OS20">
        <f>IF(COUNTIF('Buyer Groups'!DG73:EC73,0)+COUNTIF('Buyer Groups'!EE73:EN73,0)&gt;0,0,1)</f>
        <v/>
      </c>
      <c r="OT20">
        <f>IF($DZ$20="",FALSE,SUMPRODUCT(('Final Calculation Sheet'!$X$4:$X$40=$DZ$20)*($OS$6:$OS$42=1))&gt;0)</f>
        <v/>
      </c>
      <c r="OU20">
        <f>$OU$19+--($OT20)</f>
        <v/>
      </c>
      <c r="OV20">
        <f>IF(ROW()-3&gt;MAX($OU$4:$OU$40),"",INDEX($DZ$4:$DZ$40,MATCH(ROW()-3,$OU$4:$OU$40,0)))</f>
        <v/>
      </c>
      <c r="OW20">
        <f>IF(COUNTIF('Buyer Groups'!DG73:ED73,0)+COUNTIF('Buyer Groups'!EF73:EN73,0)&gt;0,0,1)</f>
        <v/>
      </c>
      <c r="OX20">
        <f>IF($EE$20="",FALSE,SUMPRODUCT(('Final Calculation Sheet'!$Y$4:$Y$40=$EE$20)*($OW$6:$OW$42=1))&gt;0)</f>
        <v/>
      </c>
      <c r="OY20">
        <f>$OY$19+--($OX20)</f>
        <v/>
      </c>
      <c r="OZ20">
        <f>IF(ROW()-3&gt;MAX($OY$4:$OY$40),"",INDEX($EE$4:$EE$40,MATCH(ROW()-3,$OY$4:$OY$40,0)))</f>
        <v/>
      </c>
      <c r="PA20">
        <f>IF(COUNTIF('Buyer Groups'!DG73:EE73,0)+COUNTIF('Buyer Groups'!EG73:EN73,0)&gt;0,0,1)</f>
        <v/>
      </c>
      <c r="PB20">
        <f>IF($EJ$20="",FALSE,SUMPRODUCT(('Final Calculation Sheet'!$Z$4:$Z$40=$EJ$20)*($PA$6:$PA$42=1))&gt;0)</f>
        <v/>
      </c>
      <c r="PC20">
        <f>$PC$19+--($PB20)</f>
        <v/>
      </c>
      <c r="PD20">
        <f>IF(ROW()-3&gt;MAX($PC$4:$PC$40),"",INDEX($EJ$4:$EJ$40,MATCH(ROW()-3,$PC$4:$PC$40,0)))</f>
        <v/>
      </c>
      <c r="PE20">
        <f>IF(COUNTIF('Buyer Groups'!DG73:EF73,0)+COUNTIF('Buyer Groups'!EH73:EN73,0)&gt;0,0,1)</f>
        <v/>
      </c>
      <c r="PF20">
        <f>IF($EO$20="",FALSE,SUMPRODUCT(('Final Calculation Sheet'!$AA$4:$AA$40=$EO$20)*($PE$6:$PE$42=1))&gt;0)</f>
        <v/>
      </c>
      <c r="PG20">
        <f>$PG$19+--($PF20)</f>
        <v/>
      </c>
      <c r="PH20">
        <f>IF(ROW()-3&gt;MAX($PG$4:$PG$40),"",INDEX($EO$4:$EO$40,MATCH(ROW()-3,$PG$4:$PG$40,0)))</f>
        <v/>
      </c>
      <c r="PI20">
        <f>IF(COUNTIF('Buyer Groups'!DG73:EG73,0)+COUNTIF('Buyer Groups'!EI73:EN73,0)&gt;0,0,1)</f>
        <v/>
      </c>
      <c r="PJ20">
        <f>IF($ET$20="",FALSE,SUMPRODUCT(('Final Calculation Sheet'!$AB$4:$AB$40=$ET$20)*($PI$6:$PI$42=1))&gt;0)</f>
        <v/>
      </c>
      <c r="PK20">
        <f>$PK$19+--($PJ20)</f>
        <v/>
      </c>
      <c r="PL20">
        <f>IF(ROW()-3&gt;MAX($PK$4:$PK$40),"",INDEX($ET$4:$ET$40,MATCH(ROW()-3,$PK$4:$PK$40,0)))</f>
        <v/>
      </c>
      <c r="PM20">
        <f>IF(COUNTIF('Buyer Groups'!DG73:EH73,0)+COUNTIF('Buyer Groups'!EJ73:EN73,0)&gt;0,0,1)</f>
        <v/>
      </c>
      <c r="PN20">
        <f>IF($EY$20="",FALSE,SUMPRODUCT(('Final Calculation Sheet'!$AC$4:$AC$40=$EY$20)*($PM$6:$PM$42=1))&gt;0)</f>
        <v/>
      </c>
      <c r="PO20">
        <f>$PO$19+--($PN20)</f>
        <v/>
      </c>
      <c r="PP20">
        <f>IF(ROW()-3&gt;MAX($PO$4:$PO$40),"",INDEX($EY$4:$EY$40,MATCH(ROW()-3,$PO$4:$PO$40,0)))</f>
        <v/>
      </c>
      <c r="PQ20">
        <f>IF(COUNTIF('Buyer Groups'!DG73:EI73,0)+COUNTIF('Buyer Groups'!EK73:EN73,0)&gt;0,0,1)</f>
        <v/>
      </c>
      <c r="PR20">
        <f>IF($FD$20="",FALSE,SUMPRODUCT(('Final Calculation Sheet'!$AD$4:$AD$40=$FD$20)*($PQ$6:$PQ$42=1))&gt;0)</f>
        <v/>
      </c>
      <c r="PS20">
        <f>$PS$19+--($PR20)</f>
        <v/>
      </c>
      <c r="PT20">
        <f>IF(ROW()-3&gt;MAX($PS$4:$PS$40),"",INDEX($FD$4:$FD$40,MATCH(ROW()-3,$PS$4:$PS$40,0)))</f>
        <v/>
      </c>
      <c r="PU20">
        <f>IF(COUNTIF('Buyer Groups'!DG73:EJ73,0)+COUNTIF('Buyer Groups'!EL73:EN73,0)&gt;0,0,1)</f>
        <v/>
      </c>
      <c r="PV20">
        <f>IF($FX$20="",FALSE,SUMPRODUCT((IF('Final Calculation Sheet'!$AD$4:$AD$40&lt;=5,"SETTLED","OUTSTANDING")=$FX$20)*($PU$6:$PU$42=1))&gt;0)</f>
        <v/>
      </c>
      <c r="PW20">
        <f>$PW$19+--($PV20)</f>
        <v/>
      </c>
      <c r="PX20">
        <f>IF(ROW()-3&gt;MAX($PW$4:$PW$40),"",INDEX($FX$4:$FX$40,MATCH(ROW()-3,$PW$4:$PW$40,0)))</f>
        <v/>
      </c>
      <c r="PY20">
        <f>IF(COUNTIF('Buyer Groups'!DG73:EK73,0)+COUNTIF('Buyer Groups'!EM73:EN73,0)&gt;0,0,1)</f>
        <v/>
      </c>
      <c r="PZ20">
        <f>IF($FI$20="",FALSE,SUMPRODUCT(('Final Calculation Sheet'!$AF$4:$AF$40=$FI$20)*($PY$6:$PY$42=1))&gt;0)</f>
        <v/>
      </c>
      <c r="QA20">
        <f>$QA$19+--($PZ20)</f>
        <v/>
      </c>
      <c r="QB20">
        <f>IF(ROW()-3&gt;MAX($QA$4:$QA$40),"",INDEX($FI$4:$FI$40,MATCH(ROW()-3,$QA$4:$QA$40,0)))</f>
        <v/>
      </c>
      <c r="QC20">
        <f>IF(COUNTIF('Buyer Groups'!DG73:EL73,0)+COUNTIF('Buyer Groups'!EN73:EN73,0)&gt;0,0,1)</f>
        <v/>
      </c>
      <c r="QD20">
        <f>IF($FN$20="",FALSE,SUMPRODUCT(('Final Calculation Sheet'!$AG$4:$AG$40=$FN$20)*($QC$6:$QC$42=1))&gt;0)</f>
        <v/>
      </c>
      <c r="QE20">
        <f>$QE$19+--($QD20)</f>
        <v/>
      </c>
      <c r="QF20">
        <f>IF(ROW()-3&gt;MAX($QE$4:$QE$40),"",INDEX($FN$4:$FN$40,MATCH(ROW()-3,$QE$4:$QE$40,0)))</f>
        <v/>
      </c>
      <c r="QG20">
        <f>IF(COUNTIF('Buyer Groups'!DG73:EM73,0)&gt;0,0,1)</f>
        <v/>
      </c>
      <c r="QH20">
        <f>IF($FS$20="",FALSE,SUMPRODUCT(('Final Calculation Sheet'!$AH$4:$AH$40=$FS$20)*($QG$6:$QG$42=1))&gt;0)</f>
        <v/>
      </c>
      <c r="QI20">
        <f>$QI$19+--($QH20)</f>
        <v/>
      </c>
      <c r="QJ20">
        <f>IF(ROW()-3&gt;MAX($QI$4:$QI$40),"",INDEX($FS$4:$FS$40,MATCH(ROW()-3,$QI$4:$QI$40,0)))</f>
        <v/>
      </c>
      <c r="QK20" t="str">
        <f>IF('Final Calculation Sheet'!$AH$20="","",'Final Calculation Sheet'!$AH$20)</f>
      </c>
      <c r="QL20" t="str">
        <f>IF(QK20="","",COUNTIFS(QK$4:QK$40,"&lt;"&amp;QK20,QK$4:QK$40,"&lt;&gt;"&amp;"")+COUNTIF(QK$4:QK20,QK20))</f>
      </c>
      <c r="QM20" t="str">
        <f>IF(ROW()-3&gt;COUNTIF(QK$4:QK$40,"&lt;&gt;"&amp;""),"",INDEX(QK$4:QK$40,MATCH(ROW()-3,QL$4:QL$40,0)))</f>
      </c>
      <c r="QN20" t="str">
        <f>=QN19+F(AND(QM20&lt;&gt;"",COUNTIF(QM$4:QM20,QM20)=1),1,0)</f>
      </c>
      <c r="QO20" t="str">
        <f>IF(ROW()-3&gt;MAX(QN$4:QN$40),"",INDEX(QM$4:QM$40,MATCH(ROW()-3,QN$4:QN$40,0)))</f>
      </c>
      <c r="QP20" t="str">
        <f>IF(COUNTIF('Final Calculation Sheet'!$AM20:$BS20,0)&gt;0,0,1)</f>
      </c>
      <c r="QQ20" t="str">
        <f>IF($AI$20="",FALSE,SUMPRODUCT(('Final Calculation Sheet'!$A$4:$A$40=$AI$20)*($QP$4:$QP$40=1))&gt;0)</f>
      </c>
      <c r="QR20" t="str">
        <f>=$QR19+--($QQ20)</f>
      </c>
      <c r="QS20" t="str">
        <f>IF(ROW()-3&gt;MAX($QR$4:$QR$40),"",INDEX($AI$4:$AI$40,MATCH(ROW()-3,$QR$4:$QR$40,0)))</f>
      </c>
      <c r="QT20" t="str">
        <f>IF(COUNTIF('Final Calculation Sheet'!$AL20:$AL20,0)+COUNTIF('Final Calculation Sheet'!$AN20:$BS20,0)&gt;0,0,1)</f>
      </c>
      <c r="QU20" t="str">
        <f>IF($Y$20="",FALSE,SUMPRODUCT(('Final Calculation Sheet'!$B$4:$B$40=$Y$20)*($QT$4:$QT$40=1))&gt;0)</f>
      </c>
      <c r="QV20" t="str">
        <f>=$QV19+--($QU20)</f>
      </c>
      <c r="QW20" t="str">
        <f>IF(ROW()-3&gt;MAX($QV$4:$QV$40),"",INDEX($Y$4:$Y$40,MATCH(ROW()-3,$QV$4:$QV$40,0)))</f>
      </c>
      <c r="QX20" t="str">
        <f>IF(COUNTIF('Final Calculation Sheet'!$AL20:$AM20,0)+COUNTIF('Final Calculation Sheet'!$AO20:$BS20,0)&gt;0,0,1)</f>
      </c>
      <c r="QY20" t="str">
        <f>IF($AS$20="",FALSE,SUMPRODUCT(('Final Calculation Sheet'!$C$4:$C$40=$AS$20)*($QX$4:$QX$40=1))&gt;0)</f>
      </c>
      <c r="QZ20" t="str">
        <f>=$QZ19+--($QY20)</f>
      </c>
      <c r="RA20" t="str">
        <f>IF(ROW()-3&gt;MAX($QZ$4:$QZ$40),"",INDEX($AS$4:$AS$40,MATCH(ROW()-3,$QZ$4:$QZ$40,0)))</f>
      </c>
      <c r="RB20" t="str">
        <f>IF(COUNTIF('Final Calculation Sheet'!$AL20:$AN20,0)+COUNTIF('Final Calculation Sheet'!$AP20:$BS20,0)&gt;0,0,1)</f>
      </c>
      <c r="RC20" t="str">
        <f>IF($AD$20="",FALSE,SUMPRODUCT(('Final Calculation Sheet'!$D$4:$D$40=$AD$20)*($RB$4:$RB$40=1))&gt;0)</f>
      </c>
      <c r="RD20" t="str">
        <f>=$RD19+--($RC20)</f>
      </c>
      <c r="RE20" t="str">
        <f>IF(ROW()-3&gt;MAX($RD$4:$RD$40),"",INDEX($AD$4:$AD$40,MATCH(ROW()-3,$RD$4:$RD$40,0)))</f>
      </c>
      <c r="RF20" t="str">
        <f>IF(COUNTIF('Final Calculation Sheet'!$AL20:$AO20,0)+COUNTIF('Final Calculation Sheet'!$AQ20:$BS20,0)&gt;0,0,1)</f>
      </c>
      <c r="RG20" t="str">
        <f>IF($AN$20="",FALSE,SUMPRODUCT(('Final Calculation Sheet'!$E$4:$E$40=$AN$20)*($RF$4:$RF$40=1))&gt;0)</f>
      </c>
      <c r="RH20" t="str">
        <f>=$RH19+--($RG20)</f>
      </c>
      <c r="RI20" t="str">
        <f>IF(ROW()-3&gt;MAX($RH$4:$RH$40),"",INDEX($AN$4:$AN$40,MATCH(ROW()-3,$RH$4:$RH$40,0)))</f>
      </c>
      <c r="RJ20" t="str">
        <f>IF(COUNTIF('Final Calculation Sheet'!$AL20:$AP20,0)+COUNTIF('Final Calculation Sheet'!$AR20:$BS20,0)&gt;0,0,1)</f>
      </c>
      <c r="RK20" t="str">
        <f>IF($O$20="",FALSE,SUMPRODUCT(('Final Calculation Sheet'!$F$4:$F$40=$O$20)*($RJ$4:$RJ$40=1))&gt;0)</f>
      </c>
      <c r="RL20" t="str">
        <f>=$RL19+--($RK20)</f>
      </c>
      <c r="RM20" t="str">
        <f>IF(ROW()-3&gt;MAX($RL$4:$RL$40),"",INDEX($O$4:$O$40,MATCH(ROW()-3,$RL$4:$RL$40,0)))</f>
      </c>
      <c r="RN20" t="str">
        <f>IF(COUNTIF('Final Calculation Sheet'!$AL20:$AQ20,0)+COUNTIF('Final Calculation Sheet'!$AS20:$BS20,0)&gt;0,0,1)</f>
      </c>
      <c r="RO20" t="str">
        <f>IF($T$20="",FALSE,SUMPRODUCT(('Final Calculation Sheet'!$G$4:$G$40=$T$20)*($RN$4:$RN$40=1))&gt;0)</f>
      </c>
      <c r="RP20" t="str">
        <f>=$RP19+--($RO20)</f>
      </c>
      <c r="RQ20" t="str">
        <f>IF(ROW()-3&gt;MAX($RP$4:$RP$40),"",INDEX($T$4:$T$40,MATCH(ROW()-3,$RP$4:$RP$40,0)))</f>
      </c>
      <c r="RR20" t="str">
        <f>IF(COUNTIF('Final Calculation Sheet'!$AL20:$AR20,0)+COUNTIF('Final Calculation Sheet'!$AT20:$BS20,0)&gt;0,0,1)</f>
      </c>
      <c r="RS20" t="str">
        <f>IF($AX$20="",FALSE,SUMPRODUCT(('Final Calculation Sheet'!$H$4:$H$40=$AX$20)*($RR$4:$RR$40=1))&gt;0)</f>
      </c>
      <c r="RT20" t="str">
        <f>=$RT19+--($RS20)</f>
      </c>
      <c r="RU20" t="str">
        <f>IF(ROW()-3&gt;MAX($RT$4:$RT$40),"",INDEX($AX$4:$AX$40,MATCH(ROW()-3,$RT$4:$RT$40,0)))</f>
      </c>
      <c r="RV20" t="str">
        <f>IF(COUNTIF('Final Calculation Sheet'!$AL20:$AS20,0)+COUNTIF('Final Calculation Sheet'!$AU20:$BS20,0)&gt;0,0,1)</f>
      </c>
      <c r="RW20" t="str">
        <f>IF($BC$20="",FALSE,SUMPRODUCT(('Final Calculation Sheet'!$I$4:$I$40=$BC$20)*($RV$4:$RV$40=1))&gt;0)</f>
      </c>
      <c r="RX20" t="str">
        <f>=$RX19+--($RW20)</f>
      </c>
      <c r="RY20" t="str">
        <f>IF(ROW()-3&gt;MAX($RX$4:$RX$40),"",INDEX($BC$4:$BC$40,MATCH(ROW()-3,$RX$4:$RX$40,0)))</f>
      </c>
      <c r="RZ20" t="str">
        <f>IF(COUNTIF('Final Calculation Sheet'!$AL20:$AT20,0)+COUNTIF('Final Calculation Sheet'!$AV20:$BS20,0)&gt;0,0,1)</f>
      </c>
      <c r="SA20" t="str">
        <f>IF($BH$20="",FALSE,SUMPRODUCT(('Final Calculation Sheet'!$J$4:$J$40=$BH$20)*($RZ$4:$RZ$40=1))&gt;0)</f>
      </c>
      <c r="SB20" t="str">
        <f>=$SB19+--($SA20)</f>
      </c>
      <c r="SC20" t="str">
        <f>IF(ROW()-3&gt;MAX($SB$4:$SB$40),"",INDEX($BH$4:$BH$40,MATCH(ROW()-3,$SB$4:$SB$40,0)))</f>
      </c>
      <c r="SD20" t="str">
        <f>IF(COUNTIF('Final Calculation Sheet'!$AL20:$AU20,0)+COUNTIF('Final Calculation Sheet'!$AW20:$BS20,0)&gt;0,0,1)</f>
      </c>
      <c r="SE20" t="str">
        <f>IF($BM$20="",FALSE,SUMPRODUCT(('Final Calculation Sheet'!$K$4:$K$40=$BM$20)*($SD$4:$SD$40=1))&gt;0)</f>
      </c>
      <c r="SF20" t="str">
        <f>=$SF19+--($SE20)</f>
      </c>
      <c r="SG20" t="str">
        <f>IF(ROW()-3&gt;MAX($SF$4:$SF$40),"",INDEX($BM$4:$BM$40,MATCH(ROW()-3,$SF$4:$SF$40,0)))</f>
      </c>
      <c r="SH20" t="str">
        <f>IF(COUNTIF('Final Calculation Sheet'!$AL20:$AV20,0)+COUNTIF('Final Calculation Sheet'!$AX20:$BS20,0)&gt;0,0,1)</f>
      </c>
      <c r="SI20" t="str">
        <f>IF($BR$20="",FALSE,SUMPRODUCT(('Final Calculation Sheet'!$L$4:$L$40=$BR$20)*($SH$4:$SH$40=1))&gt;0)</f>
      </c>
      <c r="SJ20" t="str">
        <f>=$SJ19+--($SI20)</f>
      </c>
      <c r="SK20" t="str">
        <f>IF(ROW()-3&gt;MAX($SJ$4:$SJ$40),"",INDEX($BR$4:$BR$40,MATCH(ROW()-3,$SJ$4:$SJ$40,0)))</f>
      </c>
      <c r="SL20" t="str">
        <f>IF(COUNTIF('Final Calculation Sheet'!$AL20:$AW20,0)+COUNTIF('Final Calculation Sheet'!$AY20:$BS20,0)&gt;0,0,1)</f>
      </c>
      <c r="SM20" t="str">
        <f>IF($BW$20="",FALSE,SUMPRODUCT(('Final Calculation Sheet'!$M$4:$M$40=$BW$20)*($SL$4:$SL$40=1))&gt;0)</f>
      </c>
      <c r="SN20" t="str">
        <f>=$SN19+--($SM20)</f>
      </c>
      <c r="SO20" t="str">
        <f>IF(ROW()-3&gt;MAX($SN$4:$SN$40),"",INDEX($BW$4:$BW$40,MATCH(ROW()-3,$SN$4:$SN$40,0)))</f>
      </c>
      <c r="SP20" t="str">
        <f>IF(COUNTIF('Final Calculation Sheet'!$AL20:$AX20,0)+COUNTIF('Final Calculation Sheet'!$AZ20:$BS20,0)&gt;0,0,1)</f>
      </c>
      <c r="SQ20" t="str">
        <f>IF($CB$20="",FALSE,SUMPRODUCT(('Final Calculation Sheet'!$N$4:$N$40=$CB$20)*($SP$4:$SP$40=1))&gt;0)</f>
      </c>
      <c r="SR20" t="str">
        <f>=$SR19+--($SQ20)</f>
      </c>
      <c r="SS20" t="str">
        <f>IF(ROW()-3&gt;MAX($SR$4:$SR$40),"",INDEX($CB$4:$CB$40,MATCH(ROW()-3,$SR$4:$SR$40,0)))</f>
      </c>
      <c r="ST20" t="str">
        <f>IF(COUNTIF('Final Calculation Sheet'!$AL20:$AY20,0)+COUNTIF('Final Calculation Sheet'!$BA20:$BS20,0)&gt;0,0,1)</f>
      </c>
      <c r="SU20" t="str">
        <f>IF($CG$20="",FALSE,SUMPRODUCT(('Final Calculation Sheet'!$O$4:$O$40=$CG$20)*($ST$4:$ST$40=1))&gt;0)</f>
      </c>
      <c r="SV20" t="str">
        <f>=$SV19+--($SU20)</f>
      </c>
      <c r="SW20" t="str">
        <f>IF(ROW()-3&gt;MAX($SV$4:$SV$40),"",INDEX($CG$4:$CG$40,MATCH(ROW()-3,$SV$4:$SV$40,0)))</f>
      </c>
      <c r="SX20" t="str">
        <f>IF(COUNTIF('Final Calculation Sheet'!$AL20:$AZ20,0)+COUNTIF('Final Calculation Sheet'!$BB20:$BS20,0)&gt;0,0,1)</f>
      </c>
      <c r="SY20" t="str">
        <f>IF($CL$20="",FALSE,SUMPRODUCT(('Final Calculation Sheet'!$P$4:$P$40=$CL$20)*($SX$4:$SX$40=1))&gt;0)</f>
      </c>
      <c r="SZ20" t="str">
        <f>=$SZ19+--($SY20)</f>
      </c>
      <c r="TA20" t="str">
        <f>IF(ROW()-3&gt;MAX($SZ$4:$SZ$40),"",INDEX($CL$4:$CL$40,MATCH(ROW()-3,$SZ$4:$SZ$40,0)))</f>
      </c>
      <c r="TB20" t="str">
        <f>IF(COUNTIF('Final Calculation Sheet'!$AL20:$BA20,0)+COUNTIF('Final Calculation Sheet'!$BC20:$BS20,0)&gt;0,0,1)</f>
      </c>
      <c r="TC20" t="str">
        <f>IF($CQ$20="",FALSE,SUMPRODUCT(('Final Calculation Sheet'!$Q$4:$Q$40=$CQ$20)*($TB$4:$TB$40=1))&gt;0)</f>
      </c>
      <c r="TD20" t="str">
        <f>=$TD19+--($TC20)</f>
      </c>
      <c r="TE20" t="str">
        <f>IF(ROW()-3&gt;MAX($TD$4:$TD$40),"",INDEX($CQ$4:$CQ$40,MATCH(ROW()-3,$TD$4:$TD$40,0)))</f>
      </c>
      <c r="TF20" t="str">
        <f>IF(COUNTIF('Final Calculation Sheet'!$AL20:$BB20,0)+COUNTIF('Final Calculation Sheet'!$BD20:$BS20,0)&gt;0,0,1)</f>
      </c>
      <c r="TG20" t="str">
        <f>IF($CV$20="",FALSE,SUMPRODUCT(('Final Calculation Sheet'!$R$4:$R$40=$CV$20)*($TF$4:$TF$40=1))&gt;0)</f>
      </c>
      <c r="TH20" t="str">
        <f>=$TH19+--($TG20)</f>
      </c>
      <c r="TI20" t="str">
        <f>IF(ROW()-3&gt;MAX($TH$4:$TH$40),"",INDEX($CV$4:$CV$40,MATCH(ROW()-3,$TH$4:$TH$40,0)))</f>
      </c>
      <c r="TJ20" t="str">
        <f>IF(COUNTIF('Final Calculation Sheet'!$AL20:$BC20,0)+COUNTIF('Final Calculation Sheet'!$BE20:$BS20,0)&gt;0,0,1)</f>
      </c>
      <c r="TK20" t="str">
        <f>IF($DA$20="",FALSE,SUMPRODUCT(('Final Calculation Sheet'!$S$4:$S$40=$DA$20)*($TJ$4:$TJ$40=1))&gt;0)</f>
      </c>
      <c r="TL20" t="str">
        <f>=$TL19+--($TK20)</f>
      </c>
      <c r="TM20" t="str">
        <f>IF(ROW()-3&gt;MAX($TL$4:$TL$40),"",INDEX($DA$4:$DA$40,MATCH(ROW()-3,$TL$4:$TL$40,0)))</f>
      </c>
      <c r="TN20" t="str">
        <f>IF(COUNTIF('Final Calculation Sheet'!$AL20:$BD20,0)+COUNTIF('Final Calculation Sheet'!$BF20:$BS20,0)&gt;0,0,1)</f>
      </c>
      <c r="TO20" t="str">
        <f>IF($DF$20="",FALSE,SUMPRODUCT(('Final Calculation Sheet'!$T$4:$T$40=$DF$20)*($TN$4:$TN$40=1))&gt;0)</f>
      </c>
      <c r="TP20" t="str">
        <f>=$TP19+--($TO20)</f>
      </c>
      <c r="TQ20" t="str">
        <f>IF(ROW()-3&gt;MAX($TP$4:$TP$40),"",INDEX($DF$4:$DF$40,MATCH(ROW()-3,$TP$4:$TP$40,0)))</f>
      </c>
      <c r="TR20" t="str">
        <f>IF(COUNTIF('Final Calculation Sheet'!$AL20:$BE20,0)+COUNTIF('Final Calculation Sheet'!$BG20:$BS20,0)&gt;0,0,1)</f>
      </c>
      <c r="TS20" t="str">
        <f>IF($DK$20="",FALSE,SUMPRODUCT(('Final Calculation Sheet'!$U$4:$U$40=$DK$20)*($TR$4:$TR$40=1))&gt;0)</f>
      </c>
      <c r="TT20" t="str">
        <f>=$TT19+--($TS20)</f>
      </c>
      <c r="TU20" t="str">
        <f>IF(ROW()-3&gt;MAX($TT$4:$TT$40),"",INDEX($DK$4:$DK$40,MATCH(ROW()-3,$TT$4:$TT$40,0)))</f>
      </c>
      <c r="TV20" t="str">
        <f>IF(COUNTIF('Final Calculation Sheet'!$AL20:$BF20,0)+COUNTIF('Final Calculation Sheet'!$BH20:$BS20,0)&gt;0,0,1)</f>
      </c>
      <c r="TW20" t="str">
        <f>IF($DP$20="",FALSE,SUMPRODUCT(('Final Calculation Sheet'!$V$4:$V$40=$DP$20)*($TV$4:$TV$40=1))&gt;0)</f>
      </c>
      <c r="TX20" t="str">
        <f>=$TX19+--($TW20)</f>
      </c>
      <c r="TY20" t="str">
        <f>IF(ROW()-3&gt;MAX($TX$4:$TX$40),"",INDEX($DP$4:$DP$40,MATCH(ROW()-3,$TX$4:$TX$40,0)))</f>
      </c>
      <c r="TZ20" t="str">
        <f>IF(COUNTIF('Final Calculation Sheet'!$AL20:$BG20,0)+COUNTIF('Final Calculation Sheet'!$BI20:$BS20,0)&gt;0,0,1)</f>
      </c>
      <c r="UA20" t="str">
        <f>IF($DU$20="",FALSE,SUMPRODUCT(('Final Calculation Sheet'!$W$4:$W$40=$DU$20)*($TZ$4:$TZ$40=1))&gt;0)</f>
      </c>
      <c r="UB20" t="str">
        <f>=$UB19+--($UA20)</f>
      </c>
      <c r="UC20" t="str">
        <f>IF(ROW()-3&gt;MAX($UB$4:$UB$40),"",INDEX($DU$4:$DU$40,MATCH(ROW()-3,$UB$4:$UB$40,0)))</f>
      </c>
      <c r="UD20" t="str">
        <f>IF(COUNTIF('Final Calculation Sheet'!$AL20:$BH20,0)+COUNTIF('Final Calculation Sheet'!$BJ20:$BS20,0)&gt;0,0,1)</f>
      </c>
      <c r="UE20" t="str">
        <f>IF($DZ$20="",FALSE,SUMPRODUCT(('Final Calculation Sheet'!$X$4:$X$40=$DZ$20)*($UD$4:$UD$40=1))&gt;0)</f>
      </c>
      <c r="UF20" t="str">
        <f>=$UF19+--($UE20)</f>
      </c>
      <c r="UG20" t="str">
        <f>IF(ROW()-3&gt;MAX($UF$4:$UF$40),"",INDEX($DZ$4:$DZ$40,MATCH(ROW()-3,$UF$4:$UF$40,0)))</f>
      </c>
      <c r="UH20" t="str">
        <f>IF(COUNTIF('Final Calculation Sheet'!$AL20:$BI20,0)+COUNTIF('Final Calculation Sheet'!$BK20:$BS20,0)&gt;0,0,1)</f>
      </c>
      <c r="UI20" t="str">
        <f>IF($EE$20="",FALSE,SUMPRODUCT(('Final Calculation Sheet'!$Y$4:$Y$40=$EE$20)*($UH$4:$UH$40=1))&gt;0)</f>
      </c>
      <c r="UJ20" t="str">
        <f>=$UJ19+--($UI20)</f>
      </c>
      <c r="UK20" t="str">
        <f>IF(ROW()-3&gt;MAX($UJ$4:$UJ$40),"",INDEX($EE$4:$EE$40,MATCH(ROW()-3,$UJ$4:$UJ$40,0)))</f>
      </c>
      <c r="UL20" t="str">
        <f>IF(COUNTIF('Final Calculation Sheet'!$AL20:$BJ20,0)+COUNTIF('Final Calculation Sheet'!$BL20:$BS20,0)&gt;0,0,1)</f>
      </c>
      <c r="UM20" t="str">
        <f>IF($EJ$20="",FALSE,SUMPRODUCT(('Final Calculation Sheet'!$Z$4:$Z$40=$EJ$20)*($UL$4:$UL$40=1))&gt;0)</f>
      </c>
      <c r="UN20" t="str">
        <f>=$UN19+--($UM20)</f>
      </c>
      <c r="UO20" t="str">
        <f>IF(ROW()-3&gt;MAX($UN$4:$UN$40),"",INDEX($EJ$4:$EJ$40,MATCH(ROW()-3,$UN$4:$UN$40,0)))</f>
      </c>
      <c r="UP20" t="str">
        <f>IF(COUNTIF('Final Calculation Sheet'!$AL20:$BK20,0)+COUNTIF('Final Calculation Sheet'!$BM20:$BS20,0)&gt;0,0,1)</f>
      </c>
      <c r="UQ20" t="str">
        <f>IF($EO$20="",FALSE,SUMPRODUCT(('Final Calculation Sheet'!$AA$4:$AA$40=$EO$20)*($UP$4:$UP$40=1))&gt;0)</f>
      </c>
      <c r="UR20" t="str">
        <f>=$UR19+--($UQ20)</f>
      </c>
      <c r="US20" t="str">
        <f>IF(ROW()-3&gt;MAX($UR$4:$UR$40),"",INDEX($EO$4:$EO$40,MATCH(ROW()-3,$UR$4:$UR$40,0)))</f>
      </c>
      <c r="UT20" t="str">
        <f>IF(COUNTIF('Final Calculation Sheet'!$AL20:$BL20,0)+COUNTIF('Final Calculation Sheet'!$BN20:$BS20,0)&gt;0,0,1)</f>
      </c>
      <c r="UU20" t="str">
        <f>IF($ET$20="",FALSE,SUMPRODUCT(('Final Calculation Sheet'!$AB$4:$AB$40=$ET$20)*($UT$4:$UT$40=1))&gt;0)</f>
      </c>
      <c r="UV20" t="str">
        <f>=$UV19+--($UU20)</f>
      </c>
      <c r="UW20" t="str">
        <f>IF(ROW()-3&gt;MAX($UV$4:$UV$40),"",INDEX($ET$4:$ET$40,MATCH(ROW()-3,$UV$4:$UV$40,0)))</f>
      </c>
      <c r="UX20" t="str">
        <f>IF(COUNTIF('Final Calculation Sheet'!$AL20:$BM20,0)+COUNTIF('Final Calculation Sheet'!$BO20:$BS20,0)&gt;0,0,1)</f>
      </c>
      <c r="UY20" t="str">
        <f>IF($EY$20="",FALSE,SUMPRODUCT(('Final Calculation Sheet'!$AC$4:$AC$40=$EY$20)*($UX$4:$UX$40=1))&gt;0)</f>
      </c>
      <c r="UZ20" t="str">
        <f>=$UZ19+--($UY20)</f>
      </c>
      <c r="VA20" t="str">
        <f>IF(ROW()-3&gt;MAX($UZ$4:$UZ$40),"",INDEX($EY$4:$EY$40,MATCH(ROW()-3,$UZ$4:$UZ$40,0)))</f>
      </c>
      <c r="VB20" t="str">
        <f>IF(COUNTIF('Final Calculation Sheet'!$AL20:$BN20,0)+COUNTIF('Final Calculation Sheet'!$BP20:$BS20,0)&gt;0,0,1)</f>
      </c>
      <c r="VC20" t="str">
        <f>IF($FD$20="",FALSE,SUMPRODUCT(('Final Calculation Sheet'!$AD$4:$AD$40=$FD$20)*($VB$4:$VB$40=1))&gt;0)</f>
      </c>
      <c r="VD20" t="str">
        <f>=$VD19+--($VC20)</f>
      </c>
      <c r="VE20" t="str">
        <f>IF(ROW()-3&gt;MAX($VD$4:$VD$40),"",INDEX($FD$4:$FD$40,MATCH(ROW()-3,$VD$4:$VD$40,0)))</f>
      </c>
      <c r="VF20" t="str">
        <f>IF(COUNTIF('Final Calculation Sheet'!$AL20:$BO20,0)+COUNTIF('Final Calculation Sheet'!$BQ20:$BS20,0)&gt;0,0,1)</f>
      </c>
      <c r="VG20" t="str">
        <f>IF($FI$20="",FALSE,SUMPRODUCT(('Final Calculation Sheet'!$AE$4:$AE$40=$FI$20)*($VF$4:$VF$40=1))&gt;0)</f>
      </c>
      <c r="VH20" t="str">
        <f>=$VH19+--($VG20)</f>
      </c>
      <c r="VI20" t="str">
        <f>IF(ROW()-3&gt;MAX($VH$4:$VH$40),"",INDEX($FI$4:$FI$40,MATCH(ROW()-3,$VH$4:$VH$40,0)))</f>
      </c>
      <c r="VJ20" t="str">
        <f>IF(COUNTIF('Final Calculation Sheet'!$AL20:$BP20,0)+COUNTIF('Final Calculation Sheet'!$BR20:$BS20,0)&gt;0,0,1)</f>
      </c>
      <c r="VK20" t="str">
        <f>IF($FN$20="",FALSE,SUMPRODUCT(('Final Calculation Sheet'!$AF$4:$AF$40=$FN$20)*($VJ$4:$VJ$40=1))&gt;0)</f>
      </c>
      <c r="VL20" t="str">
        <f>=$VL19+--($VK20)</f>
      </c>
      <c r="VM20" t="str">
        <f>IF(ROW()-3&gt;MAX($VL$4:$VL$40),"",INDEX($FN$4:$FN$40,MATCH(ROW()-3,$VL$4:$VL$40,0)))</f>
      </c>
      <c r="VN20" t="str">
        <f>IF(COUNTIF('Final Calculation Sheet'!$AL20:$BQ20,0)+COUNTIF('Final Calculation Sheet'!$BS20:$BS20,0)&gt;0,0,1)</f>
      </c>
      <c r="VO20" t="str">
        <f>IF($FS$20="",FALSE,SUMPRODUCT(('Final Calculation Sheet'!$AG$4:$AG$40=$FS$20)*($VN$4:$VN$40=1))&gt;0)</f>
      </c>
      <c r="VP20" t="str">
        <f>=$VP19+--($VO20)</f>
      </c>
      <c r="VQ20" t="str">
        <f>IF(ROW()-3&gt;MAX($VP$4:$VP$40),"",INDEX($FS$4:$FS$40,MATCH(ROW()-3,$VP$4:$VP$40,0)))</f>
      </c>
      <c r="VR20" t="str">
        <f>IF(COUNTIF('Final Calculation Sheet'!$AL20:$BR20,0)&gt;0,0,1)</f>
      </c>
      <c r="VS20" t="str">
        <f>IF($QO$20="",FALSE,SUMPRODUCT(('Final Calculation Sheet'!$AH$4:$AH$40=$QO$20)*($VR$4:$VR$40=1))&gt;0)</f>
      </c>
      <c r="VT20" t="str">
        <f>=$VT19+--($VS20)</f>
      </c>
      <c r="VU20" t="str">
        <f>IF(ROW()-3&gt;MAX($VT$4:$VT$40),"",INDEX($QO$4:$QO$40,MATCH(ROW()-3,$VT$4:$VT$40,0)))</f>
      </c>
    </row>
    <row r="21">
      <c r="A21">
        <f>IF(IFERROR('Final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IF(IFERROR('Final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s="55">
        <f>IF('Final Calculation Sheet'!$C$21="","",'Final Calculation Sheet'!$C$21)</f>
        <v/>
      </c>
      <c r="AP21">
        <f>IF(AO21="","",COUNTIFS(AO$4:AO$40,"&lt;"&amp;AO21,AO$4:AO$40,"&lt;&gt;"&amp;"")+COUNTIF(AO$4:AO21,AO21))</f>
        <v/>
      </c>
      <c r="AQ21" s="55">
        <f>IF(ROW()-3&gt;COUNTIF(AO$4:AO$40,"&lt;&gt;"&amp;""),"",INDEX(AO$4:AO$40,MATCH(ROW()-3,AP$4:AP$40,0)))</f>
        <v/>
      </c>
      <c r="AR21">
        <f>AR20+IF(AND(AQ21&lt;&gt;"",COUNTIF(AQ$4:AQ21,AQ21)=1),1,0)</f>
        <v/>
      </c>
      <c r="AS21" s="55">
        <f>IF(ROW()-3&gt;MAX(AR$4:AR$40),"",INDEX(AQ$4:AQ$40,MATCH(ROW()-3,AR$4:AR$40,0)))</f>
        <v/>
      </c>
      <c r="AT21" s="55">
        <f>IF('Final Calculation Sheet'!$H$21="","",'Final Calculation Sheet'!$H$21)</f>
        <v/>
      </c>
      <c r="AU21">
        <f>IF(AT21="","",COUNTIFS(AT$4:AT$40,"&lt;"&amp;AT21,AT$4:AT$40,"&lt;&gt;"&amp;"")+COUNTIF(AT$4:AT21,AT21))</f>
        <v/>
      </c>
      <c r="AV21" s="55">
        <f>IF(ROW()-3&gt;COUNTIF(AT$4:AT$40,"&lt;&gt;"&amp;""),"",INDEX(AT$4:AT$40,MATCH(ROW()-3,AU$4:AU$40,0)))</f>
        <v/>
      </c>
      <c r="AW21">
        <f>AW20+IF(AND(AV21&lt;&gt;"",COUNTIF(AV$4:AV21,AV21)=1),1,0)</f>
        <v/>
      </c>
      <c r="AX21" s="55">
        <f>IF(ROW()-3&gt;MAX(AW$4:AW$40),"",INDEX(AV$4:AV$40,MATCH(ROW()-3,AW$4:AW$40,0)))</f>
        <v/>
      </c>
      <c r="AY21" s="55">
        <f>IF('Final Calculation Sheet'!$I$21="","",'Final Calculation Sheet'!$I$21)</f>
        <v/>
      </c>
      <c r="AZ21">
        <f>IF(AY21="","",COUNTIFS(AY$4:AY$40,"&lt;"&amp;AY21,AY$4:AY$40,"&lt;&gt;"&amp;"")+COUNTIF(AY$4:AY21,AY21))</f>
        <v/>
      </c>
      <c r="BA21" s="55">
        <f>IF(ROW()-3&gt;COUNTIF(AY$4:AY$40,"&lt;&gt;"&amp;""),"",INDEX(AY$4:AY$40,MATCH(ROW()-3,AZ$4:AZ$40,0)))</f>
        <v/>
      </c>
      <c r="BB21">
        <f>BB20+IF(AND(BA21&lt;&gt;"",COUNTIF(BA$4:BA21,BA21)=1),1,0)</f>
        <v/>
      </c>
      <c r="BC21" s="55">
        <f>IF(ROW()-3&gt;MAX(BB$4:BB$40),"",INDEX(BA$4:BA$40,MATCH(ROW()-3,BB$4:BB$40,0)))</f>
        <v/>
      </c>
      <c r="BD21" s="55">
        <f>IF('Final Calculation Sheet'!$J$21="","",'Final Calculation Sheet'!$J$21)</f>
        <v/>
      </c>
      <c r="BE21">
        <f>IF(BD21="","",COUNTIFS(BD$4:BD$40,"&lt;"&amp;BD21,BD$4:BD$40,"&lt;&gt;"&amp;"")+COUNTIF(BD$4:BD21,BD21))</f>
        <v/>
      </c>
      <c r="BF21" s="55">
        <f>IF(ROW()-3&gt;COUNTIF(BD$4:BD$40,"&lt;&gt;"&amp;""),"",INDEX(BD$4:BD$40,MATCH(ROW()-3,BE$4:BE$40,0)))</f>
        <v/>
      </c>
      <c r="BG21">
        <f>BG20+IF(AND(BF21&lt;&gt;"",COUNTIF(BF$4:BF21,BF21)=1),1,0)</f>
        <v/>
      </c>
      <c r="BH21" s="55">
        <f>IF(ROW()-3&gt;MAX(BG$4:BG$40),"",INDEX(BF$4:BF$40,MATCH(ROW()-3,BG$4:BG$40,0)))</f>
        <v/>
      </c>
      <c r="BI21" s="55">
        <f>IF('Final Calculation Sheet'!$K$21="","",'Final Calculation Sheet'!$K$21)</f>
        <v/>
      </c>
      <c r="BJ21">
        <f>IF(BI21="","",COUNTIFS(BI$4:BI$40,"&lt;"&amp;BI21,BI$4:BI$40,"&lt;&gt;"&amp;"")+COUNTIF(BI$4:BI21,BI21))</f>
        <v/>
      </c>
      <c r="BK21" s="55">
        <f>IF(ROW()-3&gt;COUNTIF(BI$4:BI$40,"&lt;&gt;"&amp;""),"",INDEX(BI$4:BI$40,MATCH(ROW()-3,BJ$4:BJ$40,0)))</f>
        <v/>
      </c>
      <c r="BL21">
        <f>BL20+IF(AND(BK21&lt;&gt;"",COUNTIF(BK$4:BK21,BK21)=1),1,0)</f>
        <v/>
      </c>
      <c r="BM21" s="55">
        <f>IF(ROW()-3&gt;MAX(BL$4:BL$40),"",INDEX(BK$4:BK$40,MATCH(ROW()-3,BL$4:BL$40,0)))</f>
        <v/>
      </c>
      <c r="BN21" s="55">
        <f>IF('Final Calculation Sheet'!$L$21="","",'Final Calculation Sheet'!$L$21)</f>
        <v/>
      </c>
      <c r="BO21">
        <f>IF(BN21="","",COUNTIFS(BN$4:BN$40,"&lt;"&amp;BN21,BN$4:BN$40,"&lt;&gt;"&amp;"")+COUNTIF(BN$4:BN21,BN21))</f>
        <v/>
      </c>
      <c r="BP21" s="55">
        <f>IF(ROW()-3&gt;COUNTIF(BN$4:BN$40,"&lt;&gt;"&amp;""),"",INDEX(BN$4:BN$40,MATCH(ROW()-3,BO$4:BO$40,0)))</f>
        <v/>
      </c>
      <c r="BQ21">
        <f>BQ20+IF(AND(BP21&lt;&gt;"",COUNTIF(BP$4:BP21,BP21)=1),1,0)</f>
        <v/>
      </c>
      <c r="BR21" s="55">
        <f>IF(ROW()-3&gt;MAX(BQ$4:BQ$40),"",INDEX(BP$4:BP$40,MATCH(ROW()-3,BQ$4:BQ$40,0)))</f>
        <v/>
      </c>
      <c r="BS21" s="55">
        <f>IF('Final Calculation Sheet'!$M$21="","",'Final Calculation Sheet'!$M$21)</f>
        <v/>
      </c>
      <c r="BT21">
        <f>IF(BS21="","",COUNTIFS(BS$4:BS$40,"&lt;"&amp;BS21,BS$4:BS$40,"&lt;&gt;"&amp;"")+COUNTIF(BS$4:BS21,BS21))</f>
        <v/>
      </c>
      <c r="BU21" s="55">
        <f>IF(ROW()-3&gt;COUNTIF(BS$4:BS$40,"&lt;&gt;"&amp;""),"",INDEX(BS$4:BS$40,MATCH(ROW()-3,BT$4:BT$40,0)))</f>
        <v/>
      </c>
      <c r="BV21">
        <f>BV20+IF(AND(BU21&lt;&gt;"",COUNTIF(BU$4:BU21,BU21)=1),1,0)</f>
        <v/>
      </c>
      <c r="BW21" s="55">
        <f>IF(ROW()-3&gt;MAX(BV$4:BV$40),"",INDEX(BU$4:BU$40,MATCH(ROW()-3,BV$4:BV$40,0)))</f>
        <v/>
      </c>
      <c r="BX21" s="138">
        <f>IF('Final Calculation Sheet'!$N$21="","",'Final Calculation Sheet'!$N$21)</f>
        <v/>
      </c>
      <c r="BY21">
        <f>IF(BX21="","",COUNTIFS(BX$4:BX$40,"&lt;"&amp;BX21,BX$4:BX$40,"&lt;&gt;"&amp;"")+COUNTIF(BX$4:BX21,BX21))</f>
        <v/>
      </c>
      <c r="BZ21" s="138">
        <f>IF(ROW()-3&gt;COUNTIF(BX$4:BX$40,"&lt;&gt;"&amp;""),"",INDEX(BX$4:BX$40,MATCH(ROW()-3,BY$4:BY$40,0)))</f>
        <v/>
      </c>
      <c r="CA21">
        <f>CA20+IF(AND(BZ21&lt;&gt;"",COUNTIF(BZ$4:BZ21,BZ21)=1),1,0)</f>
        <v/>
      </c>
      <c r="CB21" s="138">
        <f>IF(ROW()-3&gt;MAX(CA$4:CA$40),"",INDEX(BZ$4:BZ$40,MATCH(ROW()-3,CA$4:CA$40,0)))</f>
        <v/>
      </c>
      <c r="CC21" s="55">
        <f>IF('Final Calculation Sheet'!$O$21="","",'Final Calculation Sheet'!$O$21)</f>
        <v/>
      </c>
      <c r="CD21">
        <f>IF(CC21="","",COUNTIFS(CC$4:CC$40,"&lt;"&amp;CC21,CC$4:CC$40,"&lt;&gt;"&amp;"")+COUNTIF(CC$4:CC21,CC21))</f>
        <v/>
      </c>
      <c r="CE21" s="55">
        <f>IF(ROW()-3&gt;COUNTIF(CC$4:CC$40,"&lt;&gt;"&amp;""),"",INDEX(CC$4:CC$40,MATCH(ROW()-3,CD$4:CD$40,0)))</f>
        <v/>
      </c>
      <c r="CF21">
        <f>CF20+IF(AND(CE21&lt;&gt;"",COUNTIF(CE$4:CE21,CE21)=1),1,0)</f>
        <v/>
      </c>
      <c r="CG21" s="55">
        <f>IF(ROW()-3&gt;MAX(CF$4:CF$40),"",INDEX(CE$4:CE$40,MATCH(ROW()-3,CF$4:CF$40,0)))</f>
        <v/>
      </c>
      <c r="CH21" s="55">
        <f>IF('Final Calculation Sheet'!$P$21="","",'Final Calculation Sheet'!$P$21)</f>
        <v/>
      </c>
      <c r="CI21">
        <f>IF(CH21="","",COUNTIFS(CH$4:CH$40,"&lt;"&amp;CH21,CH$4:CH$40,"&lt;&gt;"&amp;"")+COUNTIF(CH$4:CH21,CH21))</f>
        <v/>
      </c>
      <c r="CJ21" s="55">
        <f>IF(ROW()-3&gt;COUNTIF(CH$4:CH$40,"&lt;&gt;"&amp;""),"",INDEX(CH$4:CH$40,MATCH(ROW()-3,CI$4:CI$40,0)))</f>
        <v/>
      </c>
      <c r="CK21">
        <f>CK20+IF(AND(CJ21&lt;&gt;"",COUNTIF(CJ$4:CJ21,CJ21)=1),1,0)</f>
        <v/>
      </c>
      <c r="CL21" s="55">
        <f>IF(ROW()-3&gt;MAX(CK$4:CK$40),"",INDEX(CJ$4:CJ$40,MATCH(ROW()-3,CK$4:CK$40,0)))</f>
        <v/>
      </c>
      <c r="CM21" s="139">
        <f>IF('Final Calculation Sheet'!$Q$21="","",'Final Calculation Sheet'!$Q$21)</f>
        <v/>
      </c>
      <c r="CN21">
        <f>IF(CM21="","",COUNTIFS(CM$4:CM$40,"&lt;"&amp;CM21,CM$4:CM$40,"&lt;&gt;"&amp;"")+COUNTIF(CM$4:CM21,CM21))</f>
        <v/>
      </c>
      <c r="CO21" s="139">
        <f>IF(ROW()-3&gt;COUNTIF(CM$4:CM$40,"&lt;&gt;"&amp;""),"",INDEX(CM$4:CM$40,MATCH(ROW()-3,CN$4:CN$40,0)))</f>
        <v/>
      </c>
      <c r="CP21">
        <f>CP20+IF(AND(CO21&lt;&gt;"",COUNTIF(CO$4:CO21,CO21)=1),1,0)</f>
        <v/>
      </c>
      <c r="CQ21">
        <f>IF(ROW()-3&gt;MAX(CP$4:CP$40),"",INDEX(CO$4:CO$40,MATCH(ROW()-3,CP$4:CP$40,0)))</f>
        <v/>
      </c>
      <c r="CR21" s="55">
        <f>IF('Final Calculation Sheet'!$R$21="","",'Final Calculation Sheet'!$R$21)</f>
        <v/>
      </c>
      <c r="CS21">
        <f>IF(CR21="","",COUNTIFS(CR$4:CR$40,"&lt;"&amp;CR21,CR$4:CR$40,"&lt;&gt;"&amp;"")+COUNTIF(CR$4:CR21,CR21))</f>
        <v/>
      </c>
      <c r="CT21" s="55">
        <f>IF(ROW()-3&gt;COUNTIF(CR$4:CR$40,"&lt;&gt;"&amp;""),"",INDEX(CR$4:CR$40,MATCH(ROW()-3,CS$4:CS$40,0)))</f>
        <v/>
      </c>
      <c r="CU21">
        <f>CU20+IF(AND(CT21&lt;&gt;"",COUNTIF(CT$4:CT21,CT21)=1),1,0)</f>
        <v/>
      </c>
      <c r="CV21">
        <f>IF(ROW()-3&gt;MAX(CU$4:CU$40),"",INDEX(CT$4:CT$40,MATCH(ROW()-3,CU$4:CU$40,0)))</f>
        <v/>
      </c>
      <c r="CW21" s="55">
        <f>IF('Final Calculation Sheet'!$S$21="","",'Final Calculation Sheet'!$S$21)</f>
        <v/>
      </c>
      <c r="CX21">
        <f>IF(CW21="","",COUNTIFS(CW$4:CW$40,"&lt;"&amp;CW21,CW$4:CW$40,"&lt;&gt;"&amp;"")+COUNTIF(CW$4:CW21,CW21))</f>
        <v/>
      </c>
      <c r="CY21" s="55">
        <f>IF(ROW()-3&gt;COUNTIF(CW$4:CW$40,"&lt;&gt;"&amp;""),"",INDEX(CW$4:CW$40,MATCH(ROW()-3,CX$4:CX$40,0)))</f>
        <v/>
      </c>
      <c r="CZ21">
        <f>CZ20+IF(AND(CY21&lt;&gt;"",COUNTIF(CY$4:CY21,CY21)=1),1,0)</f>
        <v/>
      </c>
      <c r="DA21" s="55">
        <f>IF(ROW()-3&gt;MAX(CZ$4:CZ$40),"",INDEX(CY$4:CY$40,MATCH(ROW()-3,CZ$4:CZ$40,0)))</f>
        <v/>
      </c>
      <c r="DB21" s="55">
        <f>IF('Final Calculation Sheet'!$T$21="","",'Final Calculation Sheet'!$T$21)</f>
        <v/>
      </c>
      <c r="DC21">
        <f>IF(DB21="","",COUNTIFS(DB$4:DB$40,"&lt;"&amp;DB21,DB$4:DB$40,"&lt;&gt;"&amp;"")+COUNTIF(DB$4:DB21,DB21))</f>
        <v/>
      </c>
      <c r="DD21" s="55">
        <f>IF(ROW()-3&gt;COUNTIF(DB$4:DB$40,"&lt;&gt;"&amp;""),"",INDEX(DB$4:DB$40,MATCH(ROW()-3,DC$4:DC$40,0)))</f>
        <v/>
      </c>
      <c r="DE21">
        <f>DE20+IF(AND(DD21&lt;&gt;"",COUNTIF(DD$4:DD21,DD21)=1),1,0)</f>
        <v/>
      </c>
      <c r="DF21" s="55">
        <f>IF(ROW()-3&gt;MAX(DE$4:DE$40),"",INDEX(DD$4:DD$40,MATCH(ROW()-3,DE$4:DE$40,0)))</f>
        <v/>
      </c>
      <c r="DG21" s="140">
        <f>IF('Final Calculation Sheet'!$U$21="","",'Final Calculation Sheet'!$U$21)</f>
        <v/>
      </c>
      <c r="DH21">
        <f>IF(DG21="","",COUNTIFS(DG$4:DG$40,"&lt;"&amp;DG21,DG$4:DG$40,"&lt;&gt;"&amp;"")+COUNTIF(DG$4:DG21,DG21))</f>
        <v/>
      </c>
      <c r="DI21" s="140">
        <f>IF(ROW()-3&gt;COUNTIF(DG$4:DG$40,"&lt;&gt;"&amp;""),"",INDEX(DG$4:DG$40,MATCH(ROW()-3,DH$4:DH$40,0)))</f>
        <v/>
      </c>
      <c r="DJ21">
        <f>DJ20+IF(AND(DI21&lt;&gt;"",COUNTIF(DI$4:DI21,DI21)=1),1,0)</f>
        <v/>
      </c>
      <c r="DK21" s="140">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s="55">
        <f>IF('Final Calculation Sheet'!$W$21="","",'Final Calculation Sheet'!$W$21)</f>
        <v/>
      </c>
      <c r="DR21">
        <f>IF(DQ21="","",COUNTIFS(DQ$4:DQ$40,"&lt;"&amp;DQ21,DQ$4:DQ$40,"&lt;&gt;"&amp;"")+COUNTIF(DQ$4:DQ21,DQ21))</f>
        <v/>
      </c>
      <c r="DS21" s="55">
        <f>IF(ROW()-3&gt;COUNTIF(DQ$4:DQ$40,"&lt;&gt;"&amp;""),"",INDEX(DQ$4:DQ$40,MATCH(ROW()-3,DR$4:DR$40,0)))</f>
        <v/>
      </c>
      <c r="DT21">
        <f>DT20+IF(AND(DS21&lt;&gt;"",COUNTIF(DS$4:DS21,DS21)=1),1,0)</f>
        <v/>
      </c>
      <c r="DU21" s="55">
        <f>IF(ROW()-3&gt;MAX(DT$4:DT$40),"",INDEX(DS$4:DS$40,MATCH(ROW()-3,DT$4:DT$40,0)))</f>
        <v/>
      </c>
      <c r="DV21" s="55">
        <f>IF('Final Calculation Sheet'!$X$21="","",'Final Calculation Sheet'!$X$21)</f>
        <v/>
      </c>
      <c r="DW21">
        <f>IF(DV21="","",COUNTIFS(DV$4:DV$40,"&lt;"&amp;DV21,DV$4:DV$40,"&lt;&gt;"&amp;"")+COUNTIF(DV$4:DV21,DV21))</f>
        <v/>
      </c>
      <c r="DX21" s="55">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s="55">
        <f>IF('Final Calculation Sheet'!$Z$21="","",'Final Calculation Sheet'!$Z$21)</f>
        <v/>
      </c>
      <c r="EG21">
        <f>IF(EF21="","",COUNTIFS(EF$4:EF$40,"&lt;"&amp;EF21,EF$4:EF$40,"&lt;&gt;"&amp;"")+COUNTIF(EF$4:EF21,EF21))</f>
        <v/>
      </c>
      <c r="EH21" s="55">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s="55">
        <f>IF('Final Calculation Sheet'!$AC$21="","",'Final Calculation Sheet'!$AC$21)</f>
        <v/>
      </c>
      <c r="EV21">
        <f>IF(EU21="","",COUNTIFS(EU$4:EU$40,"&lt;"&amp;EU21,EU$4:EU$40,"&lt;&gt;"&amp;"")+COUNTIF(EU$4:EU21,EU21))</f>
        <v/>
      </c>
      <c r="EW21" s="55">
        <f>IF(ROW()-3&gt;COUNTIF(EU$4:EU$40,"&lt;&gt;"&amp;""),"",INDEX(EU$4:EU$40,MATCH(ROW()-3,EV$4:EV$40,0)))</f>
        <v/>
      </c>
      <c r="EX21">
        <f>EX20+IF(AND(EW21&lt;&gt;"",COUNTIF(EW$4:EW21,EW21)=1),1,0)</f>
        <v/>
      </c>
      <c r="EY21" s="55">
        <f>IF(ROW()-3&gt;MAX(EX$4:EX$40),"",INDEX(EW$4:EW$40,MATCH(ROW()-3,EX$4:EX$40,0)))</f>
        <v/>
      </c>
      <c r="EZ21" s="55">
        <f>IF('Final Calculation Sheet'!$AD$21="","",'Final Calculation Sheet'!$AD$21)</f>
        <v/>
      </c>
      <c r="FA21">
        <f>IF(EZ21="","",COUNTIFS(EZ$4:EZ$40,"&lt;"&amp;EZ21,EZ$4:EZ$40,"&lt;&gt;"&amp;"")+COUNTIF(EZ$4:EZ21,EZ21))</f>
        <v/>
      </c>
      <c r="FB21" s="55">
        <f>IF(ROW()-3&gt;COUNTIF(EZ$4:EZ$40,"&lt;&gt;"&amp;""),"",INDEX(EZ$4:EZ$40,MATCH(ROW()-3,FA$4:FA$40,0)))</f>
        <v/>
      </c>
      <c r="FC21">
        <f>FC20+IF(AND(FB21&lt;&gt;"",COUNTIF(FB$4:FB21,FB21)=1),1,0)</f>
        <v/>
      </c>
      <c r="FD21">
        <f>IF(ROW()-3&gt;MAX(FC$4:FC$40),"",INDEX(FB$4:FB$40,MATCH(ROW()-3,FC$4:FC$40,0)))</f>
        <v/>
      </c>
      <c r="FE21">
        <f>IF('Final Calculation Sheet'!$AF$21="","",'Final Calculation Sheet'!$AF$21)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s="141">
        <f>IF('Final Calculation Sheet'!$AG$21="","",'Final Calculation Sheet'!$AG$21)</f>
        <v/>
      </c>
      <c r="FK21">
        <f>IF(FJ21="","",COUNTIFS(FJ$4:FJ$40,"&lt;"&amp;FJ21,FJ$4:FJ$40,"&lt;&gt;"&amp;"")+COUNTIF(FJ$4:FJ21,FJ21))</f>
        <v/>
      </c>
      <c r="FL21" s="141">
        <f>IF(ROW()-3&gt;COUNTIF(FJ$4:FJ$40,"&lt;&gt;"&amp;""),"",INDEX(FJ$4:FJ$40,MATCH(ROW()-3,FK$4:FK$40,0)))</f>
        <v/>
      </c>
      <c r="FM21">
        <f>FM20+IF(AND(FL21&lt;&gt;"",COUNTIF(FL$4:FL21,FL21)=1),1,0)</f>
        <v/>
      </c>
      <c r="FN21">
        <f>IF(ROW()-3&gt;MAX(FM$4:FM$40),"",INDEX(FL$4:FL$40,MATCH(ROW()-3,FM$4:FM$40,0)))</f>
        <v/>
      </c>
      <c r="FO21">
        <f>IF('Final Calculation Sheet'!$AH$21="","",'Final Calculation Sheet'!$AH$21)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c r="FY21">
        <f>IF(COUNTIF('Live Search'!BM$20:BO$20,0)+COUNTIF('Live Search'!BQ$20:CU$20,0)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1">
        <f>IF($Y$21="",FALSE,SUMPRODUCT(('Final Calculation Sheet'!$B$4:$B$40=$Y$21)*($FY$6:$FY$42=1))&gt;0)</f>
        <v/>
      </c>
      <c r="GA21">
        <f>$GA$20+--($FZ$21)</f>
        <v/>
      </c>
      <c r="GB21">
        <f>IF(ROW()-3&gt;MAX($GA$4:$GA$40),"",INDEX($Y$4:$Y$40,MATCH(ROW()-3,$GA$4:$GA$40,0)))</f>
        <v/>
      </c>
      <c r="GC21">
        <f>IF(COUNTIF('Live Search'!BM$20:BM$20,0)+COUNTIF('Live Search'!BO$20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D21">
        <f>IF($O$21="",FALSE,SUMPRODUCT(('Final Calculation Sheet'!$F$4:$F$40=$O$21)*($GC$6:$GC$42=1))&gt;0)</f>
        <v/>
      </c>
      <c r="GE21">
        <f>$GE$20+--($GD21)</f>
        <v/>
      </c>
      <c r="GF21">
        <f>IF(ROW()-3&gt;MAX($GE$4:$GE$40),"",INDEX($O$4:$O$40,MATCH(ROW()-3,$GE$4:$GE$40,0)))</f>
        <v/>
      </c>
      <c r="GG21">
        <f>IF(COUNTIF('Live Search'!BM$20:BN$20,0)+COUNTIF('Live Search'!BP$20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H21">
        <f>IF($T$21="",FALSE,SUMPRODUCT(('Final Calculation Sheet'!$G$4:$G$40=$T$21)*($GG$6:$GG$42=1))&gt;0)</f>
        <v/>
      </c>
      <c r="GI21">
        <f>$GI$20+--($GH21)</f>
        <v/>
      </c>
      <c r="GJ21">
        <f>IF(ROW()-3&gt;MAX($GI$4:$GI$40),"",INDEX($T$4:$T$40,MATCH(ROW()-3,$GI$4:$GI$40,0)))</f>
        <v/>
      </c>
      <c r="GK21">
        <f>IF(COUNTIF('Live Search'!BM$20:BP$20,0)+COUNTIF('Live Search'!BR$20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L21">
        <f>IF($AD$21="",FALSE,SUMPRODUCT(('Final Calculation Sheet'!$D$4:$D$40=$AD$21)*($GK$6:$GK$42=1))&gt;0)</f>
        <v/>
      </c>
      <c r="GM21">
        <f>$GM$20+--($GL21)</f>
        <v/>
      </c>
      <c r="GN21">
        <f>IF(ROW()-3&gt;MAX($GM$4:$GM$40),"",INDEX($AD$4:$AD$40,MATCH(ROW()-3,$GM$4:$GM$40,0)))</f>
        <v/>
      </c>
      <c r="GO21">
        <f>IF(COUNTIF('Live Search'!BM$20:BQ$20,0)+COUNTIF('Live Search'!BS$20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P21">
        <f>IF($AI$21="",FALSE,SUMPRODUCT(('Final Calculation Sheet'!$A$4:$A$40=$AI$21)*($GO$6:$GO$42=1))&gt;0)</f>
        <v/>
      </c>
      <c r="GQ21">
        <f>$GQ$20+--($GP21)</f>
        <v/>
      </c>
      <c r="GR21">
        <f>IF(ROW()-3&gt;MAX($GQ$4:$GQ$40),"",INDEX($AI$4:$AI$40,MATCH(ROW()-3,$GQ$4:$GQ$40,0)))</f>
        <v/>
      </c>
      <c r="GS21">
        <f>IF(COUNTIF('Live Search'!BM$20:BR$20,0)+COUNTIF('Live Search'!BT$20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T21">
        <f>IF($AN$21="",FALSE,SUMPRODUCT(('Final Calculation Sheet'!$E$4:$E$40=$AN$21)*($GS$6:$GS$42=1))&gt;0)</f>
        <v/>
      </c>
      <c r="GU21">
        <f>$GU$20+--($GT21)</f>
        <v/>
      </c>
      <c r="GV21">
        <f>IF(ROW()-3&gt;MAX($GU$4:$GU$40),"",INDEX($AN$4:$AN$40,MATCH(ROW()-3,$GU$4:$GU$40,0)))</f>
        <v/>
      </c>
      <c r="GW21">
        <f>IF(COUNTIF('Live Search'!BM$20:BS$20,0)+COUNTIF('Live Search'!BU$20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GX21">
        <f>IF($AS$21="",FALSE,SUMPRODUCT(('Final Calculation Sheet'!$C$4:$C$40=$AS$21)*($GW$6:$GW$42=1))&gt;0)</f>
        <v/>
      </c>
      <c r="GY21">
        <f>$GY$20+--($GX21)</f>
        <v/>
      </c>
      <c r="GZ21">
        <f>IF(ROW()-3&gt;MAX($GY$4:$GY$40),"",INDEX($AS$4:$AS$40,MATCH(ROW()-3,$GY$4:$GY$40,0)))</f>
        <v/>
      </c>
      <c r="HA21">
        <f>IF(COUNTIF('Live Search'!BM$20:BT$20,0)+COUNTIF('Live Search'!BV$20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B21">
        <f>IF($AX$21="",FALSE,SUMPRODUCT(('Final Calculation Sheet'!$H$4:$H$40=$AX$21)*($HA$6:$HA$42=1))&gt;0)</f>
        <v/>
      </c>
      <c r="HC21">
        <f>$HC$20+--($HB21)</f>
        <v/>
      </c>
      <c r="HD21">
        <f>IF(ROW()-3&gt;MAX($HC$4:$HC$40),"",INDEX($AX$4:$AX$40,MATCH(ROW()-3,$HC$4:$HC$40,0)))</f>
        <v/>
      </c>
      <c r="HE21">
        <f>IF(COUNTIF('Live Search'!BM$20:BU$20,0)+COUNTIF('Live Search'!BW$20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F21">
        <f>IF($BC$21="",FALSE,SUMPRODUCT(('Final Calculation Sheet'!$I$4:$I$40=$BC$21)*($HE$6:$HE$42=1))&gt;0)</f>
        <v/>
      </c>
      <c r="HG21">
        <f>$HG$20+--($HF21)</f>
        <v/>
      </c>
      <c r="HH21">
        <f>IF(ROW()-3&gt;MAX($HG$4:$HG$40),"",INDEX($BC$4:$BC$40,MATCH(ROW()-3,$HG$4:$HG$40,0)))</f>
        <v/>
      </c>
      <c r="HI21">
        <f>IF(COUNTIF('Live Search'!BM$20:BV$20,0)+COUNTIF('Live Search'!BX$20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J21">
        <f>IF($BH$21="",FALSE,SUMPRODUCT(('Final Calculation Sheet'!$J$4:$J$40=$BH$21)*($HI$6:$HI$42=1))&gt;0)</f>
        <v/>
      </c>
      <c r="HK21">
        <f>$HK$20+--($HJ21)</f>
        <v/>
      </c>
      <c r="HL21">
        <f>IF(ROW()-3&gt;MAX($HK$4:$HK$40),"",INDEX($BH$4:$BH$40,MATCH(ROW()-3,$HK$4:$HK$40,0)))</f>
        <v/>
      </c>
      <c r="HM21">
        <f>IF(COUNTIF('Live Search'!BM$20:BW$20,0)+COUNTIF('Live Search'!BY$20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N21">
        <f>IF($BM$21="",FALSE,SUMPRODUCT(('Final Calculation Sheet'!$K$4:$K$40=$BM$21)*($HM$6:$HM$42=1))&gt;0)</f>
        <v/>
      </c>
      <c r="HO21">
        <f>$HO$20+--($HN21)</f>
        <v/>
      </c>
      <c r="HP21">
        <f>IF(ROW()-3&gt;MAX($HO$4:$HO$40),"",INDEX($BM$4:$BM$40,MATCH(ROW()-3,$HO$4:$HO$40,0)))</f>
        <v/>
      </c>
      <c r="HQ21">
        <f>IF(COUNTIF('Live Search'!BM$20:BX$20,0)+COUNTIF('Live Search'!BZ$20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R21">
        <f>IF($BR$21="",FALSE,SUMPRODUCT(('Final Calculation Sheet'!$L$4:$L$40=$BR$21)*($HQ$6:$HQ$42=1))&gt;0)</f>
        <v/>
      </c>
      <c r="HS21">
        <f>$HS$20+--($HR21)</f>
        <v/>
      </c>
      <c r="HT21">
        <f>IF(ROW()-3&gt;MAX($HS$4:$HS$40),"",INDEX($BR$4:$BR$40,MATCH(ROW()-3,$HS$4:$HS$40,0)))</f>
        <v/>
      </c>
      <c r="HU21">
        <f>IF(COUNTIF('Live Search'!BM$20:BY$20,0)+COUNTIF('Live Search'!CA$20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V21">
        <f>IF($BW$21="",FALSE,SUMPRODUCT(('Final Calculation Sheet'!$M$4:$M$40=$BW$21)*($HU$6:$HU$42=1))&gt;0)</f>
        <v/>
      </c>
      <c r="HW21">
        <f>$HW$20+--($HV21)</f>
        <v/>
      </c>
      <c r="HX21">
        <f>IF(ROW()-3&gt;MAX($HW$4:$HW$40),"",INDEX($BW$4:$BW$40,MATCH(ROW()-3,$HW$4:$HW$40,0)))</f>
        <v/>
      </c>
      <c r="HY21">
        <f>IF(COUNTIF('Live Search'!BM$20:BZ$20,0)+COUNTIF('Live Search'!CB$20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HZ21">
        <f>IF($CB$21="",FALSE,SUMPRODUCT(('Final Calculation Sheet'!$N$4:$N$40=$CB$21)*($HY$6:$HY$42=1))&gt;0)</f>
        <v/>
      </c>
      <c r="IA21">
        <f>$IA$20+--($HZ21)</f>
        <v/>
      </c>
      <c r="IB21">
        <f>IF(ROW()-3&gt;MAX($IA$4:$IA$40),"",INDEX($CB$4:$CB$40,MATCH(ROW()-3,$IA$4:$IA$40,0)))</f>
        <v/>
      </c>
      <c r="IC21">
        <f>IF(COUNTIF('Live Search'!BM$20:CA$20,0)+COUNTIF('Live Search'!CC$20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D21">
        <f>IF($CG$21="",FALSE,SUMPRODUCT(('Final Calculation Sheet'!$O$4:$O$40=$CG$21)*($IC$6:$IC$42=1))&gt;0)</f>
        <v/>
      </c>
      <c r="IE21">
        <f>$IE$20+--($ID21)</f>
        <v/>
      </c>
      <c r="IF21">
        <f>IF(ROW()-3&gt;MAX($IE$4:$IE$40),"",INDEX($CG$4:$CG$40,MATCH(ROW()-3,$IE$4:$IE$40,0)))</f>
        <v/>
      </c>
      <c r="IG21">
        <f>IF(COUNTIF('Live Search'!BM$20:CB$20,0)+COUNTIF('Live Search'!CD$20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H21">
        <f>IF($CL$21="",FALSE,SUMPRODUCT(('Final Calculation Sheet'!$P$4:$P$40=$CL$21)*($IG$6:$IG$42=1))&gt;0)</f>
        <v/>
      </c>
      <c r="II21">
        <f>$II$20+--($IH21)</f>
        <v/>
      </c>
      <c r="IJ21">
        <f>IF(ROW()-3&gt;MAX($II$4:$II$40),"",INDEX($CL$4:$CL$40,MATCH(ROW()-3,$II$4:$II$40,0)))</f>
        <v/>
      </c>
      <c r="IK21">
        <f>IF(COUNTIF('Live Search'!BM$20:CC$20,0)+COUNTIF('Live Search'!CE$20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L21">
        <f>IF($CQ$21="",FALSE,SUMPRODUCT(('Final Calculation Sheet'!$Q$4:$Q$40=$CQ$21)*($IK$6:$IK$42=1))&gt;0)</f>
        <v/>
      </c>
      <c r="IM21">
        <f>$IM$20+--($IL21)</f>
        <v/>
      </c>
      <c r="IN21">
        <f>IF(ROW()-3&gt;MAX($IM$4:$IM$40),"",INDEX($CQ$4:$CQ$40,MATCH(ROW()-3,$IM$4:$IM$40,0)))</f>
        <v/>
      </c>
      <c r="IO21">
        <f>IF(COUNTIF('Live Search'!BM$20:CD$20,0)+COUNTIF('Live Search'!CF$20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P21">
        <f>IF($CV$21="",FALSE,SUMPRODUCT(('Final Calculation Sheet'!$R$4:$R$40=$CV$21)*($IO$6:$IO$42=1))&gt;0)</f>
        <v/>
      </c>
      <c r="IQ21">
        <f>$IQ$20+--($IP21)</f>
        <v/>
      </c>
      <c r="IR21">
        <f>IF(ROW()-3&gt;MAX($IQ$4:$IQ$40),"",INDEX($CV$4:$CV$40,MATCH(ROW()-3,$IQ$4:$IQ$40,0)))</f>
        <v/>
      </c>
      <c r="IS21">
        <f>IF(COUNTIF('Live Search'!BM$20:CE$20,0)+COUNTIF('Live Search'!CG$20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T21">
        <f>IF($DA$21="",FALSE,SUMPRODUCT(('Final Calculation Sheet'!$S$4:$S$40=$DA$21)*($IS$6:$IS$42=1))&gt;0)</f>
        <v/>
      </c>
      <c r="IU21">
        <f>$IU$20+--($IT21)</f>
        <v/>
      </c>
      <c r="IV21">
        <f>IF(ROW()-3&gt;MAX($IU$4:$IU$40),"",INDEX($DA$4:$DA$40,MATCH(ROW()-3,$IU$4:$IU$40,0)))</f>
        <v/>
      </c>
      <c r="IW21">
        <f>IF(COUNTIF('Live Search'!BM$20:CF$20,0)+COUNTIF('Live Search'!CH$20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IX21">
        <f>IF($DF$21="",FALSE,SUMPRODUCT(('Final Calculation Sheet'!$T$4:$T$40=$DF$21)*($IW$6:$IW$42=1))&gt;0)</f>
        <v/>
      </c>
      <c r="IY21">
        <f>$IY$20+--($IX21)</f>
        <v/>
      </c>
      <c r="IZ21">
        <f>IF(ROW()-3&gt;MAX($IY$4:$IY$40),"",INDEX($DF$4:$DF$40,MATCH(ROW()-3,$IY$4:$IY$40,0)))</f>
        <v/>
      </c>
      <c r="JA21">
        <f>IF(COUNTIF('Live Search'!BM$20:CG$20,0)+COUNTIF('Live Search'!CI$20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B21">
        <f>IF($DK$21="",FALSE,SUMPRODUCT(('Final Calculation Sheet'!$U$4:$U$40=$DK$21)*($JA$6:$JA$42=1))&gt;0)</f>
        <v/>
      </c>
      <c r="JC21">
        <f>$JC$20+--($JB21)</f>
        <v/>
      </c>
      <c r="JD21">
        <f>IF(ROW()-3&gt;MAX($JC$4:$JC$40),"",INDEX($DK$4:$DK$40,MATCH(ROW()-3,$JC$4:$JC$40,0)))</f>
        <v/>
      </c>
      <c r="JE21">
        <f>IF(COUNTIF('Live Search'!BM$20:CH$20,0)+COUNTIF('Live Search'!CJ$20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F21">
        <f>IF($DP$21="",FALSE,SUMPRODUCT(('Final Calculation Sheet'!$V$4:$V$40=$DP$21)*($JE$6:$JE$42=1))&gt;0)</f>
        <v/>
      </c>
      <c r="JG21">
        <f>$JG$20+--($JF21)</f>
        <v/>
      </c>
      <c r="JH21">
        <f>IF(ROW()-3&gt;MAX($JG$4:$JG$40),"",INDEX($DP$4:$DP$40,MATCH(ROW()-3,$JG$4:$JG$40,0)))</f>
        <v/>
      </c>
      <c r="JI21">
        <f>IF(COUNTIF('Live Search'!BM$20:CI$20,0)+COUNTIF('Live Search'!CK$20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J21">
        <f>IF($DU$21="",FALSE,SUMPRODUCT(('Final Calculation Sheet'!$W$4:$W$40=$DU$21)*($JI$6:$JI$42=1))&gt;0)</f>
        <v/>
      </c>
      <c r="JK21">
        <f>$JK$20+--($JJ21)</f>
        <v/>
      </c>
      <c r="JL21">
        <f>IF(ROW()-3&gt;MAX($JK$4:$JK$40),"",INDEX($DU$4:$DU$40,MATCH(ROW()-3,$JK$4:$JK$40,0)))</f>
        <v/>
      </c>
      <c r="JM21">
        <f>IF(COUNTIF('Live Search'!BM$20:CJ$20,0)+COUNTIF('Live Search'!CL$20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N21">
        <f>IF($DZ$21="",FALSE,SUMPRODUCT(('Final Calculation Sheet'!$X$4:$X$40=$DZ$21)*($JM$6:$JM$42=1))&gt;0)</f>
        <v/>
      </c>
      <c r="JO21">
        <f>$JO$20+--($JN21)</f>
        <v/>
      </c>
      <c r="JP21">
        <f>IF(ROW()-3&gt;MAX($JO$4:$JO$40),"",INDEX($DZ$4:$DZ$40,MATCH(ROW()-3,$JO$4:$JO$40,0)))</f>
        <v/>
      </c>
      <c r="JQ21">
        <f>IF(COUNTIF('Live Search'!BM$20:CK$20,0)+COUNTIF('Live Search'!C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R21">
        <f>IF($EE$21="",FALSE,SUMPRODUCT(('Final Calculation Sheet'!$Y$4:$Y$40=$EE$21)*($JQ$6:$JQ$42=1))&gt;0)</f>
        <v/>
      </c>
      <c r="JS21">
        <f>$JS$20+--($JR21)</f>
        <v/>
      </c>
      <c r="JT21">
        <f>IF(ROW()-3&gt;MAX($JS$4:$JS$40),"",INDEX($EE$4:$EE$40,MATCH(ROW()-3,$JS$4:$JS$40,0)))</f>
        <v/>
      </c>
      <c r="JU21">
        <f>IF(COUNTIF('Live Search'!BM$20:CL$20,0)+COUNTIF('Live Search'!CN$20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V21">
        <f>IF($EJ$21="",FALSE,SUMPRODUCT(('Final Calculation Sheet'!$Z$4:$Z$40=$EJ$21)*($JU$6:$JU$42=1))&gt;0)</f>
        <v/>
      </c>
      <c r="JW21">
        <f>$JW$20+--($JV21)</f>
        <v/>
      </c>
      <c r="JX21">
        <f>IF(ROW()-3&gt;MAX($JW$4:$JW$40),"",INDEX($EJ$4:$EJ$40,MATCH(ROW()-3,$JW$4:$JW$40,0)))</f>
        <v/>
      </c>
      <c r="JY21">
        <f>IF(COUNTIF('Live Search'!BM$20:CM$20,0)+COUNTIF('Live Search'!CO$20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JZ21">
        <f>IF($EO$21="",FALSE,SUMPRODUCT(('Final Calculation Sheet'!$AA$4:$AA$40=$EO$21)*($JY$6:$JY$42=1))&gt;0)</f>
        <v/>
      </c>
      <c r="KA21">
        <f>$KA$20+--($JZ21)</f>
        <v/>
      </c>
      <c r="KB21">
        <f>IF(ROW()-3&gt;MAX($KA$4:$KA$40),"",INDEX($EO$4:$EO$40,MATCH(ROW()-3,$KA$4:$KA$40,0)))</f>
        <v/>
      </c>
      <c r="KC21">
        <f>IF(COUNTIF('Live Search'!BM$20:CN$20,0)+COUNTIF('Live Search'!CP$20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D21">
        <f>IF($ET$21="",FALSE,SUMPRODUCT(('Final Calculation Sheet'!$AB$4:$AB$40=$ET$21)*($KC$6:$KC$42=1))&gt;0)</f>
        <v/>
      </c>
      <c r="KE21">
        <f>$KE$20+--($KD21)</f>
        <v/>
      </c>
      <c r="KF21">
        <f>IF(ROW()-3&gt;MAX($KE$4:$KE$40),"",INDEX($ET$4:$ET$40,MATCH(ROW()-3,$KE$4:$KE$40,0)))</f>
        <v/>
      </c>
      <c r="KG21">
        <f>IF(COUNTIF('Live Search'!BM$20:CO$20,0)+COUNTIF('Live Search'!CQ$20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H21">
        <f>IF($EY$21="",FALSE,SUMPRODUCT(('Final Calculation Sheet'!$AC$4:$AC$40=$EY$21)*($KG$6:$KG$42=1))&gt;0)</f>
        <v/>
      </c>
      <c r="KI21">
        <f>$KI$20+--($KH21)</f>
        <v/>
      </c>
      <c r="KJ21">
        <f>IF(ROW()-3&gt;MAX($KI$4:$KI$40),"",INDEX($EY$4:$EY$40,MATCH(ROW()-3,$KI$4:$KI$40,0)))</f>
        <v/>
      </c>
      <c r="KK21">
        <f>IF(COUNTIF('Live Search'!BM$20:CP$20,0)+COUNTIF('Live Search'!CR$20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L21">
        <f>IF($FD$21="",FALSE,SUMPRODUCT(('Final Calculation Sheet'!$AD$4:$AD$40=$FD$21)*($KK$6:$KK$42=1))&gt;0)</f>
        <v/>
      </c>
      <c r="KM21">
        <f>$KM$20+--($KL21)</f>
        <v/>
      </c>
      <c r="KN21">
        <f>IF(ROW()-3&gt;MAX($KM$4:$KM$40),"",INDEX($FD$4:$FD$40,MATCH(ROW()-3,$KM$4:$KM$40,0)))</f>
        <v/>
      </c>
      <c r="KO21">
        <f>IF(COUNTIF('Live Search'!BM$20:CT$20,0)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P21">
        <f>IF($FX$21="",FALSE,SUMPRODUCT((IF('Final Calculation Sheet'!$AD$4:$AD$40&lt;=5,"SETTLED","OUTSTANDING")=$FX$21)*($KO$6:$KO$42=1))&gt;0)</f>
        <v/>
      </c>
      <c r="KQ21">
        <f>$KQ$20+--($KP21)</f>
        <v/>
      </c>
      <c r="KR21">
        <f>IF(ROW()-3&gt;MAX($KQ$4:$KQ$40),"",INDEX($FX$4:$FX$40,MATCH(ROW()-3,$KQ$4:$KQ$40,0)))</f>
        <v/>
      </c>
      <c r="KS21">
        <f>IF(COUNTIF('Live Search'!BM$20:CQ$20,0)+COUNTIF('Live Search'!CS$20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T21">
        <f>IF($FI$21="",FALSE,SUMPRODUCT(('Final Calculation Sheet'!$AF$4:$AF$40=$FI$21)*($KS$6:$KS$42=1))&gt;0)</f>
        <v/>
      </c>
      <c r="KU21">
        <f>$KU$20+--($KT21)</f>
        <v/>
      </c>
      <c r="KV21">
        <f>IF(ROW()-3&gt;MAX($KU$4:$KU$40),"",INDEX($FI$4:$FI$40,MATCH(ROW()-3,$KU$4:$KU$40,0)))</f>
        <v/>
      </c>
      <c r="KW21">
        <f>IF(COUNTIF('Live Search'!BM$20:CR$20,0)+COUNTIF('Live Search'!CT$20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KX21">
        <f>IF($FN$21="",FALSE,SUMPRODUCT(('Final Calculation Sheet'!$AG$4:$AG$40=$FN$21)*($KW$6:$KW$42=1))&gt;0)</f>
        <v/>
      </c>
      <c r="KY21">
        <f>$KY$20+--($KX21)</f>
        <v/>
      </c>
      <c r="KZ21">
        <f>IF(ROW()-3&gt;MAX($KY$4:$KY$40),"",INDEX($FN$4:$FN$40,MATCH(ROW()-3,$KY$4:$KY$40,0)))</f>
        <v/>
      </c>
      <c r="LA21">
        <f>IF(COUNTIF('Live Search'!BM$20:CS$20,0)+COUNTIF('Live Search'!CU$20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LB21">
        <f>IF($FS$21="",FALSE,SUMPRODUCT(('Final Calculation Sheet'!$AH$4:$AH$40=$FS$21)*($LA$6:$LA$42=1))&gt;0)</f>
        <v/>
      </c>
      <c r="LC21">
        <f>$LC$20+--($LB21)</f>
        <v/>
      </c>
      <c r="LD21">
        <f>IF(ROW()-3&gt;MAX($LC$4:$LC$40),"",INDEX($FS$4:$FS$40,MATCH(ROW()-3,$LC$4:$LC$40,0)))</f>
        <v/>
      </c>
      <c r="LE21">
        <f>IF(COUNTIF('Buyer Groups'!DH74:EN74,0)&gt;0,0,1)</f>
        <v/>
      </c>
      <c r="LF21">
        <f>IF($O$21="",FALSE,SUMPRODUCT(('Final Calculation Sheet'!$F$4:$F$40=$O$21)*($LE$6:$LE$42=1))&gt;0)</f>
        <v/>
      </c>
      <c r="LG21">
        <f>$LG$20+--($LF21)</f>
        <v/>
      </c>
      <c r="LH21">
        <f>IF(ROW()-3&gt;MAX($LG$4:$LG$40),"",INDEX($O$4:$O$40,MATCH(ROW()-3,$LG$4:$LG$40,0)))</f>
        <v/>
      </c>
      <c r="LI21">
        <f>IF(COUNTIF('Buyer Groups'!DG74:DG74,0)+COUNTIF('Buyer Groups'!DI74:EN74,0)&gt;0,0,1)</f>
        <v/>
      </c>
      <c r="LJ21">
        <f>IF($T$21="",FALSE,SUMPRODUCT(('Final Calculation Sheet'!$G$4:$G$40=$T$21)*($LI$6:$LI$42=1))&gt;0)</f>
        <v/>
      </c>
      <c r="LK21">
        <f>$LK$20+--($LJ21)</f>
        <v/>
      </c>
      <c r="LL21">
        <f>IF(ROW()-3&gt;MAX($LK$4:$LK$40),"",INDEX($T$4:$T$40,MATCH(ROW()-3,$LK$4:$LK$40,0)))</f>
        <v/>
      </c>
      <c r="LM21">
        <f>IF(COUNTIF('Buyer Groups'!DG74:DH74,0)+COUNTIF('Buyer Groups'!DJ74:EN74,0)&gt;0,0,1)</f>
        <v/>
      </c>
      <c r="LN21">
        <f>IF($Y$21="",FALSE,SUMPRODUCT(('Final Calculation Sheet'!$B$4:$B$40=$Y$21)*($LM$6:$LM$42=1))&gt;0)</f>
        <v/>
      </c>
      <c r="LO21">
        <f>$LO$20+--($LN21)</f>
        <v/>
      </c>
      <c r="LP21">
        <f>IF(ROW()-3&gt;MAX($LO$4:$LO$40),"",INDEX($Y$4:$Y$40,MATCH(ROW()-3,$LO$4:$LO$40,0)))</f>
        <v/>
      </c>
      <c r="LQ21">
        <f>IF(COUNTIF('Buyer Groups'!DG74:DI74,0)+COUNTIF('Buyer Groups'!DK74:EN74,0)&gt;0,0,1)</f>
        <v/>
      </c>
      <c r="LR21">
        <f>IF($AD$21="",FALSE,SUMPRODUCT(('Final Calculation Sheet'!$D$4:$D$40=$AD$21)*($LQ$6:$LQ$42=1))&gt;0)</f>
        <v/>
      </c>
      <c r="LS21">
        <f>$LS$20+--($LR21)</f>
        <v/>
      </c>
      <c r="LT21">
        <f>IF(ROW()-3&gt;MAX($LS$4:$LS$40),"",INDEX($AD$4:$AD$40,MATCH(ROW()-3,$LS$4:$LS$40,0)))</f>
        <v/>
      </c>
      <c r="LU21">
        <f>IF(COUNTIF('Buyer Groups'!DG74:DJ74,0)+COUNTIF('Buyer Groups'!DL74:EN74,0)&gt;0,0,1)</f>
        <v/>
      </c>
      <c r="LV21">
        <f>IF($AI$21="",FALSE,SUMPRODUCT(('Final Calculation Sheet'!$A$4:$A$40=$AI$21)*($LU$6:$LU$42=1))&gt;0)</f>
        <v/>
      </c>
      <c r="LW21">
        <f>$LW$20+--($LV21)</f>
        <v/>
      </c>
      <c r="LX21">
        <f>IF(ROW()-3&gt;MAX($LW$4:$LW$40),"",INDEX($AI$4:$AI$40,MATCH(ROW()-3,$LW$4:$LW$40,0)))</f>
        <v/>
      </c>
      <c r="LY21">
        <f>IF(COUNTIF('Buyer Groups'!DG74:DK74,0)+COUNTIF('Buyer Groups'!DM74:EN74,0)&gt;0,0,1)</f>
        <v/>
      </c>
      <c r="LZ21">
        <f>IF($AN$21="",FALSE,SUMPRODUCT(('Final Calculation Sheet'!$E$4:$E$40=$AN$21)*($LY$6:$LY$42=1))&gt;0)</f>
        <v/>
      </c>
      <c r="MA21">
        <f>$MA$20+--($LZ21)</f>
        <v/>
      </c>
      <c r="MB21">
        <f>IF(ROW()-3&gt;MAX($MA$4:$MA$40),"",INDEX($AN$4:$AN$40,MATCH(ROW()-3,$MA$4:$MA$40,0)))</f>
        <v/>
      </c>
      <c r="MC21">
        <f>IF(COUNTIF('Buyer Groups'!DG74:DL74,0)+COUNTIF('Buyer Groups'!DN74:EN74,0)&gt;0,0,1)</f>
        <v/>
      </c>
      <c r="MD21">
        <f>IF($AS$21="",FALSE,SUMPRODUCT(('Final Calculation Sheet'!$C$4:$C$40=$AS$21)*($MC$6:$MC$42=1))&gt;0)</f>
        <v/>
      </c>
      <c r="ME21">
        <f>$ME$20+--($MD21)</f>
        <v/>
      </c>
      <c r="MF21">
        <f>IF(ROW()-3&gt;MAX($ME$4:$ME$40),"",INDEX($AS$4:$AS$40,MATCH(ROW()-3,$ME$4:$ME$40,0)))</f>
        <v/>
      </c>
      <c r="MG21">
        <f>IF(COUNTIF('Buyer Groups'!DG74:DM74,0)+COUNTIF('Buyer Groups'!DO74:EN74,0)&gt;0,0,1)</f>
        <v/>
      </c>
      <c r="MH21">
        <f>IF($AX$21="",FALSE,SUMPRODUCT(('Final Calculation Sheet'!$H$4:$H$40=$AX$21)*($MG$6:$MG$42=1))&gt;0)</f>
        <v/>
      </c>
      <c r="MI21">
        <f>$MI$20+--($MH21)</f>
        <v/>
      </c>
      <c r="MJ21">
        <f>IF(ROW()-3&gt;MAX($MI$4:$MI$40),"",INDEX($AX$4:$AX$40,MATCH(ROW()-3,$MI$4:$MI$40,0)))</f>
        <v/>
      </c>
      <c r="MK21">
        <f>IF(COUNTIF('Buyer Groups'!DG74:DN74,0)+COUNTIF('Buyer Groups'!DP74:EN74,0)&gt;0,0,1)</f>
        <v/>
      </c>
      <c r="ML21">
        <f>IF($BC$21="",FALSE,SUMPRODUCT(('Final Calculation Sheet'!$I$4:$I$40=$BC$21)*($MK$6:$MK$42=1))&gt;0)</f>
        <v/>
      </c>
      <c r="MM21">
        <f>$MM$20+--($ML21)</f>
        <v/>
      </c>
      <c r="MN21">
        <f>IF(ROW()-3&gt;MAX($MM$4:$MM$40),"",INDEX($BC$4:$BC$40,MATCH(ROW()-3,$MM$4:$MM$40,0)))</f>
        <v/>
      </c>
      <c r="MO21">
        <f>IF(COUNTIF('Buyer Groups'!DG74:DO74,0)+COUNTIF('Buyer Groups'!DQ74:EN74,0)&gt;0,0,1)</f>
        <v/>
      </c>
      <c r="MP21">
        <f>IF($BH$21="",FALSE,SUMPRODUCT(('Final Calculation Sheet'!$J$4:$J$40=$BH$21)*($MO$6:$MO$42=1))&gt;0)</f>
        <v/>
      </c>
      <c r="MQ21">
        <f>$MQ$20+--($MP21)</f>
        <v/>
      </c>
      <c r="MR21">
        <f>IF(ROW()-3&gt;MAX($MQ$4:$MQ$40),"",INDEX($BH$4:$BH$40,MATCH(ROW()-3,$MQ$4:$MQ$40,0)))</f>
        <v/>
      </c>
      <c r="MS21">
        <f>IF(COUNTIF('Buyer Groups'!DG74:DP74,0)+COUNTIF('Buyer Groups'!DR74:EN74,0)&gt;0,0,1)</f>
        <v/>
      </c>
      <c r="MT21">
        <f>IF($BM$21="",FALSE,SUMPRODUCT(('Final Calculation Sheet'!$K$4:$K$40=$BM$21)*($MS$6:$MS$42=1))&gt;0)</f>
        <v/>
      </c>
      <c r="MU21">
        <f>$MU$20+--($MT21)</f>
        <v/>
      </c>
      <c r="MV21">
        <f>IF(ROW()-3&gt;MAX($MU$4:$MU$40),"",INDEX($BM$4:$BM$40,MATCH(ROW()-3,$MU$4:$MU$40,0)))</f>
        <v/>
      </c>
      <c r="MW21">
        <f>IF(COUNTIF('Buyer Groups'!DG74:DQ74,0)+COUNTIF('Buyer Groups'!DS74:EN74,0)&gt;0,0,1)</f>
        <v/>
      </c>
      <c r="MX21">
        <f>IF($BR$21="",FALSE,SUMPRODUCT(('Final Calculation Sheet'!$L$4:$L$40=$BR$21)*($MW$6:$MW$42=1))&gt;0)</f>
        <v/>
      </c>
      <c r="MY21">
        <f>$MY$20+--($MX21)</f>
        <v/>
      </c>
      <c r="MZ21">
        <f>IF(ROW()-3&gt;MAX($MY$4:$MY$40),"",INDEX($BR$4:$BR$40,MATCH(ROW()-3,$MY$4:$MY$40,0)))</f>
        <v/>
      </c>
      <c r="NA21">
        <f>IF(COUNTIF('Buyer Groups'!DG74:DR74,0)+COUNTIF('Buyer Groups'!DT74:EN74,0)&gt;0,0,1)</f>
        <v/>
      </c>
      <c r="NB21">
        <f>IF($BW$21="",FALSE,SUMPRODUCT(('Final Calculation Sheet'!$M$4:$M$40=$BW$21)*($NA$6:$NA$42=1))&gt;0)</f>
        <v/>
      </c>
      <c r="NC21">
        <f>$NC$20+--($NB21)</f>
        <v/>
      </c>
      <c r="ND21">
        <f>IF(ROW()-3&gt;MAX($NC$4:$NC$40),"",INDEX($BW$4:$BW$40,MATCH(ROW()-3,$NC$4:$NC$40,0)))</f>
        <v/>
      </c>
      <c r="NE21">
        <f>IF(COUNTIF('Buyer Groups'!DG74:DS74,0)+COUNTIF('Buyer Groups'!DU74:EN74,0)&gt;0,0,1)</f>
        <v/>
      </c>
      <c r="NF21">
        <f>IF($CB$21="",FALSE,SUMPRODUCT(('Final Calculation Sheet'!$N$4:$N$40=$CB$21)*($NE$6:$NE$42=1))&gt;0)</f>
        <v/>
      </c>
      <c r="NG21">
        <f>$NG$20+--($NF21)</f>
        <v/>
      </c>
      <c r="NH21">
        <f>IF(ROW()-3&gt;MAX($NG$4:$NG$40),"",INDEX($CB$4:$CB$40,MATCH(ROW()-3,$NG$4:$NG$40,0)))</f>
        <v/>
      </c>
      <c r="NI21">
        <f>IF(COUNTIF('Buyer Groups'!DG74:DT74,0)+COUNTIF('Buyer Groups'!DV74:EN74,0)&gt;0,0,1)</f>
        <v/>
      </c>
      <c r="NJ21">
        <f>IF($CG$21="",FALSE,SUMPRODUCT(('Final Calculation Sheet'!$O$4:$O$40=$CG$21)*($NI$6:$NI$42=1))&gt;0)</f>
        <v/>
      </c>
      <c r="NK21">
        <f>$NK$20+--($NJ21)</f>
        <v/>
      </c>
      <c r="NL21">
        <f>IF(ROW()-3&gt;MAX($NK$4:$NK$40),"",INDEX($CG$4:$CG$40,MATCH(ROW()-3,$NK$4:$NK$40,0)))</f>
        <v/>
      </c>
      <c r="NM21">
        <f>IF(COUNTIF('Buyer Groups'!DG74:DU74,0)+COUNTIF('Buyer Groups'!DW74:EN74,0)&gt;0,0,1)</f>
        <v/>
      </c>
      <c r="NN21">
        <f>IF($CL$21="",FALSE,SUMPRODUCT(('Final Calculation Sheet'!$P$4:$P$40=$CL$21)*($NM$6:$NM$42=1))&gt;0)</f>
        <v/>
      </c>
      <c r="NO21">
        <f>$NO$20+--($NN21)</f>
        <v/>
      </c>
      <c r="NP21">
        <f>IF(ROW()-3&gt;MAX($NO$4:$NO$40),"",INDEX($CL$4:$CL$40,MATCH(ROW()-3,$NO$4:$NO$40,0)))</f>
        <v/>
      </c>
      <c r="NQ21">
        <f>IF(COUNTIF('Buyer Groups'!DG74:DV74,0)+COUNTIF('Buyer Groups'!DX74:EN74,0)&gt;0,0,1)</f>
        <v/>
      </c>
      <c r="NR21">
        <f>IF($CQ$21="",FALSE,SUMPRODUCT(('Final Calculation Sheet'!$Q$4:$Q$40=$CQ$21)*($NQ$6:$NQ$42=1))&gt;0)</f>
        <v/>
      </c>
      <c r="NS21">
        <f>$NS$20+--($NR21)</f>
        <v/>
      </c>
      <c r="NT21">
        <f>IF(ROW()-3&gt;MAX($NS$4:$NS$40),"",INDEX($CQ$4:$CQ$40,MATCH(ROW()-3,$NS$4:$NS$40,0)))</f>
        <v/>
      </c>
      <c r="NU21">
        <f>IF(COUNTIF('Buyer Groups'!DG74:DW74,0)+COUNTIF('Buyer Groups'!DY74:EN74,0)&gt;0,0,1)</f>
        <v/>
      </c>
      <c r="NV21">
        <f>IF($CV$21="",FALSE,SUMPRODUCT(('Final Calculation Sheet'!$R$4:$R$40=$CV$21)*($NU$6:$NU$42=1))&gt;0)</f>
        <v/>
      </c>
      <c r="NW21">
        <f>$NW$20+--($NV21)</f>
        <v/>
      </c>
      <c r="NX21">
        <f>IF(ROW()-3&gt;MAX($NW$4:$NW$40),"",INDEX($CV$4:$CV$40,MATCH(ROW()-3,$NW$4:$NW$40,0)))</f>
        <v/>
      </c>
      <c r="NY21">
        <f>IF(COUNTIF('Buyer Groups'!DG74:DX74,0)+COUNTIF('Buyer Groups'!DZ74:EN74,0)&gt;0,0,1)</f>
        <v/>
      </c>
      <c r="NZ21">
        <f>IF($DA$21="",FALSE,SUMPRODUCT(('Final Calculation Sheet'!$S$4:$S$40=$DA$21)*($NY$6:$NY$42=1))&gt;0)</f>
        <v/>
      </c>
      <c r="OA21">
        <f>$OA$20+--($NZ21)</f>
        <v/>
      </c>
      <c r="OB21">
        <f>IF(ROW()-3&gt;MAX($OA$4:$OA$40),"",INDEX($DA$4:$DA$40,MATCH(ROW()-3,$OA$4:$OA$40,0)))</f>
        <v/>
      </c>
      <c r="OC21">
        <f>IF(COUNTIF('Buyer Groups'!DG74:DY74,0)+COUNTIF('Buyer Groups'!EA74:EN74,0)&gt;0,0,1)</f>
        <v/>
      </c>
      <c r="OD21">
        <f>IF($DF$21="",FALSE,SUMPRODUCT(('Final Calculation Sheet'!$T$4:$T$40=$DF$21)*($OC$6:$OC$42=1))&gt;0)</f>
        <v/>
      </c>
      <c r="OE21">
        <f>$OE$20+--($OD21)</f>
        <v/>
      </c>
      <c r="OF21">
        <f>IF(ROW()-3&gt;MAX($OE$4:$OE$40),"",INDEX($DF$4:$DF$40,MATCH(ROW()-3,$OE$4:$OE$40,0)))</f>
        <v/>
      </c>
      <c r="OG21">
        <f>IF(COUNTIF('Buyer Groups'!DG74:DZ74,0)+COUNTIF('Buyer Groups'!EB74:EN74,0)&gt;0,0,1)</f>
        <v/>
      </c>
      <c r="OH21">
        <f>IF($DK$21="",FALSE,SUMPRODUCT(('Final Calculation Sheet'!$U$4:$U$40=$DK$21)*($OG$6:$OG$42=1))&gt;0)</f>
        <v/>
      </c>
      <c r="OI21">
        <f>$OI$20+--($OH21)</f>
        <v/>
      </c>
      <c r="OJ21">
        <f>IF(ROW()-3&gt;MAX($OI$4:$OI$40),"",INDEX($DK$4:$DK$40,MATCH(ROW()-3,$OI$4:$OI$40,0)))</f>
        <v/>
      </c>
      <c r="OK21">
        <f>IF(COUNTIF('Buyer Groups'!DG74:EA74,0)+COUNTIF('Buyer Groups'!EC74:EN74,0)&gt;0,0,1)</f>
        <v/>
      </c>
      <c r="OL21">
        <f>IF($DP$21="",FALSE,SUMPRODUCT(('Final Calculation Sheet'!$V$4:$V$40=$DP$21)*($OK$6:$OK$42=1))&gt;0)</f>
        <v/>
      </c>
      <c r="OM21">
        <f>$OM$20+--($OL21)</f>
        <v/>
      </c>
      <c r="ON21">
        <f>IF(ROW()-3&gt;MAX($OM$4:$OM$40),"",INDEX($DP$4:$DP$40,MATCH(ROW()-3,$OM$4:$OM$40,0)))</f>
        <v/>
      </c>
      <c r="OO21">
        <f>IF(COUNTIF('Buyer Groups'!DG74:EB74,0)+COUNTIF('Buyer Groups'!ED74:EN74,0)&gt;0,0,1)</f>
        <v/>
      </c>
      <c r="OP21">
        <f>IF($DU$21="",FALSE,SUMPRODUCT(('Final Calculation Sheet'!$W$4:$W$40=$DU$21)*($OO$6:$OO$42=1))&gt;0)</f>
        <v/>
      </c>
      <c r="OQ21">
        <f>$OQ$20+--($OP21)</f>
        <v/>
      </c>
      <c r="OR21">
        <f>IF(ROW()-3&gt;MAX($OQ$4:$OQ$40),"",INDEX($DU$4:$DU$40,MATCH(ROW()-3,$OQ$4:$OQ$40,0)))</f>
        <v/>
      </c>
      <c r="OS21">
        <f>IF(COUNTIF('Buyer Groups'!DG74:EC74,0)+COUNTIF('Buyer Groups'!EE74:EN74,0)&gt;0,0,1)</f>
        <v/>
      </c>
      <c r="OT21">
        <f>IF($DZ$21="",FALSE,SUMPRODUCT(('Final Calculation Sheet'!$X$4:$X$40=$DZ$21)*($OS$6:$OS$42=1))&gt;0)</f>
        <v/>
      </c>
      <c r="OU21">
        <f>$OU$20+--($OT21)</f>
        <v/>
      </c>
      <c r="OV21">
        <f>IF(ROW()-3&gt;MAX($OU$4:$OU$40),"",INDEX($DZ$4:$DZ$40,MATCH(ROW()-3,$OU$4:$OU$40,0)))</f>
        <v/>
      </c>
      <c r="OW21">
        <f>IF(COUNTIF('Buyer Groups'!DG74:ED74,0)+COUNTIF('Buyer Groups'!EF74:EN74,0)&gt;0,0,1)</f>
        <v/>
      </c>
      <c r="OX21">
        <f>IF($EE$21="",FALSE,SUMPRODUCT(('Final Calculation Sheet'!$Y$4:$Y$40=$EE$21)*($OW$6:$OW$42=1))&gt;0)</f>
        <v/>
      </c>
      <c r="OY21">
        <f>$OY$20+--($OX21)</f>
        <v/>
      </c>
      <c r="OZ21">
        <f>IF(ROW()-3&gt;MAX($OY$4:$OY$40),"",INDEX($EE$4:$EE$40,MATCH(ROW()-3,$OY$4:$OY$40,0)))</f>
        <v/>
      </c>
      <c r="PA21">
        <f>IF(COUNTIF('Buyer Groups'!DG74:EE74,0)+COUNTIF('Buyer Groups'!EG74:EN74,0)&gt;0,0,1)</f>
        <v/>
      </c>
      <c r="PB21">
        <f>IF($EJ$21="",FALSE,SUMPRODUCT(('Final Calculation Sheet'!$Z$4:$Z$40=$EJ$21)*($PA$6:$PA$42=1))&gt;0)</f>
        <v/>
      </c>
      <c r="PC21">
        <f>$PC$20+--($PB21)</f>
        <v/>
      </c>
      <c r="PD21">
        <f>IF(ROW()-3&gt;MAX($PC$4:$PC$40),"",INDEX($EJ$4:$EJ$40,MATCH(ROW()-3,$PC$4:$PC$40,0)))</f>
        <v/>
      </c>
      <c r="PE21">
        <f>IF(COUNTIF('Buyer Groups'!DG74:EF74,0)+COUNTIF('Buyer Groups'!EH74:EN74,0)&gt;0,0,1)</f>
        <v/>
      </c>
      <c r="PF21">
        <f>IF($EO$21="",FALSE,SUMPRODUCT(('Final Calculation Sheet'!$AA$4:$AA$40=$EO$21)*($PE$6:$PE$42=1))&gt;0)</f>
        <v/>
      </c>
      <c r="PG21">
        <f>$PG$20+--($PF21)</f>
        <v/>
      </c>
      <c r="PH21">
        <f>IF(ROW()-3&gt;MAX($PG$4:$PG$40),"",INDEX($EO$4:$EO$40,MATCH(ROW()-3,$PG$4:$PG$40,0)))</f>
        <v/>
      </c>
      <c r="PI21">
        <f>IF(COUNTIF('Buyer Groups'!DG74:EG74,0)+COUNTIF('Buyer Groups'!EI74:EN74,0)&gt;0,0,1)</f>
        <v/>
      </c>
      <c r="PJ21">
        <f>IF($ET$21="",FALSE,SUMPRODUCT(('Final Calculation Sheet'!$AB$4:$AB$40=$ET$21)*($PI$6:$PI$42=1))&gt;0)</f>
        <v/>
      </c>
      <c r="PK21">
        <f>$PK$20+--($PJ21)</f>
        <v/>
      </c>
      <c r="PL21">
        <f>IF(ROW()-3&gt;MAX($PK$4:$PK$40),"",INDEX($ET$4:$ET$40,MATCH(ROW()-3,$PK$4:$PK$40,0)))</f>
        <v/>
      </c>
      <c r="PM21">
        <f>IF(COUNTIF('Buyer Groups'!DG74:EH74,0)+COUNTIF('Buyer Groups'!EJ74:EN74,0)&gt;0,0,1)</f>
        <v/>
      </c>
      <c r="PN21">
        <f>IF($EY$21="",FALSE,SUMPRODUCT(('Final Calculation Sheet'!$AC$4:$AC$40=$EY$21)*($PM$6:$PM$42=1))&gt;0)</f>
        <v/>
      </c>
      <c r="PO21">
        <f>$PO$20+--($PN21)</f>
        <v/>
      </c>
      <c r="PP21">
        <f>IF(ROW()-3&gt;MAX($PO$4:$PO$40),"",INDEX($EY$4:$EY$40,MATCH(ROW()-3,$PO$4:$PO$40,0)))</f>
        <v/>
      </c>
      <c r="PQ21">
        <f>IF(COUNTIF('Buyer Groups'!DG74:EI74,0)+COUNTIF('Buyer Groups'!EK74:EN74,0)&gt;0,0,1)</f>
        <v/>
      </c>
      <c r="PR21">
        <f>IF($FD$21="",FALSE,SUMPRODUCT(('Final Calculation Sheet'!$AD$4:$AD$40=$FD$21)*($PQ$6:$PQ$42=1))&gt;0)</f>
        <v/>
      </c>
      <c r="PS21">
        <f>$PS$20+--($PR21)</f>
        <v/>
      </c>
      <c r="PT21">
        <f>IF(ROW()-3&gt;MAX($PS$4:$PS$40),"",INDEX($FD$4:$FD$40,MATCH(ROW()-3,$PS$4:$PS$40,0)))</f>
        <v/>
      </c>
      <c r="PU21">
        <f>IF(COUNTIF('Buyer Groups'!DG74:EJ74,0)+COUNTIF('Buyer Groups'!EL74:EN74,0)&gt;0,0,1)</f>
        <v/>
      </c>
      <c r="PV21">
        <f>IF($FX$21="",FALSE,SUMPRODUCT((IF('Final Calculation Sheet'!$AD$4:$AD$40&lt;=5,"SETTLED","OUTSTANDING")=$FX$21)*($PU$6:$PU$42=1))&gt;0)</f>
        <v/>
      </c>
      <c r="PW21">
        <f>$PW$20+--($PV21)</f>
        <v/>
      </c>
      <c r="PX21">
        <f>IF(ROW()-3&gt;MAX($PW$4:$PW$40),"",INDEX($FX$4:$FX$40,MATCH(ROW()-3,$PW$4:$PW$40,0)))</f>
        <v/>
      </c>
      <c r="PY21">
        <f>IF(COUNTIF('Buyer Groups'!DG74:EK74,0)+COUNTIF('Buyer Groups'!EM74:EN74,0)&gt;0,0,1)</f>
        <v/>
      </c>
      <c r="PZ21">
        <f>IF($FI$21="",FALSE,SUMPRODUCT(('Final Calculation Sheet'!$AF$4:$AF$40=$FI$21)*($PY$6:$PY$42=1))&gt;0)</f>
        <v/>
      </c>
      <c r="QA21">
        <f>$QA$20+--($PZ21)</f>
        <v/>
      </c>
      <c r="QB21">
        <f>IF(ROW()-3&gt;MAX($QA$4:$QA$40),"",INDEX($FI$4:$FI$40,MATCH(ROW()-3,$QA$4:$QA$40,0)))</f>
        <v/>
      </c>
      <c r="QC21">
        <f>IF(COUNTIF('Buyer Groups'!DG74:EL74,0)+COUNTIF('Buyer Groups'!EN74:EN74,0)&gt;0,0,1)</f>
        <v/>
      </c>
      <c r="QD21">
        <f>IF($FN$21="",FALSE,SUMPRODUCT(('Final Calculation Sheet'!$AG$4:$AG$40=$FN$21)*($QC$6:$QC$42=1))&gt;0)</f>
        <v/>
      </c>
      <c r="QE21">
        <f>$QE$20+--($QD21)</f>
        <v/>
      </c>
      <c r="QF21">
        <f>IF(ROW()-3&gt;MAX($QE$4:$QE$40),"",INDEX($FN$4:$FN$40,MATCH(ROW()-3,$QE$4:$QE$40,0)))</f>
        <v/>
      </c>
      <c r="QG21">
        <f>IF(COUNTIF('Buyer Groups'!DG74:EM74,0)&gt;0,0,1)</f>
        <v/>
      </c>
      <c r="QH21">
        <f>IF($FS$21="",FALSE,SUMPRODUCT(('Final Calculation Sheet'!$AH$4:$AH$40=$FS$21)*($QG$6:$QG$42=1))&gt;0)</f>
        <v/>
      </c>
      <c r="QI21">
        <f>$QI$20+--($QH21)</f>
        <v/>
      </c>
      <c r="QJ21">
        <f>IF(ROW()-3&gt;MAX($QI$4:$QI$40),"",INDEX($FS$4:$FS$40,MATCH(ROW()-3,$QI$4:$QI$40,0)))</f>
        <v/>
      </c>
      <c r="QK21" t="str">
        <f>IF('Final Calculation Sheet'!$AH$21="","",'Final Calculation Sheet'!$AH$21)</f>
      </c>
      <c r="QL21" t="str">
        <f>IF(QK21="","",COUNTIFS(QK$4:QK$40,"&lt;"&amp;QK21,QK$4:QK$40,"&lt;&gt;"&amp;"")+COUNTIF(QK$4:QK21,QK21))</f>
      </c>
      <c r="QM21" t="str">
        <f>IF(ROW()-3&gt;COUNTIF(QK$4:QK$40,"&lt;&gt;"&amp;""),"",INDEX(QK$4:QK$40,MATCH(ROW()-3,QL$4:QL$40,0)))</f>
      </c>
      <c r="QN21" t="str">
        <f>=QN20+F(AND(QM21&lt;&gt;"",COUNTIF(QM$4:QM21,QM21)=1),1,0)</f>
      </c>
      <c r="QO21" t="str">
        <f>IF(ROW()-3&gt;MAX(QN$4:QN$40),"",INDEX(QM$4:QM$40,MATCH(ROW()-3,QN$4:QN$40,0)))</f>
      </c>
      <c r="QP21" t="str">
        <f>IF(COUNTIF('Final Calculation Sheet'!$AM21:$BS21,0)&gt;0,0,1)</f>
      </c>
      <c r="QQ21" t="str">
        <f>IF($AI$21="",FALSE,SUMPRODUCT(('Final Calculation Sheet'!$A$4:$A$40=$AI$21)*($QP$4:$QP$40=1))&gt;0)</f>
      </c>
      <c r="QR21" t="str">
        <f>=$QR20+--($QQ21)</f>
      </c>
      <c r="QS21" t="str">
        <f>IF(ROW()-3&gt;MAX($QR$4:$QR$40),"",INDEX($AI$4:$AI$40,MATCH(ROW()-3,$QR$4:$QR$40,0)))</f>
      </c>
      <c r="QT21" t="str">
        <f>IF(COUNTIF('Final Calculation Sheet'!$AL21:$AL21,0)+COUNTIF('Final Calculation Sheet'!$AN21:$BS21,0)&gt;0,0,1)</f>
      </c>
      <c r="QU21" t="str">
        <f>IF($Y$21="",FALSE,SUMPRODUCT(('Final Calculation Sheet'!$B$4:$B$40=$Y$21)*($QT$4:$QT$40=1))&gt;0)</f>
      </c>
      <c r="QV21" t="str">
        <f>=$QV20+--($QU21)</f>
      </c>
      <c r="QW21" t="str">
        <f>IF(ROW()-3&gt;MAX($QV$4:$QV$40),"",INDEX($Y$4:$Y$40,MATCH(ROW()-3,$QV$4:$QV$40,0)))</f>
      </c>
      <c r="QX21" t="str">
        <f>IF(COUNTIF('Final Calculation Sheet'!$AL21:$AM21,0)+COUNTIF('Final Calculation Sheet'!$AO21:$BS21,0)&gt;0,0,1)</f>
      </c>
      <c r="QY21" t="str">
        <f>IF($AS$21="",FALSE,SUMPRODUCT(('Final Calculation Sheet'!$C$4:$C$40=$AS$21)*($QX$4:$QX$40=1))&gt;0)</f>
      </c>
      <c r="QZ21" t="str">
        <f>=$QZ20+--($QY21)</f>
      </c>
      <c r="RA21" t="str">
        <f>IF(ROW()-3&gt;MAX($QZ$4:$QZ$40),"",INDEX($AS$4:$AS$40,MATCH(ROW()-3,$QZ$4:$QZ$40,0)))</f>
      </c>
      <c r="RB21" t="str">
        <f>IF(COUNTIF('Final Calculation Sheet'!$AL21:$AN21,0)+COUNTIF('Final Calculation Sheet'!$AP21:$BS21,0)&gt;0,0,1)</f>
      </c>
      <c r="RC21" t="str">
        <f>IF($AD$21="",FALSE,SUMPRODUCT(('Final Calculation Sheet'!$D$4:$D$40=$AD$21)*($RB$4:$RB$40=1))&gt;0)</f>
      </c>
      <c r="RD21" t="str">
        <f>=$RD20+--($RC21)</f>
      </c>
      <c r="RE21" t="str">
        <f>IF(ROW()-3&gt;MAX($RD$4:$RD$40),"",INDEX($AD$4:$AD$40,MATCH(ROW()-3,$RD$4:$RD$40,0)))</f>
      </c>
      <c r="RF21" t="str">
        <f>IF(COUNTIF('Final Calculation Sheet'!$AL21:$AO21,0)+COUNTIF('Final Calculation Sheet'!$AQ21:$BS21,0)&gt;0,0,1)</f>
      </c>
      <c r="RG21" t="str">
        <f>IF($AN$21="",FALSE,SUMPRODUCT(('Final Calculation Sheet'!$E$4:$E$40=$AN$21)*($RF$4:$RF$40=1))&gt;0)</f>
      </c>
      <c r="RH21" t="str">
        <f>=$RH20+--($RG21)</f>
      </c>
      <c r="RI21" t="str">
        <f>IF(ROW()-3&gt;MAX($RH$4:$RH$40),"",INDEX($AN$4:$AN$40,MATCH(ROW()-3,$RH$4:$RH$40,0)))</f>
      </c>
      <c r="RJ21" t="str">
        <f>IF(COUNTIF('Final Calculation Sheet'!$AL21:$AP21,0)+COUNTIF('Final Calculation Sheet'!$AR21:$BS21,0)&gt;0,0,1)</f>
      </c>
      <c r="RK21" t="str">
        <f>IF($O$21="",FALSE,SUMPRODUCT(('Final Calculation Sheet'!$F$4:$F$40=$O$21)*($RJ$4:$RJ$40=1))&gt;0)</f>
      </c>
      <c r="RL21" t="str">
        <f>=$RL20+--($RK21)</f>
      </c>
      <c r="RM21" t="str">
        <f>IF(ROW()-3&gt;MAX($RL$4:$RL$40),"",INDEX($O$4:$O$40,MATCH(ROW()-3,$RL$4:$RL$40,0)))</f>
      </c>
      <c r="RN21" t="str">
        <f>IF(COUNTIF('Final Calculation Sheet'!$AL21:$AQ21,0)+COUNTIF('Final Calculation Sheet'!$AS21:$BS21,0)&gt;0,0,1)</f>
      </c>
      <c r="RO21" t="str">
        <f>IF($T$21="",FALSE,SUMPRODUCT(('Final Calculation Sheet'!$G$4:$G$40=$T$21)*($RN$4:$RN$40=1))&gt;0)</f>
      </c>
      <c r="RP21" t="str">
        <f>=$RP20+--($RO21)</f>
      </c>
      <c r="RQ21" t="str">
        <f>IF(ROW()-3&gt;MAX($RP$4:$RP$40),"",INDEX($T$4:$T$40,MATCH(ROW()-3,$RP$4:$RP$40,0)))</f>
      </c>
      <c r="RR21" t="str">
        <f>IF(COUNTIF('Final Calculation Sheet'!$AL21:$AR21,0)+COUNTIF('Final Calculation Sheet'!$AT21:$BS21,0)&gt;0,0,1)</f>
      </c>
      <c r="RS21" t="str">
        <f>IF($AX$21="",FALSE,SUMPRODUCT(('Final Calculation Sheet'!$H$4:$H$40=$AX$21)*($RR$4:$RR$40=1))&gt;0)</f>
      </c>
      <c r="RT21" t="str">
        <f>=$RT20+--($RS21)</f>
      </c>
      <c r="RU21" t="str">
        <f>IF(ROW()-3&gt;MAX($RT$4:$RT$40),"",INDEX($AX$4:$AX$40,MATCH(ROW()-3,$RT$4:$RT$40,0)))</f>
      </c>
      <c r="RV21" t="str">
        <f>IF(COUNTIF('Final Calculation Sheet'!$AL21:$AS21,0)+COUNTIF('Final Calculation Sheet'!$AU21:$BS21,0)&gt;0,0,1)</f>
      </c>
      <c r="RW21" t="str">
        <f>IF($BC$21="",FALSE,SUMPRODUCT(('Final Calculation Sheet'!$I$4:$I$40=$BC$21)*($RV$4:$RV$40=1))&gt;0)</f>
      </c>
      <c r="RX21" t="str">
        <f>=$RX20+--($RW21)</f>
      </c>
      <c r="RY21" t="str">
        <f>IF(ROW()-3&gt;MAX($RX$4:$RX$40),"",INDEX($BC$4:$BC$40,MATCH(ROW()-3,$RX$4:$RX$40,0)))</f>
      </c>
      <c r="RZ21" t="str">
        <f>IF(COUNTIF('Final Calculation Sheet'!$AL21:$AT21,0)+COUNTIF('Final Calculation Sheet'!$AV21:$BS21,0)&gt;0,0,1)</f>
      </c>
      <c r="SA21" t="str">
        <f>IF($BH$21="",FALSE,SUMPRODUCT(('Final Calculation Sheet'!$J$4:$J$40=$BH$21)*($RZ$4:$RZ$40=1))&gt;0)</f>
      </c>
      <c r="SB21" t="str">
        <f>=$SB20+--($SA21)</f>
      </c>
      <c r="SC21" t="str">
        <f>IF(ROW()-3&gt;MAX($SB$4:$SB$40),"",INDEX($BH$4:$BH$40,MATCH(ROW()-3,$SB$4:$SB$40,0)))</f>
      </c>
      <c r="SD21" t="str">
        <f>IF(COUNTIF('Final Calculation Sheet'!$AL21:$AU21,0)+COUNTIF('Final Calculation Sheet'!$AW21:$BS21,0)&gt;0,0,1)</f>
      </c>
      <c r="SE21" t="str">
        <f>IF($BM$21="",FALSE,SUMPRODUCT(('Final Calculation Sheet'!$K$4:$K$40=$BM$21)*($SD$4:$SD$40=1))&gt;0)</f>
      </c>
      <c r="SF21" t="str">
        <f>=$SF20+--($SE21)</f>
      </c>
      <c r="SG21" t="str">
        <f>IF(ROW()-3&gt;MAX($SF$4:$SF$40),"",INDEX($BM$4:$BM$40,MATCH(ROW()-3,$SF$4:$SF$40,0)))</f>
      </c>
      <c r="SH21" t="str">
        <f>IF(COUNTIF('Final Calculation Sheet'!$AL21:$AV21,0)+COUNTIF('Final Calculation Sheet'!$AX21:$BS21,0)&gt;0,0,1)</f>
      </c>
      <c r="SI21" t="str">
        <f>IF($BR$21="",FALSE,SUMPRODUCT(('Final Calculation Sheet'!$L$4:$L$40=$BR$21)*($SH$4:$SH$40=1))&gt;0)</f>
      </c>
      <c r="SJ21" t="str">
        <f>=$SJ20+--($SI21)</f>
      </c>
      <c r="SK21" t="str">
        <f>IF(ROW()-3&gt;MAX($SJ$4:$SJ$40),"",INDEX($BR$4:$BR$40,MATCH(ROW()-3,$SJ$4:$SJ$40,0)))</f>
      </c>
      <c r="SL21" t="str">
        <f>IF(COUNTIF('Final Calculation Sheet'!$AL21:$AW21,0)+COUNTIF('Final Calculation Sheet'!$AY21:$BS21,0)&gt;0,0,1)</f>
      </c>
      <c r="SM21" t="str">
        <f>IF($BW$21="",FALSE,SUMPRODUCT(('Final Calculation Sheet'!$M$4:$M$40=$BW$21)*($SL$4:$SL$40=1))&gt;0)</f>
      </c>
      <c r="SN21" t="str">
        <f>=$SN20+--($SM21)</f>
      </c>
      <c r="SO21" t="str">
        <f>IF(ROW()-3&gt;MAX($SN$4:$SN$40),"",INDEX($BW$4:$BW$40,MATCH(ROW()-3,$SN$4:$SN$40,0)))</f>
      </c>
      <c r="SP21" t="str">
        <f>IF(COUNTIF('Final Calculation Sheet'!$AL21:$AX21,0)+COUNTIF('Final Calculation Sheet'!$AZ21:$BS21,0)&gt;0,0,1)</f>
      </c>
      <c r="SQ21" t="str">
        <f>IF($CB$21="",FALSE,SUMPRODUCT(('Final Calculation Sheet'!$N$4:$N$40=$CB$21)*($SP$4:$SP$40=1))&gt;0)</f>
      </c>
      <c r="SR21" t="str">
        <f>=$SR20+--($SQ21)</f>
      </c>
      <c r="SS21" t="str">
        <f>IF(ROW()-3&gt;MAX($SR$4:$SR$40),"",INDEX($CB$4:$CB$40,MATCH(ROW()-3,$SR$4:$SR$40,0)))</f>
      </c>
      <c r="ST21" t="str">
        <f>IF(COUNTIF('Final Calculation Sheet'!$AL21:$AY21,0)+COUNTIF('Final Calculation Sheet'!$BA21:$BS21,0)&gt;0,0,1)</f>
      </c>
      <c r="SU21" t="str">
        <f>IF($CG$21="",FALSE,SUMPRODUCT(('Final Calculation Sheet'!$O$4:$O$40=$CG$21)*($ST$4:$ST$40=1))&gt;0)</f>
      </c>
      <c r="SV21" t="str">
        <f>=$SV20+--($SU21)</f>
      </c>
      <c r="SW21" t="str">
        <f>IF(ROW()-3&gt;MAX($SV$4:$SV$40),"",INDEX($CG$4:$CG$40,MATCH(ROW()-3,$SV$4:$SV$40,0)))</f>
      </c>
      <c r="SX21" t="str">
        <f>IF(COUNTIF('Final Calculation Sheet'!$AL21:$AZ21,0)+COUNTIF('Final Calculation Sheet'!$BB21:$BS21,0)&gt;0,0,1)</f>
      </c>
      <c r="SY21" t="str">
        <f>IF($CL$21="",FALSE,SUMPRODUCT(('Final Calculation Sheet'!$P$4:$P$40=$CL$21)*($SX$4:$SX$40=1))&gt;0)</f>
      </c>
      <c r="SZ21" t="str">
        <f>=$SZ20+--($SY21)</f>
      </c>
      <c r="TA21" t="str">
        <f>IF(ROW()-3&gt;MAX($SZ$4:$SZ$40),"",INDEX($CL$4:$CL$40,MATCH(ROW()-3,$SZ$4:$SZ$40,0)))</f>
      </c>
      <c r="TB21" t="str">
        <f>IF(COUNTIF('Final Calculation Sheet'!$AL21:$BA21,0)+COUNTIF('Final Calculation Sheet'!$BC21:$BS21,0)&gt;0,0,1)</f>
      </c>
      <c r="TC21" t="str">
        <f>IF($CQ$21="",FALSE,SUMPRODUCT(('Final Calculation Sheet'!$Q$4:$Q$40=$CQ$21)*($TB$4:$TB$40=1))&gt;0)</f>
      </c>
      <c r="TD21" t="str">
        <f>=$TD20+--($TC21)</f>
      </c>
      <c r="TE21" t="str">
        <f>IF(ROW()-3&gt;MAX($TD$4:$TD$40),"",INDEX($CQ$4:$CQ$40,MATCH(ROW()-3,$TD$4:$TD$40,0)))</f>
      </c>
      <c r="TF21" t="str">
        <f>IF(COUNTIF('Final Calculation Sheet'!$AL21:$BB21,0)+COUNTIF('Final Calculation Sheet'!$BD21:$BS21,0)&gt;0,0,1)</f>
      </c>
      <c r="TG21" t="str">
        <f>IF($CV$21="",FALSE,SUMPRODUCT(('Final Calculation Sheet'!$R$4:$R$40=$CV$21)*($TF$4:$TF$40=1))&gt;0)</f>
      </c>
      <c r="TH21" t="str">
        <f>=$TH20+--($TG21)</f>
      </c>
      <c r="TI21" t="str">
        <f>IF(ROW()-3&gt;MAX($TH$4:$TH$40),"",INDEX($CV$4:$CV$40,MATCH(ROW()-3,$TH$4:$TH$40,0)))</f>
      </c>
      <c r="TJ21" t="str">
        <f>IF(COUNTIF('Final Calculation Sheet'!$AL21:$BC21,0)+COUNTIF('Final Calculation Sheet'!$BE21:$BS21,0)&gt;0,0,1)</f>
      </c>
      <c r="TK21" t="str">
        <f>IF($DA$21="",FALSE,SUMPRODUCT(('Final Calculation Sheet'!$S$4:$S$40=$DA$21)*($TJ$4:$TJ$40=1))&gt;0)</f>
      </c>
      <c r="TL21" t="str">
        <f>=$TL20+--($TK21)</f>
      </c>
      <c r="TM21" t="str">
        <f>IF(ROW()-3&gt;MAX($TL$4:$TL$40),"",INDEX($DA$4:$DA$40,MATCH(ROW()-3,$TL$4:$TL$40,0)))</f>
      </c>
      <c r="TN21" t="str">
        <f>IF(COUNTIF('Final Calculation Sheet'!$AL21:$BD21,0)+COUNTIF('Final Calculation Sheet'!$BF21:$BS21,0)&gt;0,0,1)</f>
      </c>
      <c r="TO21" t="str">
        <f>IF($DF$21="",FALSE,SUMPRODUCT(('Final Calculation Sheet'!$T$4:$T$40=$DF$21)*($TN$4:$TN$40=1))&gt;0)</f>
      </c>
      <c r="TP21" t="str">
        <f>=$TP20+--($TO21)</f>
      </c>
      <c r="TQ21" t="str">
        <f>IF(ROW()-3&gt;MAX($TP$4:$TP$40),"",INDEX($DF$4:$DF$40,MATCH(ROW()-3,$TP$4:$TP$40,0)))</f>
      </c>
      <c r="TR21" t="str">
        <f>IF(COUNTIF('Final Calculation Sheet'!$AL21:$BE21,0)+COUNTIF('Final Calculation Sheet'!$BG21:$BS21,0)&gt;0,0,1)</f>
      </c>
      <c r="TS21" t="str">
        <f>IF($DK$21="",FALSE,SUMPRODUCT(('Final Calculation Sheet'!$U$4:$U$40=$DK$21)*($TR$4:$TR$40=1))&gt;0)</f>
      </c>
      <c r="TT21" t="str">
        <f>=$TT20+--($TS21)</f>
      </c>
      <c r="TU21" t="str">
        <f>IF(ROW()-3&gt;MAX($TT$4:$TT$40),"",INDEX($DK$4:$DK$40,MATCH(ROW()-3,$TT$4:$TT$40,0)))</f>
      </c>
      <c r="TV21" t="str">
        <f>IF(COUNTIF('Final Calculation Sheet'!$AL21:$BF21,0)+COUNTIF('Final Calculation Sheet'!$BH21:$BS21,0)&gt;0,0,1)</f>
      </c>
      <c r="TW21" t="str">
        <f>IF($DP$21="",FALSE,SUMPRODUCT(('Final Calculation Sheet'!$V$4:$V$40=$DP$21)*($TV$4:$TV$40=1))&gt;0)</f>
      </c>
      <c r="TX21" t="str">
        <f>=$TX20+--($TW21)</f>
      </c>
      <c r="TY21" t="str">
        <f>IF(ROW()-3&gt;MAX($TX$4:$TX$40),"",INDEX($DP$4:$DP$40,MATCH(ROW()-3,$TX$4:$TX$40,0)))</f>
      </c>
      <c r="TZ21" t="str">
        <f>IF(COUNTIF('Final Calculation Sheet'!$AL21:$BG21,0)+COUNTIF('Final Calculation Sheet'!$BI21:$BS21,0)&gt;0,0,1)</f>
      </c>
      <c r="UA21" t="str">
        <f>IF($DU$21="",FALSE,SUMPRODUCT(('Final Calculation Sheet'!$W$4:$W$40=$DU$21)*($TZ$4:$TZ$40=1))&gt;0)</f>
      </c>
      <c r="UB21" t="str">
        <f>=$UB20+--($UA21)</f>
      </c>
      <c r="UC21" t="str">
        <f>IF(ROW()-3&gt;MAX($UB$4:$UB$40),"",INDEX($DU$4:$DU$40,MATCH(ROW()-3,$UB$4:$UB$40,0)))</f>
      </c>
      <c r="UD21" t="str">
        <f>IF(COUNTIF('Final Calculation Sheet'!$AL21:$BH21,0)+COUNTIF('Final Calculation Sheet'!$BJ21:$BS21,0)&gt;0,0,1)</f>
      </c>
      <c r="UE21" t="str">
        <f>IF($DZ$21="",FALSE,SUMPRODUCT(('Final Calculation Sheet'!$X$4:$X$40=$DZ$21)*($UD$4:$UD$40=1))&gt;0)</f>
      </c>
      <c r="UF21" t="str">
        <f>=$UF20+--($UE21)</f>
      </c>
      <c r="UG21" t="str">
        <f>IF(ROW()-3&gt;MAX($UF$4:$UF$40),"",INDEX($DZ$4:$DZ$40,MATCH(ROW()-3,$UF$4:$UF$40,0)))</f>
      </c>
      <c r="UH21" t="str">
        <f>IF(COUNTIF('Final Calculation Sheet'!$AL21:$BI21,0)+COUNTIF('Final Calculation Sheet'!$BK21:$BS21,0)&gt;0,0,1)</f>
      </c>
      <c r="UI21" t="str">
        <f>IF($EE$21="",FALSE,SUMPRODUCT(('Final Calculation Sheet'!$Y$4:$Y$40=$EE$21)*($UH$4:$UH$40=1))&gt;0)</f>
      </c>
      <c r="UJ21" t="str">
        <f>=$UJ20+--($UI21)</f>
      </c>
      <c r="UK21" t="str">
        <f>IF(ROW()-3&gt;MAX($UJ$4:$UJ$40),"",INDEX($EE$4:$EE$40,MATCH(ROW()-3,$UJ$4:$UJ$40,0)))</f>
      </c>
      <c r="UL21" t="str">
        <f>IF(COUNTIF('Final Calculation Sheet'!$AL21:$BJ21,0)+COUNTIF('Final Calculation Sheet'!$BL21:$BS21,0)&gt;0,0,1)</f>
      </c>
      <c r="UM21" t="str">
        <f>IF($EJ$21="",FALSE,SUMPRODUCT(('Final Calculation Sheet'!$Z$4:$Z$40=$EJ$21)*($UL$4:$UL$40=1))&gt;0)</f>
      </c>
      <c r="UN21" t="str">
        <f>=$UN20+--($UM21)</f>
      </c>
      <c r="UO21" t="str">
        <f>IF(ROW()-3&gt;MAX($UN$4:$UN$40),"",INDEX($EJ$4:$EJ$40,MATCH(ROW()-3,$UN$4:$UN$40,0)))</f>
      </c>
      <c r="UP21" t="str">
        <f>IF(COUNTIF('Final Calculation Sheet'!$AL21:$BK21,0)+COUNTIF('Final Calculation Sheet'!$BM21:$BS21,0)&gt;0,0,1)</f>
      </c>
      <c r="UQ21" t="str">
        <f>IF($EO$21="",FALSE,SUMPRODUCT(('Final Calculation Sheet'!$AA$4:$AA$40=$EO$21)*($UP$4:$UP$40=1))&gt;0)</f>
      </c>
      <c r="UR21" t="str">
        <f>=$UR20+--($UQ21)</f>
      </c>
      <c r="US21" t="str">
        <f>IF(ROW()-3&gt;MAX($UR$4:$UR$40),"",INDEX($EO$4:$EO$40,MATCH(ROW()-3,$UR$4:$UR$40,0)))</f>
      </c>
      <c r="UT21" t="str">
        <f>IF(COUNTIF('Final Calculation Sheet'!$AL21:$BL21,0)+COUNTIF('Final Calculation Sheet'!$BN21:$BS21,0)&gt;0,0,1)</f>
      </c>
      <c r="UU21" t="str">
        <f>IF($ET$21="",FALSE,SUMPRODUCT(('Final Calculation Sheet'!$AB$4:$AB$40=$ET$21)*($UT$4:$UT$40=1))&gt;0)</f>
      </c>
      <c r="UV21" t="str">
        <f>=$UV20+--($UU21)</f>
      </c>
      <c r="UW21" t="str">
        <f>IF(ROW()-3&gt;MAX($UV$4:$UV$40),"",INDEX($ET$4:$ET$40,MATCH(ROW()-3,$UV$4:$UV$40,0)))</f>
      </c>
      <c r="UX21" t="str">
        <f>IF(COUNTIF('Final Calculation Sheet'!$AL21:$BM21,0)+COUNTIF('Final Calculation Sheet'!$BO21:$BS21,0)&gt;0,0,1)</f>
      </c>
      <c r="UY21" t="str">
        <f>IF($EY$21="",FALSE,SUMPRODUCT(('Final Calculation Sheet'!$AC$4:$AC$40=$EY$21)*($UX$4:$UX$40=1))&gt;0)</f>
      </c>
      <c r="UZ21" t="str">
        <f>=$UZ20+--($UY21)</f>
      </c>
      <c r="VA21" t="str">
        <f>IF(ROW()-3&gt;MAX($UZ$4:$UZ$40),"",INDEX($EY$4:$EY$40,MATCH(ROW()-3,$UZ$4:$UZ$40,0)))</f>
      </c>
      <c r="VB21" t="str">
        <f>IF(COUNTIF('Final Calculation Sheet'!$AL21:$BN21,0)+COUNTIF('Final Calculation Sheet'!$BP21:$BS21,0)&gt;0,0,1)</f>
      </c>
      <c r="VC21" t="str">
        <f>IF($FD$21="",FALSE,SUMPRODUCT(('Final Calculation Sheet'!$AD$4:$AD$40=$FD$21)*($VB$4:$VB$40=1))&gt;0)</f>
      </c>
      <c r="VD21" t="str">
        <f>=$VD20+--($VC21)</f>
      </c>
      <c r="VE21" t="str">
        <f>IF(ROW()-3&gt;MAX($VD$4:$VD$40),"",INDEX($FD$4:$FD$40,MATCH(ROW()-3,$VD$4:$VD$40,0)))</f>
      </c>
      <c r="VF21" t="str">
        <f>IF(COUNTIF('Final Calculation Sheet'!$AL21:$BO21,0)+COUNTIF('Final Calculation Sheet'!$BQ21:$BS21,0)&gt;0,0,1)</f>
      </c>
      <c r="VG21" t="str">
        <f>IF($FI$21="",FALSE,SUMPRODUCT(('Final Calculation Sheet'!$AE$4:$AE$40=$FI$21)*($VF$4:$VF$40=1))&gt;0)</f>
      </c>
      <c r="VH21" t="str">
        <f>=$VH20+--($VG21)</f>
      </c>
      <c r="VI21" t="str">
        <f>IF(ROW()-3&gt;MAX($VH$4:$VH$40),"",INDEX($FI$4:$FI$40,MATCH(ROW()-3,$VH$4:$VH$40,0)))</f>
      </c>
      <c r="VJ21" t="str">
        <f>IF(COUNTIF('Final Calculation Sheet'!$AL21:$BP21,0)+COUNTIF('Final Calculation Sheet'!$BR21:$BS21,0)&gt;0,0,1)</f>
      </c>
      <c r="VK21" t="str">
        <f>IF($FN$21="",FALSE,SUMPRODUCT(('Final Calculation Sheet'!$AF$4:$AF$40=$FN$21)*($VJ$4:$VJ$40=1))&gt;0)</f>
      </c>
      <c r="VL21" t="str">
        <f>=$VL20+--($VK21)</f>
      </c>
      <c r="VM21" t="str">
        <f>IF(ROW()-3&gt;MAX($VL$4:$VL$40),"",INDEX($FN$4:$FN$40,MATCH(ROW()-3,$VL$4:$VL$40,0)))</f>
      </c>
      <c r="VN21" t="str">
        <f>IF(COUNTIF('Final Calculation Sheet'!$AL21:$BQ21,0)+COUNTIF('Final Calculation Sheet'!$BS21:$BS21,0)&gt;0,0,1)</f>
      </c>
      <c r="VO21" t="str">
        <f>IF($FS$21="",FALSE,SUMPRODUCT(('Final Calculation Sheet'!$AG$4:$AG$40=$FS$21)*($VN$4:$VN$40=1))&gt;0)</f>
      </c>
      <c r="VP21" t="str">
        <f>=$VP20+--($VO21)</f>
      </c>
      <c r="VQ21" t="str">
        <f>IF(ROW()-3&gt;MAX($VP$4:$VP$40),"",INDEX($FS$4:$FS$40,MATCH(ROW()-3,$VP$4:$VP$40,0)))</f>
      </c>
      <c r="VR21" t="str">
        <f>IF(COUNTIF('Final Calculation Sheet'!$AL21:$BR21,0)&gt;0,0,1)</f>
      </c>
      <c r="VS21" t="str">
        <f>IF($QO$21="",FALSE,SUMPRODUCT(('Final Calculation Sheet'!$AH$4:$AH$40=$QO$21)*($VR$4:$VR$40=1))&gt;0)</f>
      </c>
      <c r="VT21" t="str">
        <f>=$VT20+--($VS21)</f>
      </c>
      <c r="VU21" t="str">
        <f>IF(ROW()-3&gt;MAX($VT$4:$VT$40),"",INDEX($QO$4:$QO$40,MATCH(ROW()-3,$VT$4:$VT$40,0)))</f>
      </c>
    </row>
    <row r="22">
      <c r="A22">
        <f>IF(IFERROR('Final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IF(IFERROR('Final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s="55">
        <f>IF('Final Calculation Sheet'!$C$22="","",'Final Calculation Sheet'!$C$22)</f>
        <v/>
      </c>
      <c r="AP22">
        <f>IF(AO22="","",COUNTIFS(AO$4:AO$40,"&lt;"&amp;AO22,AO$4:AO$40,"&lt;&gt;"&amp;"")+COUNTIF(AO$4:AO22,AO22))</f>
        <v/>
      </c>
      <c r="AQ22" s="55">
        <f>IF(ROW()-3&gt;COUNTIF(AO$4:AO$40,"&lt;&gt;"&amp;""),"",INDEX(AO$4:AO$40,MATCH(ROW()-3,AP$4:AP$40,0)))</f>
        <v/>
      </c>
      <c r="AR22">
        <f>AR21+IF(AND(AQ22&lt;&gt;"",COUNTIF(AQ$4:AQ22,AQ22)=1),1,0)</f>
        <v/>
      </c>
      <c r="AS22" s="55">
        <f>IF(ROW()-3&gt;MAX(AR$4:AR$40),"",INDEX(AQ$4:AQ$40,MATCH(ROW()-3,AR$4:AR$40,0)))</f>
        <v/>
      </c>
      <c r="AT22" s="55">
        <f>IF('Final Calculation Sheet'!$H$22="","",'Final Calculation Sheet'!$H$22)</f>
        <v/>
      </c>
      <c r="AU22">
        <f>IF(AT22="","",COUNTIFS(AT$4:AT$40,"&lt;"&amp;AT22,AT$4:AT$40,"&lt;&gt;"&amp;"")+COUNTIF(AT$4:AT22,AT22))</f>
        <v/>
      </c>
      <c r="AV22" s="55">
        <f>IF(ROW()-3&gt;COUNTIF(AT$4:AT$40,"&lt;&gt;"&amp;""),"",INDEX(AT$4:AT$40,MATCH(ROW()-3,AU$4:AU$40,0)))</f>
        <v/>
      </c>
      <c r="AW22">
        <f>AW21+IF(AND(AV22&lt;&gt;"",COUNTIF(AV$4:AV22,AV22)=1),1,0)</f>
        <v/>
      </c>
      <c r="AX22" s="55">
        <f>IF(ROW()-3&gt;MAX(AW$4:AW$40),"",INDEX(AV$4:AV$40,MATCH(ROW()-3,AW$4:AW$40,0)))</f>
        <v/>
      </c>
      <c r="AY22" s="55">
        <f>IF('Final Calculation Sheet'!$I$22="","",'Final Calculation Sheet'!$I$22)</f>
        <v/>
      </c>
      <c r="AZ22">
        <f>IF(AY22="","",COUNTIFS(AY$4:AY$40,"&lt;"&amp;AY22,AY$4:AY$40,"&lt;&gt;"&amp;"")+COUNTIF(AY$4:AY22,AY22))</f>
        <v/>
      </c>
      <c r="BA22" s="55">
        <f>IF(ROW()-3&gt;COUNTIF(AY$4:AY$40,"&lt;&gt;"&amp;""),"",INDEX(AY$4:AY$40,MATCH(ROW()-3,AZ$4:AZ$40,0)))</f>
        <v/>
      </c>
      <c r="BB22">
        <f>BB21+IF(AND(BA22&lt;&gt;"",COUNTIF(BA$4:BA22,BA22)=1),1,0)</f>
        <v/>
      </c>
      <c r="BC22" s="55">
        <f>IF(ROW()-3&gt;MAX(BB$4:BB$40),"",INDEX(BA$4:BA$40,MATCH(ROW()-3,BB$4:BB$40,0)))</f>
        <v/>
      </c>
      <c r="BD22" s="55">
        <f>IF('Final Calculation Sheet'!$J$22="","",'Final Calculation Sheet'!$J$22)</f>
        <v/>
      </c>
      <c r="BE22">
        <f>IF(BD22="","",COUNTIFS(BD$4:BD$40,"&lt;"&amp;BD22,BD$4:BD$40,"&lt;&gt;"&amp;"")+COUNTIF(BD$4:BD22,BD22))</f>
        <v/>
      </c>
      <c r="BF22" s="55">
        <f>IF(ROW()-3&gt;COUNTIF(BD$4:BD$40,"&lt;&gt;"&amp;""),"",INDEX(BD$4:BD$40,MATCH(ROW()-3,BE$4:BE$40,0)))</f>
        <v/>
      </c>
      <c r="BG22">
        <f>BG21+IF(AND(BF22&lt;&gt;"",COUNTIF(BF$4:BF22,BF22)=1),1,0)</f>
        <v/>
      </c>
      <c r="BH22" s="55">
        <f>IF(ROW()-3&gt;MAX(BG$4:BG$40),"",INDEX(BF$4:BF$40,MATCH(ROW()-3,BG$4:BG$40,0)))</f>
        <v/>
      </c>
      <c r="BI22" s="55">
        <f>IF('Final Calculation Sheet'!$K$22="","",'Final Calculation Sheet'!$K$22)</f>
        <v/>
      </c>
      <c r="BJ22">
        <f>IF(BI22="","",COUNTIFS(BI$4:BI$40,"&lt;"&amp;BI22,BI$4:BI$40,"&lt;&gt;"&amp;"")+COUNTIF(BI$4:BI22,BI22))</f>
        <v/>
      </c>
      <c r="BK22" s="55">
        <f>IF(ROW()-3&gt;COUNTIF(BI$4:BI$40,"&lt;&gt;"&amp;""),"",INDEX(BI$4:BI$40,MATCH(ROW()-3,BJ$4:BJ$40,0)))</f>
        <v/>
      </c>
      <c r="BL22">
        <f>BL21+IF(AND(BK22&lt;&gt;"",COUNTIF(BK$4:BK22,BK22)=1),1,0)</f>
        <v/>
      </c>
      <c r="BM22" s="55">
        <f>IF(ROW()-3&gt;MAX(BL$4:BL$40),"",INDEX(BK$4:BK$40,MATCH(ROW()-3,BL$4:BL$40,0)))</f>
        <v/>
      </c>
      <c r="BN22" s="55">
        <f>IF('Final Calculation Sheet'!$L$22="","",'Final Calculation Sheet'!$L$22)</f>
        <v/>
      </c>
      <c r="BO22">
        <f>IF(BN22="","",COUNTIFS(BN$4:BN$40,"&lt;"&amp;BN22,BN$4:BN$40,"&lt;&gt;"&amp;"")+COUNTIF(BN$4:BN22,BN22))</f>
        <v/>
      </c>
      <c r="BP22" s="55">
        <f>IF(ROW()-3&gt;COUNTIF(BN$4:BN$40,"&lt;&gt;"&amp;""),"",INDEX(BN$4:BN$40,MATCH(ROW()-3,BO$4:BO$40,0)))</f>
        <v/>
      </c>
      <c r="BQ22">
        <f>BQ21+IF(AND(BP22&lt;&gt;"",COUNTIF(BP$4:BP22,BP22)=1),1,0)</f>
        <v/>
      </c>
      <c r="BR22" s="55">
        <f>IF(ROW()-3&gt;MAX(BQ$4:BQ$40),"",INDEX(BP$4:BP$40,MATCH(ROW()-3,BQ$4:BQ$40,0)))</f>
        <v/>
      </c>
      <c r="BS22" s="55">
        <f>IF('Final Calculation Sheet'!$M$22="","",'Final Calculation Sheet'!$M$22)</f>
        <v/>
      </c>
      <c r="BT22">
        <f>IF(BS22="","",COUNTIFS(BS$4:BS$40,"&lt;"&amp;BS22,BS$4:BS$40,"&lt;&gt;"&amp;"")+COUNTIF(BS$4:BS22,BS22))</f>
        <v/>
      </c>
      <c r="BU22" s="55">
        <f>IF(ROW()-3&gt;COUNTIF(BS$4:BS$40,"&lt;&gt;"&amp;""),"",INDEX(BS$4:BS$40,MATCH(ROW()-3,BT$4:BT$40,0)))</f>
        <v/>
      </c>
      <c r="BV22">
        <f>BV21+IF(AND(BU22&lt;&gt;"",COUNTIF(BU$4:BU22,BU22)=1),1,0)</f>
        <v/>
      </c>
      <c r="BW22" s="55">
        <f>IF(ROW()-3&gt;MAX(BV$4:BV$40),"",INDEX(BU$4:BU$40,MATCH(ROW()-3,BV$4:BV$40,0)))</f>
        <v/>
      </c>
      <c r="BX22" s="138">
        <f>IF('Final Calculation Sheet'!$N$22="","",'Final Calculation Sheet'!$N$22)</f>
        <v/>
      </c>
      <c r="BY22">
        <f>IF(BX22="","",COUNTIFS(BX$4:BX$40,"&lt;"&amp;BX22,BX$4:BX$40,"&lt;&gt;"&amp;"")+COUNTIF(BX$4:BX22,BX22))</f>
        <v/>
      </c>
      <c r="BZ22" s="138">
        <f>IF(ROW()-3&gt;COUNTIF(BX$4:BX$40,"&lt;&gt;"&amp;""),"",INDEX(BX$4:BX$40,MATCH(ROW()-3,BY$4:BY$40,0)))</f>
        <v/>
      </c>
      <c r="CA22">
        <f>CA21+IF(AND(BZ22&lt;&gt;"",COUNTIF(BZ$4:BZ22,BZ22)=1),1,0)</f>
        <v/>
      </c>
      <c r="CB22" s="138">
        <f>IF(ROW()-3&gt;MAX(CA$4:CA$40),"",INDEX(BZ$4:BZ$40,MATCH(ROW()-3,CA$4:CA$40,0)))</f>
        <v/>
      </c>
      <c r="CC22" s="55">
        <f>IF('Final Calculation Sheet'!$O$22="","",'Final Calculation Sheet'!$O$22)</f>
        <v/>
      </c>
      <c r="CD22">
        <f>IF(CC22="","",COUNTIFS(CC$4:CC$40,"&lt;"&amp;CC22,CC$4:CC$40,"&lt;&gt;"&amp;"")+COUNTIF(CC$4:CC22,CC22))</f>
        <v/>
      </c>
      <c r="CE22" s="55">
        <f>IF(ROW()-3&gt;COUNTIF(CC$4:CC$40,"&lt;&gt;"&amp;""),"",INDEX(CC$4:CC$40,MATCH(ROW()-3,CD$4:CD$40,0)))</f>
        <v/>
      </c>
      <c r="CF22">
        <f>CF21+IF(AND(CE22&lt;&gt;"",COUNTIF(CE$4:CE22,CE22)=1),1,0)</f>
        <v/>
      </c>
      <c r="CG22" s="55">
        <f>IF(ROW()-3&gt;MAX(CF$4:CF$40),"",INDEX(CE$4:CE$40,MATCH(ROW()-3,CF$4:CF$40,0)))</f>
        <v/>
      </c>
      <c r="CH22" s="55">
        <f>IF('Final Calculation Sheet'!$P$22="","",'Final Calculation Sheet'!$P$22)</f>
        <v/>
      </c>
      <c r="CI22">
        <f>IF(CH22="","",COUNTIFS(CH$4:CH$40,"&lt;"&amp;CH22,CH$4:CH$40,"&lt;&gt;"&amp;"")+COUNTIF(CH$4:CH22,CH22))</f>
        <v/>
      </c>
      <c r="CJ22" s="55">
        <f>IF(ROW()-3&gt;COUNTIF(CH$4:CH$40,"&lt;&gt;"&amp;""),"",INDEX(CH$4:CH$40,MATCH(ROW()-3,CI$4:CI$40,0)))</f>
        <v/>
      </c>
      <c r="CK22">
        <f>CK21+IF(AND(CJ22&lt;&gt;"",COUNTIF(CJ$4:CJ22,CJ22)=1),1,0)</f>
        <v/>
      </c>
      <c r="CL22" s="55">
        <f>IF(ROW()-3&gt;MAX(CK$4:CK$40),"",INDEX(CJ$4:CJ$40,MATCH(ROW()-3,CK$4:CK$40,0)))</f>
        <v/>
      </c>
      <c r="CM22" s="139">
        <f>IF('Final Calculation Sheet'!$Q$22="","",'Final Calculation Sheet'!$Q$22)</f>
        <v/>
      </c>
      <c r="CN22">
        <f>IF(CM22="","",COUNTIFS(CM$4:CM$40,"&lt;"&amp;CM22,CM$4:CM$40,"&lt;&gt;"&amp;"")+COUNTIF(CM$4:CM22,CM22))</f>
        <v/>
      </c>
      <c r="CO22" s="139">
        <f>IF(ROW()-3&gt;COUNTIF(CM$4:CM$40,"&lt;&gt;"&amp;""),"",INDEX(CM$4:CM$40,MATCH(ROW()-3,CN$4:CN$40,0)))</f>
        <v/>
      </c>
      <c r="CP22">
        <f>CP21+IF(AND(CO22&lt;&gt;"",COUNTIF(CO$4:CO22,CO22)=1),1,0)</f>
        <v/>
      </c>
      <c r="CQ22">
        <f>IF(ROW()-3&gt;MAX(CP$4:CP$40),"",INDEX(CO$4:CO$40,MATCH(ROW()-3,CP$4:CP$40,0)))</f>
        <v/>
      </c>
      <c r="CR22" s="55">
        <f>IF('Final Calculation Sheet'!$R$22="","",'Final Calculation Sheet'!$R$22)</f>
        <v/>
      </c>
      <c r="CS22">
        <f>IF(CR22="","",COUNTIFS(CR$4:CR$40,"&lt;"&amp;CR22,CR$4:CR$40,"&lt;&gt;"&amp;"")+COUNTIF(CR$4:CR22,CR22))</f>
        <v/>
      </c>
      <c r="CT22" s="55">
        <f>IF(ROW()-3&gt;COUNTIF(CR$4:CR$40,"&lt;&gt;"&amp;""),"",INDEX(CR$4:CR$40,MATCH(ROW()-3,CS$4:CS$40,0)))</f>
        <v/>
      </c>
      <c r="CU22">
        <f>CU21+IF(AND(CT22&lt;&gt;"",COUNTIF(CT$4:CT22,CT22)=1),1,0)</f>
        <v/>
      </c>
      <c r="CV22">
        <f>IF(ROW()-3&gt;MAX(CU$4:CU$40),"",INDEX(CT$4:CT$40,MATCH(ROW()-3,CU$4:CU$40,0)))</f>
        <v/>
      </c>
      <c r="CW22" s="55">
        <f>IF('Final Calculation Sheet'!$S$22="","",'Final Calculation Sheet'!$S$22)</f>
        <v/>
      </c>
      <c r="CX22">
        <f>IF(CW22="","",COUNTIFS(CW$4:CW$40,"&lt;"&amp;CW22,CW$4:CW$40,"&lt;&gt;"&amp;"")+COUNTIF(CW$4:CW22,CW22))</f>
        <v/>
      </c>
      <c r="CY22" s="55">
        <f>IF(ROW()-3&gt;COUNTIF(CW$4:CW$40,"&lt;&gt;"&amp;""),"",INDEX(CW$4:CW$40,MATCH(ROW()-3,CX$4:CX$40,0)))</f>
        <v/>
      </c>
      <c r="CZ22">
        <f>CZ21+IF(AND(CY22&lt;&gt;"",COUNTIF(CY$4:CY22,CY22)=1),1,0)</f>
        <v/>
      </c>
      <c r="DA22" s="55">
        <f>IF(ROW()-3&gt;MAX(CZ$4:CZ$40),"",INDEX(CY$4:CY$40,MATCH(ROW()-3,CZ$4:CZ$40,0)))</f>
        <v/>
      </c>
      <c r="DB22" s="55">
        <f>IF('Final Calculation Sheet'!$T$22="","",'Final Calculation Sheet'!$T$22)</f>
        <v/>
      </c>
      <c r="DC22">
        <f>IF(DB22="","",COUNTIFS(DB$4:DB$40,"&lt;"&amp;DB22,DB$4:DB$40,"&lt;&gt;"&amp;"")+COUNTIF(DB$4:DB22,DB22))</f>
        <v/>
      </c>
      <c r="DD22" s="55">
        <f>IF(ROW()-3&gt;COUNTIF(DB$4:DB$40,"&lt;&gt;"&amp;""),"",INDEX(DB$4:DB$40,MATCH(ROW()-3,DC$4:DC$40,0)))</f>
        <v/>
      </c>
      <c r="DE22">
        <f>DE21+IF(AND(DD22&lt;&gt;"",COUNTIF(DD$4:DD22,DD22)=1),1,0)</f>
        <v/>
      </c>
      <c r="DF22" s="55">
        <f>IF(ROW()-3&gt;MAX(DE$4:DE$40),"",INDEX(DD$4:DD$40,MATCH(ROW()-3,DE$4:DE$40,0)))</f>
        <v/>
      </c>
      <c r="DG22" s="140">
        <f>IF('Final Calculation Sheet'!$U$22="","",'Final Calculation Sheet'!$U$22)</f>
        <v/>
      </c>
      <c r="DH22">
        <f>IF(DG22="","",COUNTIFS(DG$4:DG$40,"&lt;"&amp;DG22,DG$4:DG$40,"&lt;&gt;"&amp;"")+COUNTIF(DG$4:DG22,DG22))</f>
        <v/>
      </c>
      <c r="DI22" s="140">
        <f>IF(ROW()-3&gt;COUNTIF(DG$4:DG$40,"&lt;&gt;"&amp;""),"",INDEX(DG$4:DG$40,MATCH(ROW()-3,DH$4:DH$40,0)))</f>
        <v/>
      </c>
      <c r="DJ22">
        <f>DJ21+IF(AND(DI22&lt;&gt;"",COUNTIF(DI$4:DI22,DI22)=1),1,0)</f>
        <v/>
      </c>
      <c r="DK22" s="140">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s="55">
        <f>IF('Final Calculation Sheet'!$W$22="","",'Final Calculation Sheet'!$W$22)</f>
        <v/>
      </c>
      <c r="DR22">
        <f>IF(DQ22="","",COUNTIFS(DQ$4:DQ$40,"&lt;"&amp;DQ22,DQ$4:DQ$40,"&lt;&gt;"&amp;"")+COUNTIF(DQ$4:DQ22,DQ22))</f>
        <v/>
      </c>
      <c r="DS22" s="55">
        <f>IF(ROW()-3&gt;COUNTIF(DQ$4:DQ$40,"&lt;&gt;"&amp;""),"",INDEX(DQ$4:DQ$40,MATCH(ROW()-3,DR$4:DR$40,0)))</f>
        <v/>
      </c>
      <c r="DT22">
        <f>DT21+IF(AND(DS22&lt;&gt;"",COUNTIF(DS$4:DS22,DS22)=1),1,0)</f>
        <v/>
      </c>
      <c r="DU22" s="55">
        <f>IF(ROW()-3&gt;MAX(DT$4:DT$40),"",INDEX(DS$4:DS$40,MATCH(ROW()-3,DT$4:DT$40,0)))</f>
        <v/>
      </c>
      <c r="DV22" s="55">
        <f>IF('Final Calculation Sheet'!$X$22="","",'Final Calculation Sheet'!$X$22)</f>
        <v/>
      </c>
      <c r="DW22">
        <f>IF(DV22="","",COUNTIFS(DV$4:DV$40,"&lt;"&amp;DV22,DV$4:DV$40,"&lt;&gt;"&amp;"")+COUNTIF(DV$4:DV22,DV22))</f>
        <v/>
      </c>
      <c r="DX22" s="55">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s="55">
        <f>IF('Final Calculation Sheet'!$Z$22="","",'Final Calculation Sheet'!$Z$22)</f>
        <v/>
      </c>
      <c r="EG22">
        <f>IF(EF22="","",COUNTIFS(EF$4:EF$40,"&lt;"&amp;EF22,EF$4:EF$40,"&lt;&gt;"&amp;"")+COUNTIF(EF$4:EF22,EF22))</f>
        <v/>
      </c>
      <c r="EH22" s="55">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s="55">
        <f>IF('Final Calculation Sheet'!$AC$22="","",'Final Calculation Sheet'!$AC$22)</f>
        <v/>
      </c>
      <c r="EV22">
        <f>IF(EU22="","",COUNTIFS(EU$4:EU$40,"&lt;"&amp;EU22,EU$4:EU$40,"&lt;&gt;"&amp;"")+COUNTIF(EU$4:EU22,EU22))</f>
        <v/>
      </c>
      <c r="EW22" s="55">
        <f>IF(ROW()-3&gt;COUNTIF(EU$4:EU$40,"&lt;&gt;"&amp;""),"",INDEX(EU$4:EU$40,MATCH(ROW()-3,EV$4:EV$40,0)))</f>
        <v/>
      </c>
      <c r="EX22">
        <f>EX21+IF(AND(EW22&lt;&gt;"",COUNTIF(EW$4:EW22,EW22)=1),1,0)</f>
        <v/>
      </c>
      <c r="EY22" s="55">
        <f>IF(ROW()-3&gt;MAX(EX$4:EX$40),"",INDEX(EW$4:EW$40,MATCH(ROW()-3,EX$4:EX$40,0)))</f>
        <v/>
      </c>
      <c r="EZ22" s="55">
        <f>IF('Final Calculation Sheet'!$AD$22="","",'Final Calculation Sheet'!$AD$22)</f>
        <v/>
      </c>
      <c r="FA22">
        <f>IF(EZ22="","",COUNTIFS(EZ$4:EZ$40,"&lt;"&amp;EZ22,EZ$4:EZ$40,"&lt;&gt;"&amp;"")+COUNTIF(EZ$4:EZ22,EZ22))</f>
        <v/>
      </c>
      <c r="FB22" s="55">
        <f>IF(ROW()-3&gt;COUNTIF(EZ$4:EZ$40,"&lt;&gt;"&amp;""),"",INDEX(EZ$4:EZ$40,MATCH(ROW()-3,FA$4:FA$40,0)))</f>
        <v/>
      </c>
      <c r="FC22">
        <f>FC21+IF(AND(FB22&lt;&gt;"",COUNTIF(FB$4:FB22,FB22)=1),1,0)</f>
        <v/>
      </c>
      <c r="FD22">
        <f>IF(ROW()-3&gt;MAX(FC$4:FC$40),"",INDEX(FB$4:FB$40,MATCH(ROW()-3,FC$4:FC$40,0)))</f>
        <v/>
      </c>
      <c r="FE22">
        <f>IF('Final Calculation Sheet'!$AF$22="","",'Final Calculation Sheet'!$AF$22)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s="141">
        <f>IF('Final Calculation Sheet'!$AG$22="","",'Final Calculation Sheet'!$AG$22)</f>
        <v/>
      </c>
      <c r="FK22">
        <f>IF(FJ22="","",COUNTIFS(FJ$4:FJ$40,"&lt;"&amp;FJ22,FJ$4:FJ$40,"&lt;&gt;"&amp;"")+COUNTIF(FJ$4:FJ22,FJ22))</f>
        <v/>
      </c>
      <c r="FL22" s="141">
        <f>IF(ROW()-3&gt;COUNTIF(FJ$4:FJ$40,"&lt;&gt;"&amp;""),"",INDEX(FJ$4:FJ$40,MATCH(ROW()-3,FK$4:FK$40,0)))</f>
        <v/>
      </c>
      <c r="FM22">
        <f>FM21+IF(AND(FL22&lt;&gt;"",COUNTIF(FL$4:FL22,FL22)=1),1,0)</f>
        <v/>
      </c>
      <c r="FN22">
        <f>IF(ROW()-3&gt;MAX(FM$4:FM$40),"",INDEX(FL$4:FL$40,MATCH(ROW()-3,FM$4:FM$40,0)))</f>
        <v/>
      </c>
      <c r="FO22">
        <f>IF('Final Calculation Sheet'!$AH$22="","",'Final Calculation Sheet'!$AH$22)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c r="FY22">
        <f>IF(COUNTIF('Live Search'!BM$21:BO$21,0)+COUNTIF('Live Search'!BQ$21:CU$21,0)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2">
        <f>IF($Y$22="",FALSE,SUMPRODUCT(('Final Calculation Sheet'!$B$4:$B$40=$Y$22)*($FY$6:$FY$42=1))&gt;0)</f>
        <v/>
      </c>
      <c r="GA22">
        <f>$GA$21+--($FZ$22)</f>
        <v/>
      </c>
      <c r="GB22">
        <f>IF(ROW()-3&gt;MAX($GA$4:$GA$40),"",INDEX($Y$4:$Y$40,MATCH(ROW()-3,$GA$4:$GA$40,0)))</f>
        <v/>
      </c>
      <c r="GC22">
        <f>IF(COUNTIF('Live Search'!BM$21:BM$21,0)+COUNTIF('Live Search'!BO$21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D22">
        <f>IF($O$22="",FALSE,SUMPRODUCT(('Final Calculation Sheet'!$F$4:$F$40=$O$22)*($GC$6:$GC$42=1))&gt;0)</f>
        <v/>
      </c>
      <c r="GE22">
        <f>$GE$21+--($GD22)</f>
        <v/>
      </c>
      <c r="GF22">
        <f>IF(ROW()-3&gt;MAX($GE$4:$GE$40),"",INDEX($O$4:$O$40,MATCH(ROW()-3,$GE$4:$GE$40,0)))</f>
        <v/>
      </c>
      <c r="GG22">
        <f>IF(COUNTIF('Live Search'!BM$21:BN$21,0)+COUNTIF('Live Search'!BP$21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H22">
        <f>IF($T$22="",FALSE,SUMPRODUCT(('Final Calculation Sheet'!$G$4:$G$40=$T$22)*($GG$6:$GG$42=1))&gt;0)</f>
        <v/>
      </c>
      <c r="GI22">
        <f>$GI$21+--($GH22)</f>
        <v/>
      </c>
      <c r="GJ22">
        <f>IF(ROW()-3&gt;MAX($GI$4:$GI$40),"",INDEX($T$4:$T$40,MATCH(ROW()-3,$GI$4:$GI$40,0)))</f>
        <v/>
      </c>
      <c r="GK22">
        <f>IF(COUNTIF('Live Search'!BM$21:BP$21,0)+COUNTIF('Live Search'!BR$21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L22">
        <f>IF($AD$22="",FALSE,SUMPRODUCT(('Final Calculation Sheet'!$D$4:$D$40=$AD$22)*($GK$6:$GK$42=1))&gt;0)</f>
        <v/>
      </c>
      <c r="GM22">
        <f>$GM$21+--($GL22)</f>
        <v/>
      </c>
      <c r="GN22">
        <f>IF(ROW()-3&gt;MAX($GM$4:$GM$40),"",INDEX($AD$4:$AD$40,MATCH(ROW()-3,$GM$4:$GM$40,0)))</f>
        <v/>
      </c>
      <c r="GO22">
        <f>IF(COUNTIF('Live Search'!BM$21:BQ$21,0)+COUNTIF('Live Search'!BS$21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P22">
        <f>IF($AI$22="",FALSE,SUMPRODUCT(('Final Calculation Sheet'!$A$4:$A$40=$AI$22)*($GO$6:$GO$42=1))&gt;0)</f>
        <v/>
      </c>
      <c r="GQ22">
        <f>$GQ$21+--($GP22)</f>
        <v/>
      </c>
      <c r="GR22">
        <f>IF(ROW()-3&gt;MAX($GQ$4:$GQ$40),"",INDEX($AI$4:$AI$40,MATCH(ROW()-3,$GQ$4:$GQ$40,0)))</f>
        <v/>
      </c>
      <c r="GS22">
        <f>IF(COUNTIF('Live Search'!BM$21:BR$21,0)+COUNTIF('Live Search'!BT$21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T22">
        <f>IF($AN$22="",FALSE,SUMPRODUCT(('Final Calculation Sheet'!$E$4:$E$40=$AN$22)*($GS$6:$GS$42=1))&gt;0)</f>
        <v/>
      </c>
      <c r="GU22">
        <f>$GU$21+--($GT22)</f>
        <v/>
      </c>
      <c r="GV22">
        <f>IF(ROW()-3&gt;MAX($GU$4:$GU$40),"",INDEX($AN$4:$AN$40,MATCH(ROW()-3,$GU$4:$GU$40,0)))</f>
        <v/>
      </c>
      <c r="GW22">
        <f>IF(COUNTIF('Live Search'!BM$21:BS$21,0)+COUNTIF('Live Search'!BU$21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GX22">
        <f>IF($AS$22="",FALSE,SUMPRODUCT(('Final Calculation Sheet'!$C$4:$C$40=$AS$22)*($GW$6:$GW$42=1))&gt;0)</f>
        <v/>
      </c>
      <c r="GY22">
        <f>$GY$21+--($GX22)</f>
        <v/>
      </c>
      <c r="GZ22">
        <f>IF(ROW()-3&gt;MAX($GY$4:$GY$40),"",INDEX($AS$4:$AS$40,MATCH(ROW()-3,$GY$4:$GY$40,0)))</f>
        <v/>
      </c>
      <c r="HA22">
        <f>IF(COUNTIF('Live Search'!BM$21:BT$21,0)+COUNTIF('Live Search'!BV$21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B22">
        <f>IF($AX$22="",FALSE,SUMPRODUCT(('Final Calculation Sheet'!$H$4:$H$40=$AX$22)*($HA$6:$HA$42=1))&gt;0)</f>
        <v/>
      </c>
      <c r="HC22">
        <f>$HC$21+--($HB22)</f>
        <v/>
      </c>
      <c r="HD22">
        <f>IF(ROW()-3&gt;MAX($HC$4:$HC$40),"",INDEX($AX$4:$AX$40,MATCH(ROW()-3,$HC$4:$HC$40,0)))</f>
        <v/>
      </c>
      <c r="HE22">
        <f>IF(COUNTIF('Live Search'!BM$21:BU$21,0)+COUNTIF('Live Search'!BW$21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F22">
        <f>IF($BC$22="",FALSE,SUMPRODUCT(('Final Calculation Sheet'!$I$4:$I$40=$BC$22)*($HE$6:$HE$42=1))&gt;0)</f>
        <v/>
      </c>
      <c r="HG22">
        <f>$HG$21+--($HF22)</f>
        <v/>
      </c>
      <c r="HH22">
        <f>IF(ROW()-3&gt;MAX($HG$4:$HG$40),"",INDEX($BC$4:$BC$40,MATCH(ROW()-3,$HG$4:$HG$40,0)))</f>
        <v/>
      </c>
      <c r="HI22">
        <f>IF(COUNTIF('Live Search'!BM$21:BV$21,0)+COUNTIF('Live Search'!BX$21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J22">
        <f>IF($BH$22="",FALSE,SUMPRODUCT(('Final Calculation Sheet'!$J$4:$J$40=$BH$22)*($HI$6:$HI$42=1))&gt;0)</f>
        <v/>
      </c>
      <c r="HK22">
        <f>$HK$21+--($HJ22)</f>
        <v/>
      </c>
      <c r="HL22">
        <f>IF(ROW()-3&gt;MAX($HK$4:$HK$40),"",INDEX($BH$4:$BH$40,MATCH(ROW()-3,$HK$4:$HK$40,0)))</f>
        <v/>
      </c>
      <c r="HM22">
        <f>IF(COUNTIF('Live Search'!BM$21:BW$21,0)+COUNTIF('Live Search'!BY$21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N22">
        <f>IF($BM$22="",FALSE,SUMPRODUCT(('Final Calculation Sheet'!$K$4:$K$40=$BM$22)*($HM$6:$HM$42=1))&gt;0)</f>
        <v/>
      </c>
      <c r="HO22">
        <f>$HO$21+--($HN22)</f>
        <v/>
      </c>
      <c r="HP22">
        <f>IF(ROW()-3&gt;MAX($HO$4:$HO$40),"",INDEX($BM$4:$BM$40,MATCH(ROW()-3,$HO$4:$HO$40,0)))</f>
        <v/>
      </c>
      <c r="HQ22">
        <f>IF(COUNTIF('Live Search'!BM$21:BX$21,0)+COUNTIF('Live Search'!BZ$21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R22">
        <f>IF($BR$22="",FALSE,SUMPRODUCT(('Final Calculation Sheet'!$L$4:$L$40=$BR$22)*($HQ$6:$HQ$42=1))&gt;0)</f>
        <v/>
      </c>
      <c r="HS22">
        <f>$HS$21+--($HR22)</f>
        <v/>
      </c>
      <c r="HT22">
        <f>IF(ROW()-3&gt;MAX($HS$4:$HS$40),"",INDEX($BR$4:$BR$40,MATCH(ROW()-3,$HS$4:$HS$40,0)))</f>
        <v/>
      </c>
      <c r="HU22">
        <f>IF(COUNTIF('Live Search'!BM$21:BY$21,0)+COUNTIF('Live Search'!CA$21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V22">
        <f>IF($BW$22="",FALSE,SUMPRODUCT(('Final Calculation Sheet'!$M$4:$M$40=$BW$22)*($HU$6:$HU$42=1))&gt;0)</f>
        <v/>
      </c>
      <c r="HW22">
        <f>$HW$21+--($HV22)</f>
        <v/>
      </c>
      <c r="HX22">
        <f>IF(ROW()-3&gt;MAX($HW$4:$HW$40),"",INDEX($BW$4:$BW$40,MATCH(ROW()-3,$HW$4:$HW$40,0)))</f>
        <v/>
      </c>
      <c r="HY22">
        <f>IF(COUNTIF('Live Search'!BM$21:BZ$21,0)+COUNTIF('Live Search'!CB$21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HZ22">
        <f>IF($CB$22="",FALSE,SUMPRODUCT(('Final Calculation Sheet'!$N$4:$N$40=$CB$22)*($HY$6:$HY$42=1))&gt;0)</f>
        <v/>
      </c>
      <c r="IA22">
        <f>$IA$21+--($HZ22)</f>
        <v/>
      </c>
      <c r="IB22">
        <f>IF(ROW()-3&gt;MAX($IA$4:$IA$40),"",INDEX($CB$4:$CB$40,MATCH(ROW()-3,$IA$4:$IA$40,0)))</f>
        <v/>
      </c>
      <c r="IC22">
        <f>IF(COUNTIF('Live Search'!BM$21:CA$21,0)+COUNTIF('Live Search'!CC$21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D22">
        <f>IF($CG$22="",FALSE,SUMPRODUCT(('Final Calculation Sheet'!$O$4:$O$40=$CG$22)*($IC$6:$IC$42=1))&gt;0)</f>
        <v/>
      </c>
      <c r="IE22">
        <f>$IE$21+--($ID22)</f>
        <v/>
      </c>
      <c r="IF22">
        <f>IF(ROW()-3&gt;MAX($IE$4:$IE$40),"",INDEX($CG$4:$CG$40,MATCH(ROW()-3,$IE$4:$IE$40,0)))</f>
        <v/>
      </c>
      <c r="IG22">
        <f>IF(COUNTIF('Live Search'!BM$21:CB$21,0)+COUNTIF('Live Search'!CD$21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H22">
        <f>IF($CL$22="",FALSE,SUMPRODUCT(('Final Calculation Sheet'!$P$4:$P$40=$CL$22)*($IG$6:$IG$42=1))&gt;0)</f>
        <v/>
      </c>
      <c r="II22">
        <f>$II$21+--($IH22)</f>
        <v/>
      </c>
      <c r="IJ22">
        <f>IF(ROW()-3&gt;MAX($II$4:$II$40),"",INDEX($CL$4:$CL$40,MATCH(ROW()-3,$II$4:$II$40,0)))</f>
        <v/>
      </c>
      <c r="IK22">
        <f>IF(COUNTIF('Live Search'!BM$21:CC$21,0)+COUNTIF('Live Search'!CE$21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L22">
        <f>IF($CQ$22="",FALSE,SUMPRODUCT(('Final Calculation Sheet'!$Q$4:$Q$40=$CQ$22)*($IK$6:$IK$42=1))&gt;0)</f>
        <v/>
      </c>
      <c r="IM22">
        <f>$IM$21+--($IL22)</f>
        <v/>
      </c>
      <c r="IN22">
        <f>IF(ROW()-3&gt;MAX($IM$4:$IM$40),"",INDEX($CQ$4:$CQ$40,MATCH(ROW()-3,$IM$4:$IM$40,0)))</f>
        <v/>
      </c>
      <c r="IO22">
        <f>IF(COUNTIF('Live Search'!BM$21:CD$21,0)+COUNTIF('Live Search'!CF$21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P22">
        <f>IF($CV$22="",FALSE,SUMPRODUCT(('Final Calculation Sheet'!$R$4:$R$40=$CV$22)*($IO$6:$IO$42=1))&gt;0)</f>
        <v/>
      </c>
      <c r="IQ22">
        <f>$IQ$21+--($IP22)</f>
        <v/>
      </c>
      <c r="IR22">
        <f>IF(ROW()-3&gt;MAX($IQ$4:$IQ$40),"",INDEX($CV$4:$CV$40,MATCH(ROW()-3,$IQ$4:$IQ$40,0)))</f>
        <v/>
      </c>
      <c r="IS22">
        <f>IF(COUNTIF('Live Search'!BM$21:CE$21,0)+COUNTIF('Live Search'!CG$21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T22">
        <f>IF($DA$22="",FALSE,SUMPRODUCT(('Final Calculation Sheet'!$S$4:$S$40=$DA$22)*($IS$6:$IS$42=1))&gt;0)</f>
        <v/>
      </c>
      <c r="IU22">
        <f>$IU$21+--($IT22)</f>
        <v/>
      </c>
      <c r="IV22">
        <f>IF(ROW()-3&gt;MAX($IU$4:$IU$40),"",INDEX($DA$4:$DA$40,MATCH(ROW()-3,$IU$4:$IU$40,0)))</f>
        <v/>
      </c>
      <c r="IW22">
        <f>IF(COUNTIF('Live Search'!BM$21:CF$21,0)+COUNTIF('Live Search'!CH$21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IX22">
        <f>IF($DF$22="",FALSE,SUMPRODUCT(('Final Calculation Sheet'!$T$4:$T$40=$DF$22)*($IW$6:$IW$42=1))&gt;0)</f>
        <v/>
      </c>
      <c r="IY22">
        <f>$IY$21+--($IX22)</f>
        <v/>
      </c>
      <c r="IZ22">
        <f>IF(ROW()-3&gt;MAX($IY$4:$IY$40),"",INDEX($DF$4:$DF$40,MATCH(ROW()-3,$IY$4:$IY$40,0)))</f>
        <v/>
      </c>
      <c r="JA22">
        <f>IF(COUNTIF('Live Search'!BM$21:CG$21,0)+COUNTIF('Live Search'!CI$21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B22">
        <f>IF($DK$22="",FALSE,SUMPRODUCT(('Final Calculation Sheet'!$U$4:$U$40=$DK$22)*($JA$6:$JA$42=1))&gt;0)</f>
        <v/>
      </c>
      <c r="JC22">
        <f>$JC$21+--($JB22)</f>
        <v/>
      </c>
      <c r="JD22">
        <f>IF(ROW()-3&gt;MAX($JC$4:$JC$40),"",INDEX($DK$4:$DK$40,MATCH(ROW()-3,$JC$4:$JC$40,0)))</f>
        <v/>
      </c>
      <c r="JE22">
        <f>IF(COUNTIF('Live Search'!BM$21:CH$21,0)+COUNTIF('Live Search'!CJ$21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F22">
        <f>IF($DP$22="",FALSE,SUMPRODUCT(('Final Calculation Sheet'!$V$4:$V$40=$DP$22)*($JE$6:$JE$42=1))&gt;0)</f>
        <v/>
      </c>
      <c r="JG22">
        <f>$JG$21+--($JF22)</f>
        <v/>
      </c>
      <c r="JH22">
        <f>IF(ROW()-3&gt;MAX($JG$4:$JG$40),"",INDEX($DP$4:$DP$40,MATCH(ROW()-3,$JG$4:$JG$40,0)))</f>
        <v/>
      </c>
      <c r="JI22">
        <f>IF(COUNTIF('Live Search'!BM$21:CI$21,0)+COUNTIF('Live Search'!CK$21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J22">
        <f>IF($DU$22="",FALSE,SUMPRODUCT(('Final Calculation Sheet'!$W$4:$W$40=$DU$22)*($JI$6:$JI$42=1))&gt;0)</f>
        <v/>
      </c>
      <c r="JK22">
        <f>$JK$21+--($JJ22)</f>
        <v/>
      </c>
      <c r="JL22">
        <f>IF(ROW()-3&gt;MAX($JK$4:$JK$40),"",INDEX($DU$4:$DU$40,MATCH(ROW()-3,$JK$4:$JK$40,0)))</f>
        <v/>
      </c>
      <c r="JM22">
        <f>IF(COUNTIF('Live Search'!BM$21:CJ$21,0)+COUNTIF('Live Search'!CL$21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N22">
        <f>IF($DZ$22="",FALSE,SUMPRODUCT(('Final Calculation Sheet'!$X$4:$X$40=$DZ$22)*($JM$6:$JM$42=1))&gt;0)</f>
        <v/>
      </c>
      <c r="JO22">
        <f>$JO$21+--($JN22)</f>
        <v/>
      </c>
      <c r="JP22">
        <f>IF(ROW()-3&gt;MAX($JO$4:$JO$40),"",INDEX($DZ$4:$DZ$40,MATCH(ROW()-3,$JO$4:$JO$40,0)))</f>
        <v/>
      </c>
      <c r="JQ22">
        <f>IF(COUNTIF('Live Search'!BM$21:CK$21,0)+COUNTIF('Live Search'!C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R22">
        <f>IF($EE$22="",FALSE,SUMPRODUCT(('Final Calculation Sheet'!$Y$4:$Y$40=$EE$22)*($JQ$6:$JQ$42=1))&gt;0)</f>
        <v/>
      </c>
      <c r="JS22">
        <f>$JS$21+--($JR22)</f>
        <v/>
      </c>
      <c r="JT22">
        <f>IF(ROW()-3&gt;MAX($JS$4:$JS$40),"",INDEX($EE$4:$EE$40,MATCH(ROW()-3,$JS$4:$JS$40,0)))</f>
        <v/>
      </c>
      <c r="JU22">
        <f>IF(COUNTIF('Live Search'!BM$21:CL$21,0)+COUNTIF('Live Search'!CN$21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V22">
        <f>IF($EJ$22="",FALSE,SUMPRODUCT(('Final Calculation Sheet'!$Z$4:$Z$40=$EJ$22)*($JU$6:$JU$42=1))&gt;0)</f>
        <v/>
      </c>
      <c r="JW22">
        <f>$JW$21+--($JV22)</f>
        <v/>
      </c>
      <c r="JX22">
        <f>IF(ROW()-3&gt;MAX($JW$4:$JW$40),"",INDEX($EJ$4:$EJ$40,MATCH(ROW()-3,$JW$4:$JW$40,0)))</f>
        <v/>
      </c>
      <c r="JY22">
        <f>IF(COUNTIF('Live Search'!BM$21:CM$21,0)+COUNTIF('Live Search'!CO$21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JZ22">
        <f>IF($EO$22="",FALSE,SUMPRODUCT(('Final Calculation Sheet'!$AA$4:$AA$40=$EO$22)*($JY$6:$JY$42=1))&gt;0)</f>
        <v/>
      </c>
      <c r="KA22">
        <f>$KA$21+--($JZ22)</f>
        <v/>
      </c>
      <c r="KB22">
        <f>IF(ROW()-3&gt;MAX($KA$4:$KA$40),"",INDEX($EO$4:$EO$40,MATCH(ROW()-3,$KA$4:$KA$40,0)))</f>
        <v/>
      </c>
      <c r="KC22">
        <f>IF(COUNTIF('Live Search'!BM$21:CN$21,0)+COUNTIF('Live Search'!CP$21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D22">
        <f>IF($ET$22="",FALSE,SUMPRODUCT(('Final Calculation Sheet'!$AB$4:$AB$40=$ET$22)*($KC$6:$KC$42=1))&gt;0)</f>
        <v/>
      </c>
      <c r="KE22">
        <f>$KE$21+--($KD22)</f>
        <v/>
      </c>
      <c r="KF22">
        <f>IF(ROW()-3&gt;MAX($KE$4:$KE$40),"",INDEX($ET$4:$ET$40,MATCH(ROW()-3,$KE$4:$KE$40,0)))</f>
        <v/>
      </c>
      <c r="KG22">
        <f>IF(COUNTIF('Live Search'!BM$21:CO$21,0)+COUNTIF('Live Search'!CQ$21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H22">
        <f>IF($EY$22="",FALSE,SUMPRODUCT(('Final Calculation Sheet'!$AC$4:$AC$40=$EY$22)*($KG$6:$KG$42=1))&gt;0)</f>
        <v/>
      </c>
      <c r="KI22">
        <f>$KI$21+--($KH22)</f>
        <v/>
      </c>
      <c r="KJ22">
        <f>IF(ROW()-3&gt;MAX($KI$4:$KI$40),"",INDEX($EY$4:$EY$40,MATCH(ROW()-3,$KI$4:$KI$40,0)))</f>
        <v/>
      </c>
      <c r="KK22">
        <f>IF(COUNTIF('Live Search'!BM$21:CP$21,0)+COUNTIF('Live Search'!CR$21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L22">
        <f>IF($FD$22="",FALSE,SUMPRODUCT(('Final Calculation Sheet'!$AD$4:$AD$40=$FD$22)*($KK$6:$KK$42=1))&gt;0)</f>
        <v/>
      </c>
      <c r="KM22">
        <f>$KM$21+--($KL22)</f>
        <v/>
      </c>
      <c r="KN22">
        <f>IF(ROW()-3&gt;MAX($KM$4:$KM$40),"",INDEX($FD$4:$FD$40,MATCH(ROW()-3,$KM$4:$KM$40,0)))</f>
        <v/>
      </c>
      <c r="KO22">
        <f>IF(COUNTIF('Live Search'!BM$21:CT$21,0)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P22">
        <f>IF($FX$22="",FALSE,SUMPRODUCT((IF('Final Calculation Sheet'!$AD$4:$AD$40&lt;=5,"SETTLED","OUTSTANDING")=$FX$22)*($KO$6:$KO$42=1))&gt;0)</f>
        <v/>
      </c>
      <c r="KQ22">
        <f>$KQ$21+--($KP22)</f>
        <v/>
      </c>
      <c r="KR22">
        <f>IF(ROW()-3&gt;MAX($KQ$4:$KQ$40),"",INDEX($FX$4:$FX$40,MATCH(ROW()-3,$KQ$4:$KQ$40,0)))</f>
        <v/>
      </c>
      <c r="KS22">
        <f>IF(COUNTIF('Live Search'!BM$21:CQ$21,0)+COUNTIF('Live Search'!CS$21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T22">
        <f>IF($FI$22="",FALSE,SUMPRODUCT(('Final Calculation Sheet'!$AF$4:$AF$40=$FI$22)*($KS$6:$KS$42=1))&gt;0)</f>
        <v/>
      </c>
      <c r="KU22">
        <f>$KU$21+--($KT22)</f>
        <v/>
      </c>
      <c r="KV22">
        <f>IF(ROW()-3&gt;MAX($KU$4:$KU$40),"",INDEX($FI$4:$FI$40,MATCH(ROW()-3,$KU$4:$KU$40,0)))</f>
        <v/>
      </c>
      <c r="KW22">
        <f>IF(COUNTIF('Live Search'!BM$21:CR$21,0)+COUNTIF('Live Search'!CT$21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KX22">
        <f>IF($FN$22="",FALSE,SUMPRODUCT(('Final Calculation Sheet'!$AG$4:$AG$40=$FN$22)*($KW$6:$KW$42=1))&gt;0)</f>
        <v/>
      </c>
      <c r="KY22">
        <f>$KY$21+--($KX22)</f>
        <v/>
      </c>
      <c r="KZ22">
        <f>IF(ROW()-3&gt;MAX($KY$4:$KY$40),"",INDEX($FN$4:$FN$40,MATCH(ROW()-3,$KY$4:$KY$40,0)))</f>
        <v/>
      </c>
      <c r="LA22">
        <f>IF(COUNTIF('Live Search'!BM$21:CS$21,0)+COUNTIF('Live Search'!CU$21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LB22">
        <f>IF($FS$22="",FALSE,SUMPRODUCT(('Final Calculation Sheet'!$AH$4:$AH$40=$FS$22)*($LA$6:$LA$42=1))&gt;0)</f>
        <v/>
      </c>
      <c r="LC22">
        <f>$LC$21+--($LB22)</f>
        <v/>
      </c>
      <c r="LD22">
        <f>IF(ROW()-3&gt;MAX($LC$4:$LC$40),"",INDEX($FS$4:$FS$40,MATCH(ROW()-3,$LC$4:$LC$40,0)))</f>
        <v/>
      </c>
      <c r="LE22">
        <f>IF(COUNTIF('Buyer Groups'!DH75:EN75,0)&gt;0,0,1)</f>
        <v/>
      </c>
      <c r="LF22">
        <f>IF($O$22="",FALSE,SUMPRODUCT(('Final Calculation Sheet'!$F$4:$F$40=$O$22)*($LE$6:$LE$42=1))&gt;0)</f>
        <v/>
      </c>
      <c r="LG22">
        <f>$LG$21+--($LF22)</f>
        <v/>
      </c>
      <c r="LH22">
        <f>IF(ROW()-3&gt;MAX($LG$4:$LG$40),"",INDEX($O$4:$O$40,MATCH(ROW()-3,$LG$4:$LG$40,0)))</f>
        <v/>
      </c>
      <c r="LI22">
        <f>IF(COUNTIF('Buyer Groups'!DG75:DG75,0)+COUNTIF('Buyer Groups'!DI75:EN75,0)&gt;0,0,1)</f>
        <v/>
      </c>
      <c r="LJ22">
        <f>IF($T$22="",FALSE,SUMPRODUCT(('Final Calculation Sheet'!$G$4:$G$40=$T$22)*($LI$6:$LI$42=1))&gt;0)</f>
        <v/>
      </c>
      <c r="LK22">
        <f>$LK$21+--($LJ22)</f>
        <v/>
      </c>
      <c r="LL22">
        <f>IF(ROW()-3&gt;MAX($LK$4:$LK$40),"",INDEX($T$4:$T$40,MATCH(ROW()-3,$LK$4:$LK$40,0)))</f>
        <v/>
      </c>
      <c r="LM22">
        <f>IF(COUNTIF('Buyer Groups'!DG75:DH75,0)+COUNTIF('Buyer Groups'!DJ75:EN75,0)&gt;0,0,1)</f>
        <v/>
      </c>
      <c r="LN22">
        <f>IF($Y$22="",FALSE,SUMPRODUCT(('Final Calculation Sheet'!$B$4:$B$40=$Y$22)*($LM$6:$LM$42=1))&gt;0)</f>
        <v/>
      </c>
      <c r="LO22">
        <f>$LO$21+--($LN22)</f>
        <v/>
      </c>
      <c r="LP22">
        <f>IF(ROW()-3&gt;MAX($LO$4:$LO$40),"",INDEX($Y$4:$Y$40,MATCH(ROW()-3,$LO$4:$LO$40,0)))</f>
        <v/>
      </c>
      <c r="LQ22">
        <f>IF(COUNTIF('Buyer Groups'!DG75:DI75,0)+COUNTIF('Buyer Groups'!DK75:EN75,0)&gt;0,0,1)</f>
        <v/>
      </c>
      <c r="LR22">
        <f>IF($AD$22="",FALSE,SUMPRODUCT(('Final Calculation Sheet'!$D$4:$D$40=$AD$22)*($LQ$6:$LQ$42=1))&gt;0)</f>
        <v/>
      </c>
      <c r="LS22">
        <f>$LS$21+--($LR22)</f>
        <v/>
      </c>
      <c r="LT22">
        <f>IF(ROW()-3&gt;MAX($LS$4:$LS$40),"",INDEX($AD$4:$AD$40,MATCH(ROW()-3,$LS$4:$LS$40,0)))</f>
        <v/>
      </c>
      <c r="LU22">
        <f>IF(COUNTIF('Buyer Groups'!DG75:DJ75,0)+COUNTIF('Buyer Groups'!DL75:EN75,0)&gt;0,0,1)</f>
        <v/>
      </c>
      <c r="LV22">
        <f>IF($AI$22="",FALSE,SUMPRODUCT(('Final Calculation Sheet'!$A$4:$A$40=$AI$22)*($LU$6:$LU$42=1))&gt;0)</f>
        <v/>
      </c>
      <c r="LW22">
        <f>$LW$21+--($LV22)</f>
        <v/>
      </c>
      <c r="LX22">
        <f>IF(ROW()-3&gt;MAX($LW$4:$LW$40),"",INDEX($AI$4:$AI$40,MATCH(ROW()-3,$LW$4:$LW$40,0)))</f>
        <v/>
      </c>
      <c r="LY22">
        <f>IF(COUNTIF('Buyer Groups'!DG75:DK75,0)+COUNTIF('Buyer Groups'!DM75:EN75,0)&gt;0,0,1)</f>
        <v/>
      </c>
      <c r="LZ22">
        <f>IF($AN$22="",FALSE,SUMPRODUCT(('Final Calculation Sheet'!$E$4:$E$40=$AN$22)*($LY$6:$LY$42=1))&gt;0)</f>
        <v/>
      </c>
      <c r="MA22">
        <f>$MA$21+--($LZ22)</f>
        <v/>
      </c>
      <c r="MB22">
        <f>IF(ROW()-3&gt;MAX($MA$4:$MA$40),"",INDEX($AN$4:$AN$40,MATCH(ROW()-3,$MA$4:$MA$40,0)))</f>
        <v/>
      </c>
      <c r="MC22">
        <f>IF(COUNTIF('Buyer Groups'!DG75:DL75,0)+COUNTIF('Buyer Groups'!DN75:EN75,0)&gt;0,0,1)</f>
        <v/>
      </c>
      <c r="MD22">
        <f>IF($AS$22="",FALSE,SUMPRODUCT(('Final Calculation Sheet'!$C$4:$C$40=$AS$22)*($MC$6:$MC$42=1))&gt;0)</f>
        <v/>
      </c>
      <c r="ME22">
        <f>$ME$21+--($MD22)</f>
        <v/>
      </c>
      <c r="MF22">
        <f>IF(ROW()-3&gt;MAX($ME$4:$ME$40),"",INDEX($AS$4:$AS$40,MATCH(ROW()-3,$ME$4:$ME$40,0)))</f>
        <v/>
      </c>
      <c r="MG22">
        <f>IF(COUNTIF('Buyer Groups'!DG75:DM75,0)+COUNTIF('Buyer Groups'!DO75:EN75,0)&gt;0,0,1)</f>
        <v/>
      </c>
      <c r="MH22">
        <f>IF($AX$22="",FALSE,SUMPRODUCT(('Final Calculation Sheet'!$H$4:$H$40=$AX$22)*($MG$6:$MG$42=1))&gt;0)</f>
        <v/>
      </c>
      <c r="MI22">
        <f>$MI$21+--($MH22)</f>
        <v/>
      </c>
      <c r="MJ22">
        <f>IF(ROW()-3&gt;MAX($MI$4:$MI$40),"",INDEX($AX$4:$AX$40,MATCH(ROW()-3,$MI$4:$MI$40,0)))</f>
        <v/>
      </c>
      <c r="MK22">
        <f>IF(COUNTIF('Buyer Groups'!DG75:DN75,0)+COUNTIF('Buyer Groups'!DP75:EN75,0)&gt;0,0,1)</f>
        <v/>
      </c>
      <c r="ML22">
        <f>IF($BC$22="",FALSE,SUMPRODUCT(('Final Calculation Sheet'!$I$4:$I$40=$BC$22)*($MK$6:$MK$42=1))&gt;0)</f>
        <v/>
      </c>
      <c r="MM22">
        <f>$MM$21+--($ML22)</f>
        <v/>
      </c>
      <c r="MN22">
        <f>IF(ROW()-3&gt;MAX($MM$4:$MM$40),"",INDEX($BC$4:$BC$40,MATCH(ROW()-3,$MM$4:$MM$40,0)))</f>
        <v/>
      </c>
      <c r="MO22">
        <f>IF(COUNTIF('Buyer Groups'!DG75:DO75,0)+COUNTIF('Buyer Groups'!DQ75:EN75,0)&gt;0,0,1)</f>
        <v/>
      </c>
      <c r="MP22">
        <f>IF($BH$22="",FALSE,SUMPRODUCT(('Final Calculation Sheet'!$J$4:$J$40=$BH$22)*($MO$6:$MO$42=1))&gt;0)</f>
        <v/>
      </c>
      <c r="MQ22">
        <f>$MQ$21+--($MP22)</f>
        <v/>
      </c>
      <c r="MR22">
        <f>IF(ROW()-3&gt;MAX($MQ$4:$MQ$40),"",INDEX($BH$4:$BH$40,MATCH(ROW()-3,$MQ$4:$MQ$40,0)))</f>
        <v/>
      </c>
      <c r="MS22">
        <f>IF(COUNTIF('Buyer Groups'!DG75:DP75,0)+COUNTIF('Buyer Groups'!DR75:EN75,0)&gt;0,0,1)</f>
        <v/>
      </c>
      <c r="MT22">
        <f>IF($BM$22="",FALSE,SUMPRODUCT(('Final Calculation Sheet'!$K$4:$K$40=$BM$22)*($MS$6:$MS$42=1))&gt;0)</f>
        <v/>
      </c>
      <c r="MU22">
        <f>$MU$21+--($MT22)</f>
        <v/>
      </c>
      <c r="MV22">
        <f>IF(ROW()-3&gt;MAX($MU$4:$MU$40),"",INDEX($BM$4:$BM$40,MATCH(ROW()-3,$MU$4:$MU$40,0)))</f>
        <v/>
      </c>
      <c r="MW22">
        <f>IF(COUNTIF('Buyer Groups'!DG75:DQ75,0)+COUNTIF('Buyer Groups'!DS75:EN75,0)&gt;0,0,1)</f>
        <v/>
      </c>
      <c r="MX22">
        <f>IF($BR$22="",FALSE,SUMPRODUCT(('Final Calculation Sheet'!$L$4:$L$40=$BR$22)*($MW$6:$MW$42=1))&gt;0)</f>
        <v/>
      </c>
      <c r="MY22">
        <f>$MY$21+--($MX22)</f>
        <v/>
      </c>
      <c r="MZ22">
        <f>IF(ROW()-3&gt;MAX($MY$4:$MY$40),"",INDEX($BR$4:$BR$40,MATCH(ROW()-3,$MY$4:$MY$40,0)))</f>
        <v/>
      </c>
      <c r="NA22">
        <f>IF(COUNTIF('Buyer Groups'!DG75:DR75,0)+COUNTIF('Buyer Groups'!DT75:EN75,0)&gt;0,0,1)</f>
        <v/>
      </c>
      <c r="NB22">
        <f>IF($BW$22="",FALSE,SUMPRODUCT(('Final Calculation Sheet'!$M$4:$M$40=$BW$22)*($NA$6:$NA$42=1))&gt;0)</f>
        <v/>
      </c>
      <c r="NC22">
        <f>$NC$21+--($NB22)</f>
        <v/>
      </c>
      <c r="ND22">
        <f>IF(ROW()-3&gt;MAX($NC$4:$NC$40),"",INDEX($BW$4:$BW$40,MATCH(ROW()-3,$NC$4:$NC$40,0)))</f>
        <v/>
      </c>
      <c r="NE22">
        <f>IF(COUNTIF('Buyer Groups'!DG75:DS75,0)+COUNTIF('Buyer Groups'!DU75:EN75,0)&gt;0,0,1)</f>
        <v/>
      </c>
      <c r="NF22">
        <f>IF($CB$22="",FALSE,SUMPRODUCT(('Final Calculation Sheet'!$N$4:$N$40=$CB$22)*($NE$6:$NE$42=1))&gt;0)</f>
        <v/>
      </c>
      <c r="NG22">
        <f>$NG$21+--($NF22)</f>
        <v/>
      </c>
      <c r="NH22">
        <f>IF(ROW()-3&gt;MAX($NG$4:$NG$40),"",INDEX($CB$4:$CB$40,MATCH(ROW()-3,$NG$4:$NG$40,0)))</f>
        <v/>
      </c>
      <c r="NI22">
        <f>IF(COUNTIF('Buyer Groups'!DG75:DT75,0)+COUNTIF('Buyer Groups'!DV75:EN75,0)&gt;0,0,1)</f>
        <v/>
      </c>
      <c r="NJ22">
        <f>IF($CG$22="",FALSE,SUMPRODUCT(('Final Calculation Sheet'!$O$4:$O$40=$CG$22)*($NI$6:$NI$42=1))&gt;0)</f>
        <v/>
      </c>
      <c r="NK22">
        <f>$NK$21+--($NJ22)</f>
        <v/>
      </c>
      <c r="NL22">
        <f>IF(ROW()-3&gt;MAX($NK$4:$NK$40),"",INDEX($CG$4:$CG$40,MATCH(ROW()-3,$NK$4:$NK$40,0)))</f>
        <v/>
      </c>
      <c r="NM22">
        <f>IF(COUNTIF('Buyer Groups'!DG75:DU75,0)+COUNTIF('Buyer Groups'!DW75:EN75,0)&gt;0,0,1)</f>
        <v/>
      </c>
      <c r="NN22">
        <f>IF($CL$22="",FALSE,SUMPRODUCT(('Final Calculation Sheet'!$P$4:$P$40=$CL$22)*($NM$6:$NM$42=1))&gt;0)</f>
        <v/>
      </c>
      <c r="NO22">
        <f>$NO$21+--($NN22)</f>
        <v/>
      </c>
      <c r="NP22">
        <f>IF(ROW()-3&gt;MAX($NO$4:$NO$40),"",INDEX($CL$4:$CL$40,MATCH(ROW()-3,$NO$4:$NO$40,0)))</f>
        <v/>
      </c>
      <c r="NQ22">
        <f>IF(COUNTIF('Buyer Groups'!DG75:DV75,0)+COUNTIF('Buyer Groups'!DX75:EN75,0)&gt;0,0,1)</f>
        <v/>
      </c>
      <c r="NR22">
        <f>IF($CQ$22="",FALSE,SUMPRODUCT(('Final Calculation Sheet'!$Q$4:$Q$40=$CQ$22)*($NQ$6:$NQ$42=1))&gt;0)</f>
        <v/>
      </c>
      <c r="NS22">
        <f>$NS$21+--($NR22)</f>
        <v/>
      </c>
      <c r="NT22">
        <f>IF(ROW()-3&gt;MAX($NS$4:$NS$40),"",INDEX($CQ$4:$CQ$40,MATCH(ROW()-3,$NS$4:$NS$40,0)))</f>
        <v/>
      </c>
      <c r="NU22">
        <f>IF(COUNTIF('Buyer Groups'!DG75:DW75,0)+COUNTIF('Buyer Groups'!DY75:EN75,0)&gt;0,0,1)</f>
        <v/>
      </c>
      <c r="NV22">
        <f>IF($CV$22="",FALSE,SUMPRODUCT(('Final Calculation Sheet'!$R$4:$R$40=$CV$22)*($NU$6:$NU$42=1))&gt;0)</f>
        <v/>
      </c>
      <c r="NW22">
        <f>$NW$21+--($NV22)</f>
        <v/>
      </c>
      <c r="NX22">
        <f>IF(ROW()-3&gt;MAX($NW$4:$NW$40),"",INDEX($CV$4:$CV$40,MATCH(ROW()-3,$NW$4:$NW$40,0)))</f>
        <v/>
      </c>
      <c r="NY22">
        <f>IF(COUNTIF('Buyer Groups'!DG75:DX75,0)+COUNTIF('Buyer Groups'!DZ75:EN75,0)&gt;0,0,1)</f>
        <v/>
      </c>
      <c r="NZ22">
        <f>IF($DA$22="",FALSE,SUMPRODUCT(('Final Calculation Sheet'!$S$4:$S$40=$DA$22)*($NY$6:$NY$42=1))&gt;0)</f>
        <v/>
      </c>
      <c r="OA22">
        <f>$OA$21+--($NZ22)</f>
        <v/>
      </c>
      <c r="OB22">
        <f>IF(ROW()-3&gt;MAX($OA$4:$OA$40),"",INDEX($DA$4:$DA$40,MATCH(ROW()-3,$OA$4:$OA$40,0)))</f>
        <v/>
      </c>
      <c r="OC22">
        <f>IF(COUNTIF('Buyer Groups'!DG75:DY75,0)+COUNTIF('Buyer Groups'!EA75:EN75,0)&gt;0,0,1)</f>
        <v/>
      </c>
      <c r="OD22">
        <f>IF($DF$22="",FALSE,SUMPRODUCT(('Final Calculation Sheet'!$T$4:$T$40=$DF$22)*($OC$6:$OC$42=1))&gt;0)</f>
        <v/>
      </c>
      <c r="OE22">
        <f>$OE$21+--($OD22)</f>
        <v/>
      </c>
      <c r="OF22">
        <f>IF(ROW()-3&gt;MAX($OE$4:$OE$40),"",INDEX($DF$4:$DF$40,MATCH(ROW()-3,$OE$4:$OE$40,0)))</f>
        <v/>
      </c>
      <c r="OG22">
        <f>IF(COUNTIF('Buyer Groups'!DG75:DZ75,0)+COUNTIF('Buyer Groups'!EB75:EN75,0)&gt;0,0,1)</f>
        <v/>
      </c>
      <c r="OH22">
        <f>IF($DK$22="",FALSE,SUMPRODUCT(('Final Calculation Sheet'!$U$4:$U$40=$DK$22)*($OG$6:$OG$42=1))&gt;0)</f>
        <v/>
      </c>
      <c r="OI22">
        <f>$OI$21+--($OH22)</f>
        <v/>
      </c>
      <c r="OJ22">
        <f>IF(ROW()-3&gt;MAX($OI$4:$OI$40),"",INDEX($DK$4:$DK$40,MATCH(ROW()-3,$OI$4:$OI$40,0)))</f>
        <v/>
      </c>
      <c r="OK22">
        <f>IF(COUNTIF('Buyer Groups'!DG75:EA75,0)+COUNTIF('Buyer Groups'!EC75:EN75,0)&gt;0,0,1)</f>
        <v/>
      </c>
      <c r="OL22">
        <f>IF($DP$22="",FALSE,SUMPRODUCT(('Final Calculation Sheet'!$V$4:$V$40=$DP$22)*($OK$6:$OK$42=1))&gt;0)</f>
        <v/>
      </c>
      <c r="OM22">
        <f>$OM$21+--($OL22)</f>
        <v/>
      </c>
      <c r="ON22">
        <f>IF(ROW()-3&gt;MAX($OM$4:$OM$40),"",INDEX($DP$4:$DP$40,MATCH(ROW()-3,$OM$4:$OM$40,0)))</f>
        <v/>
      </c>
      <c r="OO22">
        <f>IF(COUNTIF('Buyer Groups'!DG75:EB75,0)+COUNTIF('Buyer Groups'!ED75:EN75,0)&gt;0,0,1)</f>
        <v/>
      </c>
      <c r="OP22">
        <f>IF($DU$22="",FALSE,SUMPRODUCT(('Final Calculation Sheet'!$W$4:$W$40=$DU$22)*($OO$6:$OO$42=1))&gt;0)</f>
        <v/>
      </c>
      <c r="OQ22">
        <f>$OQ$21+--($OP22)</f>
        <v/>
      </c>
      <c r="OR22">
        <f>IF(ROW()-3&gt;MAX($OQ$4:$OQ$40),"",INDEX($DU$4:$DU$40,MATCH(ROW()-3,$OQ$4:$OQ$40,0)))</f>
        <v/>
      </c>
      <c r="OS22">
        <f>IF(COUNTIF('Buyer Groups'!DG75:EC75,0)+COUNTIF('Buyer Groups'!EE75:EN75,0)&gt;0,0,1)</f>
        <v/>
      </c>
      <c r="OT22">
        <f>IF($DZ$22="",FALSE,SUMPRODUCT(('Final Calculation Sheet'!$X$4:$X$40=$DZ$22)*($OS$6:$OS$42=1))&gt;0)</f>
        <v/>
      </c>
      <c r="OU22">
        <f>$OU$21+--($OT22)</f>
        <v/>
      </c>
      <c r="OV22">
        <f>IF(ROW()-3&gt;MAX($OU$4:$OU$40),"",INDEX($DZ$4:$DZ$40,MATCH(ROW()-3,$OU$4:$OU$40,0)))</f>
        <v/>
      </c>
      <c r="OW22">
        <f>IF(COUNTIF('Buyer Groups'!DG75:ED75,0)+COUNTIF('Buyer Groups'!EF75:EN75,0)&gt;0,0,1)</f>
        <v/>
      </c>
      <c r="OX22">
        <f>IF($EE$22="",FALSE,SUMPRODUCT(('Final Calculation Sheet'!$Y$4:$Y$40=$EE$22)*($OW$6:$OW$42=1))&gt;0)</f>
        <v/>
      </c>
      <c r="OY22">
        <f>$OY$21+--($OX22)</f>
        <v/>
      </c>
      <c r="OZ22">
        <f>IF(ROW()-3&gt;MAX($OY$4:$OY$40),"",INDEX($EE$4:$EE$40,MATCH(ROW()-3,$OY$4:$OY$40,0)))</f>
        <v/>
      </c>
      <c r="PA22">
        <f>IF(COUNTIF('Buyer Groups'!DG75:EE75,0)+COUNTIF('Buyer Groups'!EG75:EN75,0)&gt;0,0,1)</f>
        <v/>
      </c>
      <c r="PB22">
        <f>IF($EJ$22="",FALSE,SUMPRODUCT(('Final Calculation Sheet'!$Z$4:$Z$40=$EJ$22)*($PA$6:$PA$42=1))&gt;0)</f>
        <v/>
      </c>
      <c r="PC22">
        <f>$PC$21+--($PB22)</f>
        <v/>
      </c>
      <c r="PD22">
        <f>IF(ROW()-3&gt;MAX($PC$4:$PC$40),"",INDEX($EJ$4:$EJ$40,MATCH(ROW()-3,$PC$4:$PC$40,0)))</f>
        <v/>
      </c>
      <c r="PE22">
        <f>IF(COUNTIF('Buyer Groups'!DG75:EF75,0)+COUNTIF('Buyer Groups'!EH75:EN75,0)&gt;0,0,1)</f>
        <v/>
      </c>
      <c r="PF22">
        <f>IF($EO$22="",FALSE,SUMPRODUCT(('Final Calculation Sheet'!$AA$4:$AA$40=$EO$22)*($PE$6:$PE$42=1))&gt;0)</f>
        <v/>
      </c>
      <c r="PG22">
        <f>$PG$21+--($PF22)</f>
        <v/>
      </c>
      <c r="PH22">
        <f>IF(ROW()-3&gt;MAX($PG$4:$PG$40),"",INDEX($EO$4:$EO$40,MATCH(ROW()-3,$PG$4:$PG$40,0)))</f>
        <v/>
      </c>
      <c r="PI22">
        <f>IF(COUNTIF('Buyer Groups'!DG75:EG75,0)+COUNTIF('Buyer Groups'!EI75:EN75,0)&gt;0,0,1)</f>
        <v/>
      </c>
      <c r="PJ22">
        <f>IF($ET$22="",FALSE,SUMPRODUCT(('Final Calculation Sheet'!$AB$4:$AB$40=$ET$22)*($PI$6:$PI$42=1))&gt;0)</f>
        <v/>
      </c>
      <c r="PK22">
        <f>$PK$21+--($PJ22)</f>
        <v/>
      </c>
      <c r="PL22">
        <f>IF(ROW()-3&gt;MAX($PK$4:$PK$40),"",INDEX($ET$4:$ET$40,MATCH(ROW()-3,$PK$4:$PK$40,0)))</f>
        <v/>
      </c>
      <c r="PM22">
        <f>IF(COUNTIF('Buyer Groups'!DG75:EH75,0)+COUNTIF('Buyer Groups'!EJ75:EN75,0)&gt;0,0,1)</f>
        <v/>
      </c>
      <c r="PN22">
        <f>IF($EY$22="",FALSE,SUMPRODUCT(('Final Calculation Sheet'!$AC$4:$AC$40=$EY$22)*($PM$6:$PM$42=1))&gt;0)</f>
        <v/>
      </c>
      <c r="PO22">
        <f>$PO$21+--($PN22)</f>
        <v/>
      </c>
      <c r="PP22">
        <f>IF(ROW()-3&gt;MAX($PO$4:$PO$40),"",INDEX($EY$4:$EY$40,MATCH(ROW()-3,$PO$4:$PO$40,0)))</f>
        <v/>
      </c>
      <c r="PQ22">
        <f>IF(COUNTIF('Buyer Groups'!DG75:EI75,0)+COUNTIF('Buyer Groups'!EK75:EN75,0)&gt;0,0,1)</f>
        <v/>
      </c>
      <c r="PR22">
        <f>IF($FD$22="",FALSE,SUMPRODUCT(('Final Calculation Sheet'!$AD$4:$AD$40=$FD$22)*($PQ$6:$PQ$42=1))&gt;0)</f>
        <v/>
      </c>
      <c r="PS22">
        <f>$PS$21+--($PR22)</f>
        <v/>
      </c>
      <c r="PT22">
        <f>IF(ROW()-3&gt;MAX($PS$4:$PS$40),"",INDEX($FD$4:$FD$40,MATCH(ROW()-3,$PS$4:$PS$40,0)))</f>
        <v/>
      </c>
      <c r="PU22">
        <f>IF(COUNTIF('Buyer Groups'!DG75:EJ75,0)+COUNTIF('Buyer Groups'!EL75:EN75,0)&gt;0,0,1)</f>
        <v/>
      </c>
      <c r="PV22">
        <f>IF($FX$22="",FALSE,SUMPRODUCT((IF('Final Calculation Sheet'!$AD$4:$AD$40&lt;=5,"SETTLED","OUTSTANDING")=$FX$22)*($PU$6:$PU$42=1))&gt;0)</f>
        <v/>
      </c>
      <c r="PW22">
        <f>$PW$21+--($PV22)</f>
        <v/>
      </c>
      <c r="PX22">
        <f>IF(ROW()-3&gt;MAX($PW$4:$PW$40),"",INDEX($FX$4:$FX$40,MATCH(ROW()-3,$PW$4:$PW$40,0)))</f>
        <v/>
      </c>
      <c r="PY22">
        <f>IF(COUNTIF('Buyer Groups'!DG75:EK75,0)+COUNTIF('Buyer Groups'!EM75:EN75,0)&gt;0,0,1)</f>
        <v/>
      </c>
      <c r="PZ22">
        <f>IF($FI$22="",FALSE,SUMPRODUCT(('Final Calculation Sheet'!$AF$4:$AF$40=$FI$22)*($PY$6:$PY$42=1))&gt;0)</f>
        <v/>
      </c>
      <c r="QA22">
        <f>$QA$21+--($PZ22)</f>
        <v/>
      </c>
      <c r="QB22">
        <f>IF(ROW()-3&gt;MAX($QA$4:$QA$40),"",INDEX($FI$4:$FI$40,MATCH(ROW()-3,$QA$4:$QA$40,0)))</f>
        <v/>
      </c>
      <c r="QC22">
        <f>IF(COUNTIF('Buyer Groups'!DG75:EL75,0)+COUNTIF('Buyer Groups'!EN75:EN75,0)&gt;0,0,1)</f>
        <v/>
      </c>
      <c r="QD22">
        <f>IF($FN$22="",FALSE,SUMPRODUCT(('Final Calculation Sheet'!$AG$4:$AG$40=$FN$22)*($QC$6:$QC$42=1))&gt;0)</f>
        <v/>
      </c>
      <c r="QE22">
        <f>$QE$21+--($QD22)</f>
        <v/>
      </c>
      <c r="QF22">
        <f>IF(ROW()-3&gt;MAX($QE$4:$QE$40),"",INDEX($FN$4:$FN$40,MATCH(ROW()-3,$QE$4:$QE$40,0)))</f>
        <v/>
      </c>
      <c r="QG22">
        <f>IF(COUNTIF('Buyer Groups'!DG75:EM75,0)&gt;0,0,1)</f>
        <v/>
      </c>
      <c r="QH22">
        <f>IF($FS$22="",FALSE,SUMPRODUCT(('Final Calculation Sheet'!$AH$4:$AH$40=$FS$22)*($QG$6:$QG$42=1))&gt;0)</f>
        <v/>
      </c>
      <c r="QI22">
        <f>$QI$21+--($QH22)</f>
        <v/>
      </c>
      <c r="QJ22">
        <f>IF(ROW()-3&gt;MAX($QI$4:$QI$40),"",INDEX($FS$4:$FS$40,MATCH(ROW()-3,$QI$4:$QI$40,0)))</f>
        <v/>
      </c>
      <c r="QK22" t="str">
        <f>IF('Final Calculation Sheet'!$AH$22="","",'Final Calculation Sheet'!$AH$22)</f>
      </c>
      <c r="QL22" t="str">
        <f>IF(QK22="","",COUNTIFS(QK$4:QK$40,"&lt;"&amp;QK22,QK$4:QK$40,"&lt;&gt;"&amp;"")+COUNTIF(QK$4:QK22,QK22))</f>
      </c>
      <c r="QM22" t="str">
        <f>IF(ROW()-3&gt;COUNTIF(QK$4:QK$40,"&lt;&gt;"&amp;""),"",INDEX(QK$4:QK$40,MATCH(ROW()-3,QL$4:QL$40,0)))</f>
      </c>
      <c r="QN22" t="str">
        <f>=QN21+F(AND(QM22&lt;&gt;"",COUNTIF(QM$4:QM22,QM22)=1),1,0)</f>
      </c>
      <c r="QO22" t="str">
        <f>IF(ROW()-3&gt;MAX(QN$4:QN$40),"",INDEX(QM$4:QM$40,MATCH(ROW()-3,QN$4:QN$40,0)))</f>
      </c>
      <c r="QP22" t="str">
        <f>IF(COUNTIF('Final Calculation Sheet'!$AM22:$BS22,0)&gt;0,0,1)</f>
      </c>
      <c r="QQ22" t="str">
        <f>IF($AI$22="",FALSE,SUMPRODUCT(('Final Calculation Sheet'!$A$4:$A$40=$AI$22)*($QP$4:$QP$40=1))&gt;0)</f>
      </c>
      <c r="QR22" t="str">
        <f>=$QR21+--($QQ22)</f>
      </c>
      <c r="QS22" t="str">
        <f>IF(ROW()-3&gt;MAX($QR$4:$QR$40),"",INDEX($AI$4:$AI$40,MATCH(ROW()-3,$QR$4:$QR$40,0)))</f>
      </c>
      <c r="QT22" t="str">
        <f>IF(COUNTIF('Final Calculation Sheet'!$AL22:$AL22,0)+COUNTIF('Final Calculation Sheet'!$AN22:$BS22,0)&gt;0,0,1)</f>
      </c>
      <c r="QU22" t="str">
        <f>IF($Y$22="",FALSE,SUMPRODUCT(('Final Calculation Sheet'!$B$4:$B$40=$Y$22)*($QT$4:$QT$40=1))&gt;0)</f>
      </c>
      <c r="QV22" t="str">
        <f>=$QV21+--($QU22)</f>
      </c>
      <c r="QW22" t="str">
        <f>IF(ROW()-3&gt;MAX($QV$4:$QV$40),"",INDEX($Y$4:$Y$40,MATCH(ROW()-3,$QV$4:$QV$40,0)))</f>
      </c>
      <c r="QX22" t="str">
        <f>IF(COUNTIF('Final Calculation Sheet'!$AL22:$AM22,0)+COUNTIF('Final Calculation Sheet'!$AO22:$BS22,0)&gt;0,0,1)</f>
      </c>
      <c r="QY22" t="str">
        <f>IF($AS$22="",FALSE,SUMPRODUCT(('Final Calculation Sheet'!$C$4:$C$40=$AS$22)*($QX$4:$QX$40=1))&gt;0)</f>
      </c>
      <c r="QZ22" t="str">
        <f>=$QZ21+--($QY22)</f>
      </c>
      <c r="RA22" t="str">
        <f>IF(ROW()-3&gt;MAX($QZ$4:$QZ$40),"",INDEX($AS$4:$AS$40,MATCH(ROW()-3,$QZ$4:$QZ$40,0)))</f>
      </c>
      <c r="RB22" t="str">
        <f>IF(COUNTIF('Final Calculation Sheet'!$AL22:$AN22,0)+COUNTIF('Final Calculation Sheet'!$AP22:$BS22,0)&gt;0,0,1)</f>
      </c>
      <c r="RC22" t="str">
        <f>IF($AD$22="",FALSE,SUMPRODUCT(('Final Calculation Sheet'!$D$4:$D$40=$AD$22)*($RB$4:$RB$40=1))&gt;0)</f>
      </c>
      <c r="RD22" t="str">
        <f>=$RD21+--($RC22)</f>
      </c>
      <c r="RE22" t="str">
        <f>IF(ROW()-3&gt;MAX($RD$4:$RD$40),"",INDEX($AD$4:$AD$40,MATCH(ROW()-3,$RD$4:$RD$40,0)))</f>
      </c>
      <c r="RF22" t="str">
        <f>IF(COUNTIF('Final Calculation Sheet'!$AL22:$AO22,0)+COUNTIF('Final Calculation Sheet'!$AQ22:$BS22,0)&gt;0,0,1)</f>
      </c>
      <c r="RG22" t="str">
        <f>IF($AN$22="",FALSE,SUMPRODUCT(('Final Calculation Sheet'!$E$4:$E$40=$AN$22)*($RF$4:$RF$40=1))&gt;0)</f>
      </c>
      <c r="RH22" t="str">
        <f>=$RH21+--($RG22)</f>
      </c>
      <c r="RI22" t="str">
        <f>IF(ROW()-3&gt;MAX($RH$4:$RH$40),"",INDEX($AN$4:$AN$40,MATCH(ROW()-3,$RH$4:$RH$40,0)))</f>
      </c>
      <c r="RJ22" t="str">
        <f>IF(COUNTIF('Final Calculation Sheet'!$AL22:$AP22,0)+COUNTIF('Final Calculation Sheet'!$AR22:$BS22,0)&gt;0,0,1)</f>
      </c>
      <c r="RK22" t="str">
        <f>IF($O$22="",FALSE,SUMPRODUCT(('Final Calculation Sheet'!$F$4:$F$40=$O$22)*($RJ$4:$RJ$40=1))&gt;0)</f>
      </c>
      <c r="RL22" t="str">
        <f>=$RL21+--($RK22)</f>
      </c>
      <c r="RM22" t="str">
        <f>IF(ROW()-3&gt;MAX($RL$4:$RL$40),"",INDEX($O$4:$O$40,MATCH(ROW()-3,$RL$4:$RL$40,0)))</f>
      </c>
      <c r="RN22" t="str">
        <f>IF(COUNTIF('Final Calculation Sheet'!$AL22:$AQ22,0)+COUNTIF('Final Calculation Sheet'!$AS22:$BS22,0)&gt;0,0,1)</f>
      </c>
      <c r="RO22" t="str">
        <f>IF($T$22="",FALSE,SUMPRODUCT(('Final Calculation Sheet'!$G$4:$G$40=$T$22)*($RN$4:$RN$40=1))&gt;0)</f>
      </c>
      <c r="RP22" t="str">
        <f>=$RP21+--($RO22)</f>
      </c>
      <c r="RQ22" t="str">
        <f>IF(ROW()-3&gt;MAX($RP$4:$RP$40),"",INDEX($T$4:$T$40,MATCH(ROW()-3,$RP$4:$RP$40,0)))</f>
      </c>
      <c r="RR22" t="str">
        <f>IF(COUNTIF('Final Calculation Sheet'!$AL22:$AR22,0)+COUNTIF('Final Calculation Sheet'!$AT22:$BS22,0)&gt;0,0,1)</f>
      </c>
      <c r="RS22" t="str">
        <f>IF($AX$22="",FALSE,SUMPRODUCT(('Final Calculation Sheet'!$H$4:$H$40=$AX$22)*($RR$4:$RR$40=1))&gt;0)</f>
      </c>
      <c r="RT22" t="str">
        <f>=$RT21+--($RS22)</f>
      </c>
      <c r="RU22" t="str">
        <f>IF(ROW()-3&gt;MAX($RT$4:$RT$40),"",INDEX($AX$4:$AX$40,MATCH(ROW()-3,$RT$4:$RT$40,0)))</f>
      </c>
      <c r="RV22" t="str">
        <f>IF(COUNTIF('Final Calculation Sheet'!$AL22:$AS22,0)+COUNTIF('Final Calculation Sheet'!$AU22:$BS22,0)&gt;0,0,1)</f>
      </c>
      <c r="RW22" t="str">
        <f>IF($BC$22="",FALSE,SUMPRODUCT(('Final Calculation Sheet'!$I$4:$I$40=$BC$22)*($RV$4:$RV$40=1))&gt;0)</f>
      </c>
      <c r="RX22" t="str">
        <f>=$RX21+--($RW22)</f>
      </c>
      <c r="RY22" t="str">
        <f>IF(ROW()-3&gt;MAX($RX$4:$RX$40),"",INDEX($BC$4:$BC$40,MATCH(ROW()-3,$RX$4:$RX$40,0)))</f>
      </c>
      <c r="RZ22" t="str">
        <f>IF(COUNTIF('Final Calculation Sheet'!$AL22:$AT22,0)+COUNTIF('Final Calculation Sheet'!$AV22:$BS22,0)&gt;0,0,1)</f>
      </c>
      <c r="SA22" t="str">
        <f>IF($BH$22="",FALSE,SUMPRODUCT(('Final Calculation Sheet'!$J$4:$J$40=$BH$22)*($RZ$4:$RZ$40=1))&gt;0)</f>
      </c>
      <c r="SB22" t="str">
        <f>=$SB21+--($SA22)</f>
      </c>
      <c r="SC22" t="str">
        <f>IF(ROW()-3&gt;MAX($SB$4:$SB$40),"",INDEX($BH$4:$BH$40,MATCH(ROW()-3,$SB$4:$SB$40,0)))</f>
      </c>
      <c r="SD22" t="str">
        <f>IF(COUNTIF('Final Calculation Sheet'!$AL22:$AU22,0)+COUNTIF('Final Calculation Sheet'!$AW22:$BS22,0)&gt;0,0,1)</f>
      </c>
      <c r="SE22" t="str">
        <f>IF($BM$22="",FALSE,SUMPRODUCT(('Final Calculation Sheet'!$K$4:$K$40=$BM$22)*($SD$4:$SD$40=1))&gt;0)</f>
      </c>
      <c r="SF22" t="str">
        <f>=$SF21+--($SE22)</f>
      </c>
      <c r="SG22" t="str">
        <f>IF(ROW()-3&gt;MAX($SF$4:$SF$40),"",INDEX($BM$4:$BM$40,MATCH(ROW()-3,$SF$4:$SF$40,0)))</f>
      </c>
      <c r="SH22" t="str">
        <f>IF(COUNTIF('Final Calculation Sheet'!$AL22:$AV22,0)+COUNTIF('Final Calculation Sheet'!$AX22:$BS22,0)&gt;0,0,1)</f>
      </c>
      <c r="SI22" t="str">
        <f>IF($BR$22="",FALSE,SUMPRODUCT(('Final Calculation Sheet'!$L$4:$L$40=$BR$22)*($SH$4:$SH$40=1))&gt;0)</f>
      </c>
      <c r="SJ22" t="str">
        <f>=$SJ21+--($SI22)</f>
      </c>
      <c r="SK22" t="str">
        <f>IF(ROW()-3&gt;MAX($SJ$4:$SJ$40),"",INDEX($BR$4:$BR$40,MATCH(ROW()-3,$SJ$4:$SJ$40,0)))</f>
      </c>
      <c r="SL22" t="str">
        <f>IF(COUNTIF('Final Calculation Sheet'!$AL22:$AW22,0)+COUNTIF('Final Calculation Sheet'!$AY22:$BS22,0)&gt;0,0,1)</f>
      </c>
      <c r="SM22" t="str">
        <f>IF($BW$22="",FALSE,SUMPRODUCT(('Final Calculation Sheet'!$M$4:$M$40=$BW$22)*($SL$4:$SL$40=1))&gt;0)</f>
      </c>
      <c r="SN22" t="str">
        <f>=$SN21+--($SM22)</f>
      </c>
      <c r="SO22" t="str">
        <f>IF(ROW()-3&gt;MAX($SN$4:$SN$40),"",INDEX($BW$4:$BW$40,MATCH(ROW()-3,$SN$4:$SN$40,0)))</f>
      </c>
      <c r="SP22" t="str">
        <f>IF(COUNTIF('Final Calculation Sheet'!$AL22:$AX22,0)+COUNTIF('Final Calculation Sheet'!$AZ22:$BS22,0)&gt;0,0,1)</f>
      </c>
      <c r="SQ22" t="str">
        <f>IF($CB$22="",FALSE,SUMPRODUCT(('Final Calculation Sheet'!$N$4:$N$40=$CB$22)*($SP$4:$SP$40=1))&gt;0)</f>
      </c>
      <c r="SR22" t="str">
        <f>=$SR21+--($SQ22)</f>
      </c>
      <c r="SS22" t="str">
        <f>IF(ROW()-3&gt;MAX($SR$4:$SR$40),"",INDEX($CB$4:$CB$40,MATCH(ROW()-3,$SR$4:$SR$40,0)))</f>
      </c>
      <c r="ST22" t="str">
        <f>IF(COUNTIF('Final Calculation Sheet'!$AL22:$AY22,0)+COUNTIF('Final Calculation Sheet'!$BA22:$BS22,0)&gt;0,0,1)</f>
      </c>
      <c r="SU22" t="str">
        <f>IF($CG$22="",FALSE,SUMPRODUCT(('Final Calculation Sheet'!$O$4:$O$40=$CG$22)*($ST$4:$ST$40=1))&gt;0)</f>
      </c>
      <c r="SV22" t="str">
        <f>=$SV21+--($SU22)</f>
      </c>
      <c r="SW22" t="str">
        <f>IF(ROW()-3&gt;MAX($SV$4:$SV$40),"",INDEX($CG$4:$CG$40,MATCH(ROW()-3,$SV$4:$SV$40,0)))</f>
      </c>
      <c r="SX22" t="str">
        <f>IF(COUNTIF('Final Calculation Sheet'!$AL22:$AZ22,0)+COUNTIF('Final Calculation Sheet'!$BB22:$BS22,0)&gt;0,0,1)</f>
      </c>
      <c r="SY22" t="str">
        <f>IF($CL$22="",FALSE,SUMPRODUCT(('Final Calculation Sheet'!$P$4:$P$40=$CL$22)*($SX$4:$SX$40=1))&gt;0)</f>
      </c>
      <c r="SZ22" t="str">
        <f>=$SZ21+--($SY22)</f>
      </c>
      <c r="TA22" t="str">
        <f>IF(ROW()-3&gt;MAX($SZ$4:$SZ$40),"",INDEX($CL$4:$CL$40,MATCH(ROW()-3,$SZ$4:$SZ$40,0)))</f>
      </c>
      <c r="TB22" t="str">
        <f>IF(COUNTIF('Final Calculation Sheet'!$AL22:$BA22,0)+COUNTIF('Final Calculation Sheet'!$BC22:$BS22,0)&gt;0,0,1)</f>
      </c>
      <c r="TC22" t="str">
        <f>IF($CQ$22="",FALSE,SUMPRODUCT(('Final Calculation Sheet'!$Q$4:$Q$40=$CQ$22)*($TB$4:$TB$40=1))&gt;0)</f>
      </c>
      <c r="TD22" t="str">
        <f>=$TD21+--($TC22)</f>
      </c>
      <c r="TE22" t="str">
        <f>IF(ROW()-3&gt;MAX($TD$4:$TD$40),"",INDEX($CQ$4:$CQ$40,MATCH(ROW()-3,$TD$4:$TD$40,0)))</f>
      </c>
      <c r="TF22" t="str">
        <f>IF(COUNTIF('Final Calculation Sheet'!$AL22:$BB22,0)+COUNTIF('Final Calculation Sheet'!$BD22:$BS22,0)&gt;0,0,1)</f>
      </c>
      <c r="TG22" t="str">
        <f>IF($CV$22="",FALSE,SUMPRODUCT(('Final Calculation Sheet'!$R$4:$R$40=$CV$22)*($TF$4:$TF$40=1))&gt;0)</f>
      </c>
      <c r="TH22" t="str">
        <f>=$TH21+--($TG22)</f>
      </c>
      <c r="TI22" t="str">
        <f>IF(ROW()-3&gt;MAX($TH$4:$TH$40),"",INDEX($CV$4:$CV$40,MATCH(ROW()-3,$TH$4:$TH$40,0)))</f>
      </c>
      <c r="TJ22" t="str">
        <f>IF(COUNTIF('Final Calculation Sheet'!$AL22:$BC22,0)+COUNTIF('Final Calculation Sheet'!$BE22:$BS22,0)&gt;0,0,1)</f>
      </c>
      <c r="TK22" t="str">
        <f>IF($DA$22="",FALSE,SUMPRODUCT(('Final Calculation Sheet'!$S$4:$S$40=$DA$22)*($TJ$4:$TJ$40=1))&gt;0)</f>
      </c>
      <c r="TL22" t="str">
        <f>=$TL21+--($TK22)</f>
      </c>
      <c r="TM22" t="str">
        <f>IF(ROW()-3&gt;MAX($TL$4:$TL$40),"",INDEX($DA$4:$DA$40,MATCH(ROW()-3,$TL$4:$TL$40,0)))</f>
      </c>
      <c r="TN22" t="str">
        <f>IF(COUNTIF('Final Calculation Sheet'!$AL22:$BD22,0)+COUNTIF('Final Calculation Sheet'!$BF22:$BS22,0)&gt;0,0,1)</f>
      </c>
      <c r="TO22" t="str">
        <f>IF($DF$22="",FALSE,SUMPRODUCT(('Final Calculation Sheet'!$T$4:$T$40=$DF$22)*($TN$4:$TN$40=1))&gt;0)</f>
      </c>
      <c r="TP22" t="str">
        <f>=$TP21+--($TO22)</f>
      </c>
      <c r="TQ22" t="str">
        <f>IF(ROW()-3&gt;MAX($TP$4:$TP$40),"",INDEX($DF$4:$DF$40,MATCH(ROW()-3,$TP$4:$TP$40,0)))</f>
      </c>
      <c r="TR22" t="str">
        <f>IF(COUNTIF('Final Calculation Sheet'!$AL22:$BE22,0)+COUNTIF('Final Calculation Sheet'!$BG22:$BS22,0)&gt;0,0,1)</f>
      </c>
      <c r="TS22" t="str">
        <f>IF($DK$22="",FALSE,SUMPRODUCT(('Final Calculation Sheet'!$U$4:$U$40=$DK$22)*($TR$4:$TR$40=1))&gt;0)</f>
      </c>
      <c r="TT22" t="str">
        <f>=$TT21+--($TS22)</f>
      </c>
      <c r="TU22" t="str">
        <f>IF(ROW()-3&gt;MAX($TT$4:$TT$40),"",INDEX($DK$4:$DK$40,MATCH(ROW()-3,$TT$4:$TT$40,0)))</f>
      </c>
      <c r="TV22" t="str">
        <f>IF(COUNTIF('Final Calculation Sheet'!$AL22:$BF22,0)+COUNTIF('Final Calculation Sheet'!$BH22:$BS22,0)&gt;0,0,1)</f>
      </c>
      <c r="TW22" t="str">
        <f>IF($DP$22="",FALSE,SUMPRODUCT(('Final Calculation Sheet'!$V$4:$V$40=$DP$22)*($TV$4:$TV$40=1))&gt;0)</f>
      </c>
      <c r="TX22" t="str">
        <f>=$TX21+--($TW22)</f>
      </c>
      <c r="TY22" t="str">
        <f>IF(ROW()-3&gt;MAX($TX$4:$TX$40),"",INDEX($DP$4:$DP$40,MATCH(ROW()-3,$TX$4:$TX$40,0)))</f>
      </c>
      <c r="TZ22" t="str">
        <f>IF(COUNTIF('Final Calculation Sheet'!$AL22:$BG22,0)+COUNTIF('Final Calculation Sheet'!$BI22:$BS22,0)&gt;0,0,1)</f>
      </c>
      <c r="UA22" t="str">
        <f>IF($DU$22="",FALSE,SUMPRODUCT(('Final Calculation Sheet'!$W$4:$W$40=$DU$22)*($TZ$4:$TZ$40=1))&gt;0)</f>
      </c>
      <c r="UB22" t="str">
        <f>=$UB21+--($UA22)</f>
      </c>
      <c r="UC22" t="str">
        <f>IF(ROW()-3&gt;MAX($UB$4:$UB$40),"",INDEX($DU$4:$DU$40,MATCH(ROW()-3,$UB$4:$UB$40,0)))</f>
      </c>
      <c r="UD22" t="str">
        <f>IF(COUNTIF('Final Calculation Sheet'!$AL22:$BH22,0)+COUNTIF('Final Calculation Sheet'!$BJ22:$BS22,0)&gt;0,0,1)</f>
      </c>
      <c r="UE22" t="str">
        <f>IF($DZ$22="",FALSE,SUMPRODUCT(('Final Calculation Sheet'!$X$4:$X$40=$DZ$22)*($UD$4:$UD$40=1))&gt;0)</f>
      </c>
      <c r="UF22" t="str">
        <f>=$UF21+--($UE22)</f>
      </c>
      <c r="UG22" t="str">
        <f>IF(ROW()-3&gt;MAX($UF$4:$UF$40),"",INDEX($DZ$4:$DZ$40,MATCH(ROW()-3,$UF$4:$UF$40,0)))</f>
      </c>
      <c r="UH22" t="str">
        <f>IF(COUNTIF('Final Calculation Sheet'!$AL22:$BI22,0)+COUNTIF('Final Calculation Sheet'!$BK22:$BS22,0)&gt;0,0,1)</f>
      </c>
      <c r="UI22" t="str">
        <f>IF($EE$22="",FALSE,SUMPRODUCT(('Final Calculation Sheet'!$Y$4:$Y$40=$EE$22)*($UH$4:$UH$40=1))&gt;0)</f>
      </c>
      <c r="UJ22" t="str">
        <f>=$UJ21+--($UI22)</f>
      </c>
      <c r="UK22" t="str">
        <f>IF(ROW()-3&gt;MAX($UJ$4:$UJ$40),"",INDEX($EE$4:$EE$40,MATCH(ROW()-3,$UJ$4:$UJ$40,0)))</f>
      </c>
      <c r="UL22" t="str">
        <f>IF(COUNTIF('Final Calculation Sheet'!$AL22:$BJ22,0)+COUNTIF('Final Calculation Sheet'!$BL22:$BS22,0)&gt;0,0,1)</f>
      </c>
      <c r="UM22" t="str">
        <f>IF($EJ$22="",FALSE,SUMPRODUCT(('Final Calculation Sheet'!$Z$4:$Z$40=$EJ$22)*($UL$4:$UL$40=1))&gt;0)</f>
      </c>
      <c r="UN22" t="str">
        <f>=$UN21+--($UM22)</f>
      </c>
      <c r="UO22" t="str">
        <f>IF(ROW()-3&gt;MAX($UN$4:$UN$40),"",INDEX($EJ$4:$EJ$40,MATCH(ROW()-3,$UN$4:$UN$40,0)))</f>
      </c>
      <c r="UP22" t="str">
        <f>IF(COUNTIF('Final Calculation Sheet'!$AL22:$BK22,0)+COUNTIF('Final Calculation Sheet'!$BM22:$BS22,0)&gt;0,0,1)</f>
      </c>
      <c r="UQ22" t="str">
        <f>IF($EO$22="",FALSE,SUMPRODUCT(('Final Calculation Sheet'!$AA$4:$AA$40=$EO$22)*($UP$4:$UP$40=1))&gt;0)</f>
      </c>
      <c r="UR22" t="str">
        <f>=$UR21+--($UQ22)</f>
      </c>
      <c r="US22" t="str">
        <f>IF(ROW()-3&gt;MAX($UR$4:$UR$40),"",INDEX($EO$4:$EO$40,MATCH(ROW()-3,$UR$4:$UR$40,0)))</f>
      </c>
      <c r="UT22" t="str">
        <f>IF(COUNTIF('Final Calculation Sheet'!$AL22:$BL22,0)+COUNTIF('Final Calculation Sheet'!$BN22:$BS22,0)&gt;0,0,1)</f>
      </c>
      <c r="UU22" t="str">
        <f>IF($ET$22="",FALSE,SUMPRODUCT(('Final Calculation Sheet'!$AB$4:$AB$40=$ET$22)*($UT$4:$UT$40=1))&gt;0)</f>
      </c>
      <c r="UV22" t="str">
        <f>=$UV21+--($UU22)</f>
      </c>
      <c r="UW22" t="str">
        <f>IF(ROW()-3&gt;MAX($UV$4:$UV$40),"",INDEX($ET$4:$ET$40,MATCH(ROW()-3,$UV$4:$UV$40,0)))</f>
      </c>
      <c r="UX22" t="str">
        <f>IF(COUNTIF('Final Calculation Sheet'!$AL22:$BM22,0)+COUNTIF('Final Calculation Sheet'!$BO22:$BS22,0)&gt;0,0,1)</f>
      </c>
      <c r="UY22" t="str">
        <f>IF($EY$22="",FALSE,SUMPRODUCT(('Final Calculation Sheet'!$AC$4:$AC$40=$EY$22)*($UX$4:$UX$40=1))&gt;0)</f>
      </c>
      <c r="UZ22" t="str">
        <f>=$UZ21+--($UY22)</f>
      </c>
      <c r="VA22" t="str">
        <f>IF(ROW()-3&gt;MAX($UZ$4:$UZ$40),"",INDEX($EY$4:$EY$40,MATCH(ROW()-3,$UZ$4:$UZ$40,0)))</f>
      </c>
      <c r="VB22" t="str">
        <f>IF(COUNTIF('Final Calculation Sheet'!$AL22:$BN22,0)+COUNTIF('Final Calculation Sheet'!$BP22:$BS22,0)&gt;0,0,1)</f>
      </c>
      <c r="VC22" t="str">
        <f>IF($FD$22="",FALSE,SUMPRODUCT(('Final Calculation Sheet'!$AD$4:$AD$40=$FD$22)*($VB$4:$VB$40=1))&gt;0)</f>
      </c>
      <c r="VD22" t="str">
        <f>=$VD21+--($VC22)</f>
      </c>
      <c r="VE22" t="str">
        <f>IF(ROW()-3&gt;MAX($VD$4:$VD$40),"",INDEX($FD$4:$FD$40,MATCH(ROW()-3,$VD$4:$VD$40,0)))</f>
      </c>
      <c r="VF22" t="str">
        <f>IF(COUNTIF('Final Calculation Sheet'!$AL22:$BO22,0)+COUNTIF('Final Calculation Sheet'!$BQ22:$BS22,0)&gt;0,0,1)</f>
      </c>
      <c r="VG22" t="str">
        <f>IF($FI$22="",FALSE,SUMPRODUCT(('Final Calculation Sheet'!$AE$4:$AE$40=$FI$22)*($VF$4:$VF$40=1))&gt;0)</f>
      </c>
      <c r="VH22" t="str">
        <f>=$VH21+--($VG22)</f>
      </c>
      <c r="VI22" t="str">
        <f>IF(ROW()-3&gt;MAX($VH$4:$VH$40),"",INDEX($FI$4:$FI$40,MATCH(ROW()-3,$VH$4:$VH$40,0)))</f>
      </c>
      <c r="VJ22" t="str">
        <f>IF(COUNTIF('Final Calculation Sheet'!$AL22:$BP22,0)+COUNTIF('Final Calculation Sheet'!$BR22:$BS22,0)&gt;0,0,1)</f>
      </c>
      <c r="VK22" t="str">
        <f>IF($FN$22="",FALSE,SUMPRODUCT(('Final Calculation Sheet'!$AF$4:$AF$40=$FN$22)*($VJ$4:$VJ$40=1))&gt;0)</f>
      </c>
      <c r="VL22" t="str">
        <f>=$VL21+--($VK22)</f>
      </c>
      <c r="VM22" t="str">
        <f>IF(ROW()-3&gt;MAX($VL$4:$VL$40),"",INDEX($FN$4:$FN$40,MATCH(ROW()-3,$VL$4:$VL$40,0)))</f>
      </c>
      <c r="VN22" t="str">
        <f>IF(COUNTIF('Final Calculation Sheet'!$AL22:$BQ22,0)+COUNTIF('Final Calculation Sheet'!$BS22:$BS22,0)&gt;0,0,1)</f>
      </c>
      <c r="VO22" t="str">
        <f>IF($FS$22="",FALSE,SUMPRODUCT(('Final Calculation Sheet'!$AG$4:$AG$40=$FS$22)*($VN$4:$VN$40=1))&gt;0)</f>
      </c>
      <c r="VP22" t="str">
        <f>=$VP21+--($VO22)</f>
      </c>
      <c r="VQ22" t="str">
        <f>IF(ROW()-3&gt;MAX($VP$4:$VP$40),"",INDEX($FS$4:$FS$40,MATCH(ROW()-3,$VP$4:$VP$40,0)))</f>
      </c>
      <c r="VR22" t="str">
        <f>IF(COUNTIF('Final Calculation Sheet'!$AL22:$BR22,0)&gt;0,0,1)</f>
      </c>
      <c r="VS22" t="str">
        <f>IF($QO$22="",FALSE,SUMPRODUCT(('Final Calculation Sheet'!$AH$4:$AH$40=$QO$22)*($VR$4:$VR$40=1))&gt;0)</f>
      </c>
      <c r="VT22" t="str">
        <f>=$VT21+--($VS22)</f>
      </c>
      <c r="VU22" t="str">
        <f>IF(ROW()-3&gt;MAX($VT$4:$VT$40),"",INDEX($QO$4:$QO$40,MATCH(ROW()-3,$VT$4:$VT$40,0)))</f>
      </c>
    </row>
    <row r="23">
      <c r="A23">
        <f>IF(IFERROR('Final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IF(IFERROR('Final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s="55">
        <f>IF('Final Calculation Sheet'!$C$23="","",'Final Calculation Sheet'!$C$23)</f>
        <v/>
      </c>
      <c r="AP23">
        <f>IF(AO23="","",COUNTIFS(AO$4:AO$40,"&lt;"&amp;AO23,AO$4:AO$40,"&lt;&gt;"&amp;"")+COUNTIF(AO$4:AO23,AO23))</f>
        <v/>
      </c>
      <c r="AQ23" s="55">
        <f>IF(ROW()-3&gt;COUNTIF(AO$4:AO$40,"&lt;&gt;"&amp;""),"",INDEX(AO$4:AO$40,MATCH(ROW()-3,AP$4:AP$40,0)))</f>
        <v/>
      </c>
      <c r="AR23">
        <f>AR22+IF(AND(AQ23&lt;&gt;"",COUNTIF(AQ$4:AQ23,AQ23)=1),1,0)</f>
        <v/>
      </c>
      <c r="AS23" s="55">
        <f>IF(ROW()-3&gt;MAX(AR$4:AR$40),"",INDEX(AQ$4:AQ$40,MATCH(ROW()-3,AR$4:AR$40,0)))</f>
        <v/>
      </c>
      <c r="AT23" s="55">
        <f>IF('Final Calculation Sheet'!$H$23="","",'Final Calculation Sheet'!$H$23)</f>
        <v/>
      </c>
      <c r="AU23">
        <f>IF(AT23="","",COUNTIFS(AT$4:AT$40,"&lt;"&amp;AT23,AT$4:AT$40,"&lt;&gt;"&amp;"")+COUNTIF(AT$4:AT23,AT23))</f>
        <v/>
      </c>
      <c r="AV23" s="55">
        <f>IF(ROW()-3&gt;COUNTIF(AT$4:AT$40,"&lt;&gt;"&amp;""),"",INDEX(AT$4:AT$40,MATCH(ROW()-3,AU$4:AU$40,0)))</f>
        <v/>
      </c>
      <c r="AW23">
        <f>AW22+IF(AND(AV23&lt;&gt;"",COUNTIF(AV$4:AV23,AV23)=1),1,0)</f>
        <v/>
      </c>
      <c r="AX23" s="55">
        <f>IF(ROW()-3&gt;MAX(AW$4:AW$40),"",INDEX(AV$4:AV$40,MATCH(ROW()-3,AW$4:AW$40,0)))</f>
        <v/>
      </c>
      <c r="AY23" s="55">
        <f>IF('Final Calculation Sheet'!$I$23="","",'Final Calculation Sheet'!$I$23)</f>
        <v/>
      </c>
      <c r="AZ23">
        <f>IF(AY23="","",COUNTIFS(AY$4:AY$40,"&lt;"&amp;AY23,AY$4:AY$40,"&lt;&gt;"&amp;"")+COUNTIF(AY$4:AY23,AY23))</f>
        <v/>
      </c>
      <c r="BA23" s="55">
        <f>IF(ROW()-3&gt;COUNTIF(AY$4:AY$40,"&lt;&gt;"&amp;""),"",INDEX(AY$4:AY$40,MATCH(ROW()-3,AZ$4:AZ$40,0)))</f>
        <v/>
      </c>
      <c r="BB23">
        <f>BB22+IF(AND(BA23&lt;&gt;"",COUNTIF(BA$4:BA23,BA23)=1),1,0)</f>
        <v/>
      </c>
      <c r="BC23" s="55">
        <f>IF(ROW()-3&gt;MAX(BB$4:BB$40),"",INDEX(BA$4:BA$40,MATCH(ROW()-3,BB$4:BB$40,0)))</f>
        <v/>
      </c>
      <c r="BD23" s="55">
        <f>IF('Final Calculation Sheet'!$J$23="","",'Final Calculation Sheet'!$J$23)</f>
        <v/>
      </c>
      <c r="BE23">
        <f>IF(BD23="","",COUNTIFS(BD$4:BD$40,"&lt;"&amp;BD23,BD$4:BD$40,"&lt;&gt;"&amp;"")+COUNTIF(BD$4:BD23,BD23))</f>
        <v/>
      </c>
      <c r="BF23" s="55">
        <f>IF(ROW()-3&gt;COUNTIF(BD$4:BD$40,"&lt;&gt;"&amp;""),"",INDEX(BD$4:BD$40,MATCH(ROW()-3,BE$4:BE$40,0)))</f>
        <v/>
      </c>
      <c r="BG23">
        <f>BG22+IF(AND(BF23&lt;&gt;"",COUNTIF(BF$4:BF23,BF23)=1),1,0)</f>
        <v/>
      </c>
      <c r="BH23" s="55">
        <f>IF(ROW()-3&gt;MAX(BG$4:BG$40),"",INDEX(BF$4:BF$40,MATCH(ROW()-3,BG$4:BG$40,0)))</f>
        <v/>
      </c>
      <c r="BI23" s="55">
        <f>IF('Final Calculation Sheet'!$K$23="","",'Final Calculation Sheet'!$K$23)</f>
        <v/>
      </c>
      <c r="BJ23">
        <f>IF(BI23="","",COUNTIFS(BI$4:BI$40,"&lt;"&amp;BI23,BI$4:BI$40,"&lt;&gt;"&amp;"")+COUNTIF(BI$4:BI23,BI23))</f>
        <v/>
      </c>
      <c r="BK23" s="55">
        <f>IF(ROW()-3&gt;COUNTIF(BI$4:BI$40,"&lt;&gt;"&amp;""),"",INDEX(BI$4:BI$40,MATCH(ROW()-3,BJ$4:BJ$40,0)))</f>
        <v/>
      </c>
      <c r="BL23">
        <f>BL22+IF(AND(BK23&lt;&gt;"",COUNTIF(BK$4:BK23,BK23)=1),1,0)</f>
        <v/>
      </c>
      <c r="BM23" s="55">
        <f>IF(ROW()-3&gt;MAX(BL$4:BL$40),"",INDEX(BK$4:BK$40,MATCH(ROW()-3,BL$4:BL$40,0)))</f>
        <v/>
      </c>
      <c r="BN23" s="55">
        <f>IF('Final Calculation Sheet'!$L$23="","",'Final Calculation Sheet'!$L$23)</f>
        <v/>
      </c>
      <c r="BO23">
        <f>IF(BN23="","",COUNTIFS(BN$4:BN$40,"&lt;"&amp;BN23,BN$4:BN$40,"&lt;&gt;"&amp;"")+COUNTIF(BN$4:BN23,BN23))</f>
        <v/>
      </c>
      <c r="BP23" s="55">
        <f>IF(ROW()-3&gt;COUNTIF(BN$4:BN$40,"&lt;&gt;"&amp;""),"",INDEX(BN$4:BN$40,MATCH(ROW()-3,BO$4:BO$40,0)))</f>
        <v/>
      </c>
      <c r="BQ23">
        <f>BQ22+IF(AND(BP23&lt;&gt;"",COUNTIF(BP$4:BP23,BP23)=1),1,0)</f>
        <v/>
      </c>
      <c r="BR23" s="55">
        <f>IF(ROW()-3&gt;MAX(BQ$4:BQ$40),"",INDEX(BP$4:BP$40,MATCH(ROW()-3,BQ$4:BQ$40,0)))</f>
        <v/>
      </c>
      <c r="BS23" s="55">
        <f>IF('Final Calculation Sheet'!$M$23="","",'Final Calculation Sheet'!$M$23)</f>
        <v/>
      </c>
      <c r="BT23">
        <f>IF(BS23="","",COUNTIFS(BS$4:BS$40,"&lt;"&amp;BS23,BS$4:BS$40,"&lt;&gt;"&amp;"")+COUNTIF(BS$4:BS23,BS23))</f>
        <v/>
      </c>
      <c r="BU23" s="55">
        <f>IF(ROW()-3&gt;COUNTIF(BS$4:BS$40,"&lt;&gt;"&amp;""),"",INDEX(BS$4:BS$40,MATCH(ROW()-3,BT$4:BT$40,0)))</f>
        <v/>
      </c>
      <c r="BV23">
        <f>BV22+IF(AND(BU23&lt;&gt;"",COUNTIF(BU$4:BU23,BU23)=1),1,0)</f>
        <v/>
      </c>
      <c r="BW23" s="55">
        <f>IF(ROW()-3&gt;MAX(BV$4:BV$40),"",INDEX(BU$4:BU$40,MATCH(ROW()-3,BV$4:BV$40,0)))</f>
        <v/>
      </c>
      <c r="BX23" s="138">
        <f>IF('Final Calculation Sheet'!$N$23="","",'Final Calculation Sheet'!$N$23)</f>
        <v/>
      </c>
      <c r="BY23">
        <f>IF(BX23="","",COUNTIFS(BX$4:BX$40,"&lt;"&amp;BX23,BX$4:BX$40,"&lt;&gt;"&amp;"")+COUNTIF(BX$4:BX23,BX23))</f>
        <v/>
      </c>
      <c r="BZ23" s="138">
        <f>IF(ROW()-3&gt;COUNTIF(BX$4:BX$40,"&lt;&gt;"&amp;""),"",INDEX(BX$4:BX$40,MATCH(ROW()-3,BY$4:BY$40,0)))</f>
        <v/>
      </c>
      <c r="CA23">
        <f>CA22+IF(AND(BZ23&lt;&gt;"",COUNTIF(BZ$4:BZ23,BZ23)=1),1,0)</f>
        <v/>
      </c>
      <c r="CB23" s="138">
        <f>IF(ROW()-3&gt;MAX(CA$4:CA$40),"",INDEX(BZ$4:BZ$40,MATCH(ROW()-3,CA$4:CA$40,0)))</f>
        <v/>
      </c>
      <c r="CC23" s="55">
        <f>IF('Final Calculation Sheet'!$O$23="","",'Final Calculation Sheet'!$O$23)</f>
        <v/>
      </c>
      <c r="CD23">
        <f>IF(CC23="","",COUNTIFS(CC$4:CC$40,"&lt;"&amp;CC23,CC$4:CC$40,"&lt;&gt;"&amp;"")+COUNTIF(CC$4:CC23,CC23))</f>
        <v/>
      </c>
      <c r="CE23" s="55">
        <f>IF(ROW()-3&gt;COUNTIF(CC$4:CC$40,"&lt;&gt;"&amp;""),"",INDEX(CC$4:CC$40,MATCH(ROW()-3,CD$4:CD$40,0)))</f>
        <v/>
      </c>
      <c r="CF23">
        <f>CF22+IF(AND(CE23&lt;&gt;"",COUNTIF(CE$4:CE23,CE23)=1),1,0)</f>
        <v/>
      </c>
      <c r="CG23" s="55">
        <f>IF(ROW()-3&gt;MAX(CF$4:CF$40),"",INDEX(CE$4:CE$40,MATCH(ROW()-3,CF$4:CF$40,0)))</f>
        <v/>
      </c>
      <c r="CH23" s="55">
        <f>IF('Final Calculation Sheet'!$P$23="","",'Final Calculation Sheet'!$P$23)</f>
        <v/>
      </c>
      <c r="CI23">
        <f>IF(CH23="","",COUNTIFS(CH$4:CH$40,"&lt;"&amp;CH23,CH$4:CH$40,"&lt;&gt;"&amp;"")+COUNTIF(CH$4:CH23,CH23))</f>
        <v/>
      </c>
      <c r="CJ23" s="55">
        <f>IF(ROW()-3&gt;COUNTIF(CH$4:CH$40,"&lt;&gt;"&amp;""),"",INDEX(CH$4:CH$40,MATCH(ROW()-3,CI$4:CI$40,0)))</f>
        <v/>
      </c>
      <c r="CK23">
        <f>CK22+IF(AND(CJ23&lt;&gt;"",COUNTIF(CJ$4:CJ23,CJ23)=1),1,0)</f>
        <v/>
      </c>
      <c r="CL23" s="55">
        <f>IF(ROW()-3&gt;MAX(CK$4:CK$40),"",INDEX(CJ$4:CJ$40,MATCH(ROW()-3,CK$4:CK$40,0)))</f>
        <v/>
      </c>
      <c r="CM23" s="139">
        <f>IF('Final Calculation Sheet'!$Q$23="","",'Final Calculation Sheet'!$Q$23)</f>
        <v/>
      </c>
      <c r="CN23">
        <f>IF(CM23="","",COUNTIFS(CM$4:CM$40,"&lt;"&amp;CM23,CM$4:CM$40,"&lt;&gt;"&amp;"")+COUNTIF(CM$4:CM23,CM23))</f>
        <v/>
      </c>
      <c r="CO23" s="139">
        <f>IF(ROW()-3&gt;COUNTIF(CM$4:CM$40,"&lt;&gt;"&amp;""),"",INDEX(CM$4:CM$40,MATCH(ROW()-3,CN$4:CN$40,0)))</f>
        <v/>
      </c>
      <c r="CP23">
        <f>CP22+IF(AND(CO23&lt;&gt;"",COUNTIF(CO$4:CO23,CO23)=1),1,0)</f>
        <v/>
      </c>
      <c r="CQ23">
        <f>IF(ROW()-3&gt;MAX(CP$4:CP$40),"",INDEX(CO$4:CO$40,MATCH(ROW()-3,CP$4:CP$40,0)))</f>
        <v/>
      </c>
      <c r="CR23" s="55">
        <f>IF('Final Calculation Sheet'!$R$23="","",'Final Calculation Sheet'!$R$23)</f>
        <v/>
      </c>
      <c r="CS23">
        <f>IF(CR23="","",COUNTIFS(CR$4:CR$40,"&lt;"&amp;CR23,CR$4:CR$40,"&lt;&gt;"&amp;"")+COUNTIF(CR$4:CR23,CR23))</f>
        <v/>
      </c>
      <c r="CT23" s="55">
        <f>IF(ROW()-3&gt;COUNTIF(CR$4:CR$40,"&lt;&gt;"&amp;""),"",INDEX(CR$4:CR$40,MATCH(ROW()-3,CS$4:CS$40,0)))</f>
        <v/>
      </c>
      <c r="CU23">
        <f>CU22+IF(AND(CT23&lt;&gt;"",COUNTIF(CT$4:CT23,CT23)=1),1,0)</f>
        <v/>
      </c>
      <c r="CV23">
        <f>IF(ROW()-3&gt;MAX(CU$4:CU$40),"",INDEX(CT$4:CT$40,MATCH(ROW()-3,CU$4:CU$40,0)))</f>
        <v/>
      </c>
      <c r="CW23" s="55">
        <f>IF('Final Calculation Sheet'!$S$23="","",'Final Calculation Sheet'!$S$23)</f>
        <v/>
      </c>
      <c r="CX23">
        <f>IF(CW23="","",COUNTIFS(CW$4:CW$40,"&lt;"&amp;CW23,CW$4:CW$40,"&lt;&gt;"&amp;"")+COUNTIF(CW$4:CW23,CW23))</f>
        <v/>
      </c>
      <c r="CY23" s="55">
        <f>IF(ROW()-3&gt;COUNTIF(CW$4:CW$40,"&lt;&gt;"&amp;""),"",INDEX(CW$4:CW$40,MATCH(ROW()-3,CX$4:CX$40,0)))</f>
        <v/>
      </c>
      <c r="CZ23">
        <f>CZ22+IF(AND(CY23&lt;&gt;"",COUNTIF(CY$4:CY23,CY23)=1),1,0)</f>
        <v/>
      </c>
      <c r="DA23" s="55">
        <f>IF(ROW()-3&gt;MAX(CZ$4:CZ$40),"",INDEX(CY$4:CY$40,MATCH(ROW()-3,CZ$4:CZ$40,0)))</f>
        <v/>
      </c>
      <c r="DB23" s="55">
        <f>IF('Final Calculation Sheet'!$T$23="","",'Final Calculation Sheet'!$T$23)</f>
        <v/>
      </c>
      <c r="DC23">
        <f>IF(DB23="","",COUNTIFS(DB$4:DB$40,"&lt;"&amp;DB23,DB$4:DB$40,"&lt;&gt;"&amp;"")+COUNTIF(DB$4:DB23,DB23))</f>
        <v/>
      </c>
      <c r="DD23" s="55">
        <f>IF(ROW()-3&gt;COUNTIF(DB$4:DB$40,"&lt;&gt;"&amp;""),"",INDEX(DB$4:DB$40,MATCH(ROW()-3,DC$4:DC$40,0)))</f>
        <v/>
      </c>
      <c r="DE23">
        <f>DE22+IF(AND(DD23&lt;&gt;"",COUNTIF(DD$4:DD23,DD23)=1),1,0)</f>
        <v/>
      </c>
      <c r="DF23" s="55">
        <f>IF(ROW()-3&gt;MAX(DE$4:DE$40),"",INDEX(DD$4:DD$40,MATCH(ROW()-3,DE$4:DE$40,0)))</f>
        <v/>
      </c>
      <c r="DG23" s="140">
        <f>IF('Final Calculation Sheet'!$U$23="","",'Final Calculation Sheet'!$U$23)</f>
        <v/>
      </c>
      <c r="DH23">
        <f>IF(DG23="","",COUNTIFS(DG$4:DG$40,"&lt;"&amp;DG23,DG$4:DG$40,"&lt;&gt;"&amp;"")+COUNTIF(DG$4:DG23,DG23))</f>
        <v/>
      </c>
      <c r="DI23" s="140">
        <f>IF(ROW()-3&gt;COUNTIF(DG$4:DG$40,"&lt;&gt;"&amp;""),"",INDEX(DG$4:DG$40,MATCH(ROW()-3,DH$4:DH$40,0)))</f>
        <v/>
      </c>
      <c r="DJ23">
        <f>DJ22+IF(AND(DI23&lt;&gt;"",COUNTIF(DI$4:DI23,DI23)=1),1,0)</f>
        <v/>
      </c>
      <c r="DK23" s="140">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s="55">
        <f>IF('Final Calculation Sheet'!$W$23="","",'Final Calculation Sheet'!$W$23)</f>
        <v/>
      </c>
      <c r="DR23">
        <f>IF(DQ23="","",COUNTIFS(DQ$4:DQ$40,"&lt;"&amp;DQ23,DQ$4:DQ$40,"&lt;&gt;"&amp;"")+COUNTIF(DQ$4:DQ23,DQ23))</f>
        <v/>
      </c>
      <c r="DS23" s="55">
        <f>IF(ROW()-3&gt;COUNTIF(DQ$4:DQ$40,"&lt;&gt;"&amp;""),"",INDEX(DQ$4:DQ$40,MATCH(ROW()-3,DR$4:DR$40,0)))</f>
        <v/>
      </c>
      <c r="DT23">
        <f>DT22+IF(AND(DS23&lt;&gt;"",COUNTIF(DS$4:DS23,DS23)=1),1,0)</f>
        <v/>
      </c>
      <c r="DU23" s="55">
        <f>IF(ROW()-3&gt;MAX(DT$4:DT$40),"",INDEX(DS$4:DS$40,MATCH(ROW()-3,DT$4:DT$40,0)))</f>
        <v/>
      </c>
      <c r="DV23" s="55">
        <f>IF('Final Calculation Sheet'!$X$23="","",'Final Calculation Sheet'!$X$23)</f>
        <v/>
      </c>
      <c r="DW23">
        <f>IF(DV23="","",COUNTIFS(DV$4:DV$40,"&lt;"&amp;DV23,DV$4:DV$40,"&lt;&gt;"&amp;"")+COUNTIF(DV$4:DV23,DV23))</f>
        <v/>
      </c>
      <c r="DX23" s="55">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s="55">
        <f>IF('Final Calculation Sheet'!$Z$23="","",'Final Calculation Sheet'!$Z$23)</f>
        <v/>
      </c>
      <c r="EG23">
        <f>IF(EF23="","",COUNTIFS(EF$4:EF$40,"&lt;"&amp;EF23,EF$4:EF$40,"&lt;&gt;"&amp;"")+COUNTIF(EF$4:EF23,EF23))</f>
        <v/>
      </c>
      <c r="EH23" s="55">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s="55">
        <f>IF('Final Calculation Sheet'!$AC$23="","",'Final Calculation Sheet'!$AC$23)</f>
        <v/>
      </c>
      <c r="EV23">
        <f>IF(EU23="","",COUNTIFS(EU$4:EU$40,"&lt;"&amp;EU23,EU$4:EU$40,"&lt;&gt;"&amp;"")+COUNTIF(EU$4:EU23,EU23))</f>
        <v/>
      </c>
      <c r="EW23" s="55">
        <f>IF(ROW()-3&gt;COUNTIF(EU$4:EU$40,"&lt;&gt;"&amp;""),"",INDEX(EU$4:EU$40,MATCH(ROW()-3,EV$4:EV$40,0)))</f>
        <v/>
      </c>
      <c r="EX23">
        <f>EX22+IF(AND(EW23&lt;&gt;"",COUNTIF(EW$4:EW23,EW23)=1),1,0)</f>
        <v/>
      </c>
      <c r="EY23" s="55">
        <f>IF(ROW()-3&gt;MAX(EX$4:EX$40),"",INDEX(EW$4:EW$40,MATCH(ROW()-3,EX$4:EX$40,0)))</f>
        <v/>
      </c>
      <c r="EZ23" s="55">
        <f>IF('Final Calculation Sheet'!$AD$23="","",'Final Calculation Sheet'!$AD$23)</f>
        <v/>
      </c>
      <c r="FA23">
        <f>IF(EZ23="","",COUNTIFS(EZ$4:EZ$40,"&lt;"&amp;EZ23,EZ$4:EZ$40,"&lt;&gt;"&amp;"")+COUNTIF(EZ$4:EZ23,EZ23))</f>
        <v/>
      </c>
      <c r="FB23" s="55">
        <f>IF(ROW()-3&gt;COUNTIF(EZ$4:EZ$40,"&lt;&gt;"&amp;""),"",INDEX(EZ$4:EZ$40,MATCH(ROW()-3,FA$4:FA$40,0)))</f>
        <v/>
      </c>
      <c r="FC23">
        <f>FC22+IF(AND(FB23&lt;&gt;"",COUNTIF(FB$4:FB23,FB23)=1),1,0)</f>
        <v/>
      </c>
      <c r="FD23">
        <f>IF(ROW()-3&gt;MAX(FC$4:FC$40),"",INDEX(FB$4:FB$40,MATCH(ROW()-3,FC$4:FC$40,0)))</f>
        <v/>
      </c>
      <c r="FE23">
        <f>IF('Final Calculation Sheet'!$AF$23="","",'Final Calculation Sheet'!$AF$23)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s="141">
        <f>IF('Final Calculation Sheet'!$AG$23="","",'Final Calculation Sheet'!$AG$23)</f>
        <v/>
      </c>
      <c r="FK23">
        <f>IF(FJ23="","",COUNTIFS(FJ$4:FJ$40,"&lt;"&amp;FJ23,FJ$4:FJ$40,"&lt;&gt;"&amp;"")+COUNTIF(FJ$4:FJ23,FJ23))</f>
        <v/>
      </c>
      <c r="FL23" s="141">
        <f>IF(ROW()-3&gt;COUNTIF(FJ$4:FJ$40,"&lt;&gt;"&amp;""),"",INDEX(FJ$4:FJ$40,MATCH(ROW()-3,FK$4:FK$40,0)))</f>
        <v/>
      </c>
      <c r="FM23">
        <f>FM22+IF(AND(FL23&lt;&gt;"",COUNTIF(FL$4:FL23,FL23)=1),1,0)</f>
        <v/>
      </c>
      <c r="FN23">
        <f>IF(ROW()-3&gt;MAX(FM$4:FM$40),"",INDEX(FL$4:FL$40,MATCH(ROW()-3,FM$4:FM$40,0)))</f>
        <v/>
      </c>
      <c r="FO23">
        <f>IF('Final Calculation Sheet'!$AH$23="","",'Final Calculation Sheet'!$AH$23)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c r="FY23">
        <f>IF(COUNTIF('Live Search'!BM$22:BO$22,0)+COUNTIF('Live Search'!BQ$22:CU$22,0)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3">
        <f>IF($Y$23="",FALSE,SUMPRODUCT(('Final Calculation Sheet'!$B$4:$B$40=$Y$23)*($FY$6:$FY$42=1))&gt;0)</f>
        <v/>
      </c>
      <c r="GA23">
        <f>$GA$22+--($FZ$23)</f>
        <v/>
      </c>
      <c r="GB23">
        <f>IF(ROW()-3&gt;MAX($GA$4:$GA$40),"",INDEX($Y$4:$Y$40,MATCH(ROW()-3,$GA$4:$GA$40,0)))</f>
        <v/>
      </c>
      <c r="GC23">
        <f>IF(COUNTIF('Live Search'!BM$22:BM$22,0)+COUNTIF('Live Search'!BO$22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D23">
        <f>IF($O$23="",FALSE,SUMPRODUCT(('Final Calculation Sheet'!$F$4:$F$40=$O$23)*($GC$6:$GC$42=1))&gt;0)</f>
        <v/>
      </c>
      <c r="GE23">
        <f>$GE$22+--($GD23)</f>
        <v/>
      </c>
      <c r="GF23">
        <f>IF(ROW()-3&gt;MAX($GE$4:$GE$40),"",INDEX($O$4:$O$40,MATCH(ROW()-3,$GE$4:$GE$40,0)))</f>
        <v/>
      </c>
      <c r="GG23">
        <f>IF(COUNTIF('Live Search'!BM$22:BN$22,0)+COUNTIF('Live Search'!BP$22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H23">
        <f>IF($T$23="",FALSE,SUMPRODUCT(('Final Calculation Sheet'!$G$4:$G$40=$T$23)*($GG$6:$GG$42=1))&gt;0)</f>
        <v/>
      </c>
      <c r="GI23">
        <f>$GI$22+--($GH23)</f>
        <v/>
      </c>
      <c r="GJ23">
        <f>IF(ROW()-3&gt;MAX($GI$4:$GI$40),"",INDEX($T$4:$T$40,MATCH(ROW()-3,$GI$4:$GI$40,0)))</f>
        <v/>
      </c>
      <c r="GK23">
        <f>IF(COUNTIF('Live Search'!BM$22:BP$22,0)+COUNTIF('Live Search'!BR$22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L23">
        <f>IF($AD$23="",FALSE,SUMPRODUCT(('Final Calculation Sheet'!$D$4:$D$40=$AD$23)*($GK$6:$GK$42=1))&gt;0)</f>
        <v/>
      </c>
      <c r="GM23">
        <f>$GM$22+--($GL23)</f>
        <v/>
      </c>
      <c r="GN23">
        <f>IF(ROW()-3&gt;MAX($GM$4:$GM$40),"",INDEX($AD$4:$AD$40,MATCH(ROW()-3,$GM$4:$GM$40,0)))</f>
        <v/>
      </c>
      <c r="GO23">
        <f>IF(COUNTIF('Live Search'!BM$22:BQ$22,0)+COUNTIF('Live Search'!BS$22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P23">
        <f>IF($AI$23="",FALSE,SUMPRODUCT(('Final Calculation Sheet'!$A$4:$A$40=$AI$23)*($GO$6:$GO$42=1))&gt;0)</f>
        <v/>
      </c>
      <c r="GQ23">
        <f>$GQ$22+--($GP23)</f>
        <v/>
      </c>
      <c r="GR23">
        <f>IF(ROW()-3&gt;MAX($GQ$4:$GQ$40),"",INDEX($AI$4:$AI$40,MATCH(ROW()-3,$GQ$4:$GQ$40,0)))</f>
        <v/>
      </c>
      <c r="GS23">
        <f>IF(COUNTIF('Live Search'!BM$22:BR$22,0)+COUNTIF('Live Search'!BT$22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T23">
        <f>IF($AN$23="",FALSE,SUMPRODUCT(('Final Calculation Sheet'!$E$4:$E$40=$AN$23)*($GS$6:$GS$42=1))&gt;0)</f>
        <v/>
      </c>
      <c r="GU23">
        <f>$GU$22+--($GT23)</f>
        <v/>
      </c>
      <c r="GV23">
        <f>IF(ROW()-3&gt;MAX($GU$4:$GU$40),"",INDEX($AN$4:$AN$40,MATCH(ROW()-3,$GU$4:$GU$40,0)))</f>
        <v/>
      </c>
      <c r="GW23">
        <f>IF(COUNTIF('Live Search'!BM$22:BS$22,0)+COUNTIF('Live Search'!BU$22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GX23">
        <f>IF($AS$23="",FALSE,SUMPRODUCT(('Final Calculation Sheet'!$C$4:$C$40=$AS$23)*($GW$6:$GW$42=1))&gt;0)</f>
        <v/>
      </c>
      <c r="GY23">
        <f>$GY$22+--($GX23)</f>
        <v/>
      </c>
      <c r="GZ23">
        <f>IF(ROW()-3&gt;MAX($GY$4:$GY$40),"",INDEX($AS$4:$AS$40,MATCH(ROW()-3,$GY$4:$GY$40,0)))</f>
        <v/>
      </c>
      <c r="HA23">
        <f>IF(COUNTIF('Live Search'!BM$22:BT$22,0)+COUNTIF('Live Search'!BV$22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B23">
        <f>IF($AX$23="",FALSE,SUMPRODUCT(('Final Calculation Sheet'!$H$4:$H$40=$AX$23)*($HA$6:$HA$42=1))&gt;0)</f>
        <v/>
      </c>
      <c r="HC23">
        <f>$HC$22+--($HB23)</f>
        <v/>
      </c>
      <c r="HD23">
        <f>IF(ROW()-3&gt;MAX($HC$4:$HC$40),"",INDEX($AX$4:$AX$40,MATCH(ROW()-3,$HC$4:$HC$40,0)))</f>
        <v/>
      </c>
      <c r="HE23">
        <f>IF(COUNTIF('Live Search'!BM$22:BU$22,0)+COUNTIF('Live Search'!BW$22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F23">
        <f>IF($BC$23="",FALSE,SUMPRODUCT(('Final Calculation Sheet'!$I$4:$I$40=$BC$23)*($HE$6:$HE$42=1))&gt;0)</f>
        <v/>
      </c>
      <c r="HG23">
        <f>$HG$22+--($HF23)</f>
        <v/>
      </c>
      <c r="HH23">
        <f>IF(ROW()-3&gt;MAX($HG$4:$HG$40),"",INDEX($BC$4:$BC$40,MATCH(ROW()-3,$HG$4:$HG$40,0)))</f>
        <v/>
      </c>
      <c r="HI23">
        <f>IF(COUNTIF('Live Search'!BM$22:BV$22,0)+COUNTIF('Live Search'!BX$22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J23">
        <f>IF($BH$23="",FALSE,SUMPRODUCT(('Final Calculation Sheet'!$J$4:$J$40=$BH$23)*($HI$6:$HI$42=1))&gt;0)</f>
        <v/>
      </c>
      <c r="HK23">
        <f>$HK$22+--($HJ23)</f>
        <v/>
      </c>
      <c r="HL23">
        <f>IF(ROW()-3&gt;MAX($HK$4:$HK$40),"",INDEX($BH$4:$BH$40,MATCH(ROW()-3,$HK$4:$HK$40,0)))</f>
        <v/>
      </c>
      <c r="HM23">
        <f>IF(COUNTIF('Live Search'!BM$22:BW$22,0)+COUNTIF('Live Search'!BY$22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N23">
        <f>IF($BM$23="",FALSE,SUMPRODUCT(('Final Calculation Sheet'!$K$4:$K$40=$BM$23)*($HM$6:$HM$42=1))&gt;0)</f>
        <v/>
      </c>
      <c r="HO23">
        <f>$HO$22+--($HN23)</f>
        <v/>
      </c>
      <c r="HP23">
        <f>IF(ROW()-3&gt;MAX($HO$4:$HO$40),"",INDEX($BM$4:$BM$40,MATCH(ROW()-3,$HO$4:$HO$40,0)))</f>
        <v/>
      </c>
      <c r="HQ23">
        <f>IF(COUNTIF('Live Search'!BM$22:BX$22,0)+COUNTIF('Live Search'!BZ$22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R23">
        <f>IF($BR$23="",FALSE,SUMPRODUCT(('Final Calculation Sheet'!$L$4:$L$40=$BR$23)*($HQ$6:$HQ$42=1))&gt;0)</f>
        <v/>
      </c>
      <c r="HS23">
        <f>$HS$22+--($HR23)</f>
        <v/>
      </c>
      <c r="HT23">
        <f>IF(ROW()-3&gt;MAX($HS$4:$HS$40),"",INDEX($BR$4:$BR$40,MATCH(ROW()-3,$HS$4:$HS$40,0)))</f>
        <v/>
      </c>
      <c r="HU23">
        <f>IF(COUNTIF('Live Search'!BM$22:BY$22,0)+COUNTIF('Live Search'!CA$22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V23">
        <f>IF($BW$23="",FALSE,SUMPRODUCT(('Final Calculation Sheet'!$M$4:$M$40=$BW$23)*($HU$6:$HU$42=1))&gt;0)</f>
        <v/>
      </c>
      <c r="HW23">
        <f>$HW$22+--($HV23)</f>
        <v/>
      </c>
      <c r="HX23">
        <f>IF(ROW()-3&gt;MAX($HW$4:$HW$40),"",INDEX($BW$4:$BW$40,MATCH(ROW()-3,$HW$4:$HW$40,0)))</f>
        <v/>
      </c>
      <c r="HY23">
        <f>IF(COUNTIF('Live Search'!BM$22:BZ$22,0)+COUNTIF('Live Search'!CB$22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HZ23">
        <f>IF($CB$23="",FALSE,SUMPRODUCT(('Final Calculation Sheet'!$N$4:$N$40=$CB$23)*($HY$6:$HY$42=1))&gt;0)</f>
        <v/>
      </c>
      <c r="IA23">
        <f>$IA$22+--($HZ23)</f>
        <v/>
      </c>
      <c r="IB23">
        <f>IF(ROW()-3&gt;MAX($IA$4:$IA$40),"",INDEX($CB$4:$CB$40,MATCH(ROW()-3,$IA$4:$IA$40,0)))</f>
        <v/>
      </c>
      <c r="IC23">
        <f>IF(COUNTIF('Live Search'!BM$22:CA$22,0)+COUNTIF('Live Search'!CC$22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D23">
        <f>IF($CG$23="",FALSE,SUMPRODUCT(('Final Calculation Sheet'!$O$4:$O$40=$CG$23)*($IC$6:$IC$42=1))&gt;0)</f>
        <v/>
      </c>
      <c r="IE23">
        <f>$IE$22+--($ID23)</f>
        <v/>
      </c>
      <c r="IF23">
        <f>IF(ROW()-3&gt;MAX($IE$4:$IE$40),"",INDEX($CG$4:$CG$40,MATCH(ROW()-3,$IE$4:$IE$40,0)))</f>
        <v/>
      </c>
      <c r="IG23">
        <f>IF(COUNTIF('Live Search'!BM$22:CB$22,0)+COUNTIF('Live Search'!CD$22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H23">
        <f>IF($CL$23="",FALSE,SUMPRODUCT(('Final Calculation Sheet'!$P$4:$P$40=$CL$23)*($IG$6:$IG$42=1))&gt;0)</f>
        <v/>
      </c>
      <c r="II23">
        <f>$II$22+--($IH23)</f>
        <v/>
      </c>
      <c r="IJ23">
        <f>IF(ROW()-3&gt;MAX($II$4:$II$40),"",INDEX($CL$4:$CL$40,MATCH(ROW()-3,$II$4:$II$40,0)))</f>
        <v/>
      </c>
      <c r="IK23">
        <f>IF(COUNTIF('Live Search'!BM$22:CC$22,0)+COUNTIF('Live Search'!CE$22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L23">
        <f>IF($CQ$23="",FALSE,SUMPRODUCT(('Final Calculation Sheet'!$Q$4:$Q$40=$CQ$23)*($IK$6:$IK$42=1))&gt;0)</f>
        <v/>
      </c>
      <c r="IM23">
        <f>$IM$22+--($IL23)</f>
        <v/>
      </c>
      <c r="IN23">
        <f>IF(ROW()-3&gt;MAX($IM$4:$IM$40),"",INDEX($CQ$4:$CQ$40,MATCH(ROW()-3,$IM$4:$IM$40,0)))</f>
        <v/>
      </c>
      <c r="IO23">
        <f>IF(COUNTIF('Live Search'!BM$22:CD$22,0)+COUNTIF('Live Search'!CF$22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P23">
        <f>IF($CV$23="",FALSE,SUMPRODUCT(('Final Calculation Sheet'!$R$4:$R$40=$CV$23)*($IO$6:$IO$42=1))&gt;0)</f>
        <v/>
      </c>
      <c r="IQ23">
        <f>$IQ$22+--($IP23)</f>
        <v/>
      </c>
      <c r="IR23">
        <f>IF(ROW()-3&gt;MAX($IQ$4:$IQ$40),"",INDEX($CV$4:$CV$40,MATCH(ROW()-3,$IQ$4:$IQ$40,0)))</f>
        <v/>
      </c>
      <c r="IS23">
        <f>IF(COUNTIF('Live Search'!BM$22:CE$22,0)+COUNTIF('Live Search'!CG$22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T23">
        <f>IF($DA$23="",FALSE,SUMPRODUCT(('Final Calculation Sheet'!$S$4:$S$40=$DA$23)*($IS$6:$IS$42=1))&gt;0)</f>
        <v/>
      </c>
      <c r="IU23">
        <f>$IU$22+--($IT23)</f>
        <v/>
      </c>
      <c r="IV23">
        <f>IF(ROW()-3&gt;MAX($IU$4:$IU$40),"",INDEX($DA$4:$DA$40,MATCH(ROW()-3,$IU$4:$IU$40,0)))</f>
        <v/>
      </c>
      <c r="IW23">
        <f>IF(COUNTIF('Live Search'!BM$22:CF$22,0)+COUNTIF('Live Search'!CH$22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IX23">
        <f>IF($DF$23="",FALSE,SUMPRODUCT(('Final Calculation Sheet'!$T$4:$T$40=$DF$23)*($IW$6:$IW$42=1))&gt;0)</f>
        <v/>
      </c>
      <c r="IY23">
        <f>$IY$22+--($IX23)</f>
        <v/>
      </c>
      <c r="IZ23">
        <f>IF(ROW()-3&gt;MAX($IY$4:$IY$40),"",INDEX($DF$4:$DF$40,MATCH(ROW()-3,$IY$4:$IY$40,0)))</f>
        <v/>
      </c>
      <c r="JA23">
        <f>IF(COUNTIF('Live Search'!BM$22:CG$22,0)+COUNTIF('Live Search'!CI$22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B23">
        <f>IF($DK$23="",FALSE,SUMPRODUCT(('Final Calculation Sheet'!$U$4:$U$40=$DK$23)*($JA$6:$JA$42=1))&gt;0)</f>
        <v/>
      </c>
      <c r="JC23">
        <f>$JC$22+--($JB23)</f>
        <v/>
      </c>
      <c r="JD23">
        <f>IF(ROW()-3&gt;MAX($JC$4:$JC$40),"",INDEX($DK$4:$DK$40,MATCH(ROW()-3,$JC$4:$JC$40,0)))</f>
        <v/>
      </c>
      <c r="JE23">
        <f>IF(COUNTIF('Live Search'!BM$22:CH$22,0)+COUNTIF('Live Search'!CJ$22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F23">
        <f>IF($DP$23="",FALSE,SUMPRODUCT(('Final Calculation Sheet'!$V$4:$V$40=$DP$23)*($JE$6:$JE$42=1))&gt;0)</f>
        <v/>
      </c>
      <c r="JG23">
        <f>$JG$22+--($JF23)</f>
        <v/>
      </c>
      <c r="JH23">
        <f>IF(ROW()-3&gt;MAX($JG$4:$JG$40),"",INDEX($DP$4:$DP$40,MATCH(ROW()-3,$JG$4:$JG$40,0)))</f>
        <v/>
      </c>
      <c r="JI23">
        <f>IF(COUNTIF('Live Search'!BM$22:CI$22,0)+COUNTIF('Live Search'!CK$22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J23">
        <f>IF($DU$23="",FALSE,SUMPRODUCT(('Final Calculation Sheet'!$W$4:$W$40=$DU$23)*($JI$6:$JI$42=1))&gt;0)</f>
        <v/>
      </c>
      <c r="JK23">
        <f>$JK$22+--($JJ23)</f>
        <v/>
      </c>
      <c r="JL23">
        <f>IF(ROW()-3&gt;MAX($JK$4:$JK$40),"",INDEX($DU$4:$DU$40,MATCH(ROW()-3,$JK$4:$JK$40,0)))</f>
        <v/>
      </c>
      <c r="JM23">
        <f>IF(COUNTIF('Live Search'!BM$22:CJ$22,0)+COUNTIF('Live Search'!CL$22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N23">
        <f>IF($DZ$23="",FALSE,SUMPRODUCT(('Final Calculation Sheet'!$X$4:$X$40=$DZ$23)*($JM$6:$JM$42=1))&gt;0)</f>
        <v/>
      </c>
      <c r="JO23">
        <f>$JO$22+--($JN23)</f>
        <v/>
      </c>
      <c r="JP23">
        <f>IF(ROW()-3&gt;MAX($JO$4:$JO$40),"",INDEX($DZ$4:$DZ$40,MATCH(ROW()-3,$JO$4:$JO$40,0)))</f>
        <v/>
      </c>
      <c r="JQ23">
        <f>IF(COUNTIF('Live Search'!BM$22:CK$22,0)+COUNTIF('Live Search'!C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R23">
        <f>IF($EE$23="",FALSE,SUMPRODUCT(('Final Calculation Sheet'!$Y$4:$Y$40=$EE$23)*($JQ$6:$JQ$42=1))&gt;0)</f>
        <v/>
      </c>
      <c r="JS23">
        <f>$JS$22+--($JR23)</f>
        <v/>
      </c>
      <c r="JT23">
        <f>IF(ROW()-3&gt;MAX($JS$4:$JS$40),"",INDEX($EE$4:$EE$40,MATCH(ROW()-3,$JS$4:$JS$40,0)))</f>
        <v/>
      </c>
      <c r="JU23">
        <f>IF(COUNTIF('Live Search'!BM$22:CL$22,0)+COUNTIF('Live Search'!CN$22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V23">
        <f>IF($EJ$23="",FALSE,SUMPRODUCT(('Final Calculation Sheet'!$Z$4:$Z$40=$EJ$23)*($JU$6:$JU$42=1))&gt;0)</f>
        <v/>
      </c>
      <c r="JW23">
        <f>$JW$22+--($JV23)</f>
        <v/>
      </c>
      <c r="JX23">
        <f>IF(ROW()-3&gt;MAX($JW$4:$JW$40),"",INDEX($EJ$4:$EJ$40,MATCH(ROW()-3,$JW$4:$JW$40,0)))</f>
        <v/>
      </c>
      <c r="JY23">
        <f>IF(COUNTIF('Live Search'!BM$22:CM$22,0)+COUNTIF('Live Search'!CO$22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JZ23">
        <f>IF($EO$23="",FALSE,SUMPRODUCT(('Final Calculation Sheet'!$AA$4:$AA$40=$EO$23)*($JY$6:$JY$42=1))&gt;0)</f>
        <v/>
      </c>
      <c r="KA23">
        <f>$KA$22+--($JZ23)</f>
        <v/>
      </c>
      <c r="KB23">
        <f>IF(ROW()-3&gt;MAX($KA$4:$KA$40),"",INDEX($EO$4:$EO$40,MATCH(ROW()-3,$KA$4:$KA$40,0)))</f>
        <v/>
      </c>
      <c r="KC23">
        <f>IF(COUNTIF('Live Search'!BM$22:CN$22,0)+COUNTIF('Live Search'!CP$22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D23">
        <f>IF($ET$23="",FALSE,SUMPRODUCT(('Final Calculation Sheet'!$AB$4:$AB$40=$ET$23)*($KC$6:$KC$42=1))&gt;0)</f>
        <v/>
      </c>
      <c r="KE23">
        <f>$KE$22+--($KD23)</f>
        <v/>
      </c>
      <c r="KF23">
        <f>IF(ROW()-3&gt;MAX($KE$4:$KE$40),"",INDEX($ET$4:$ET$40,MATCH(ROW()-3,$KE$4:$KE$40,0)))</f>
        <v/>
      </c>
      <c r="KG23">
        <f>IF(COUNTIF('Live Search'!BM$22:CO$22,0)+COUNTIF('Live Search'!CQ$22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H23">
        <f>IF($EY$23="",FALSE,SUMPRODUCT(('Final Calculation Sheet'!$AC$4:$AC$40=$EY$23)*($KG$6:$KG$42=1))&gt;0)</f>
        <v/>
      </c>
      <c r="KI23">
        <f>$KI$22+--($KH23)</f>
        <v/>
      </c>
      <c r="KJ23">
        <f>IF(ROW()-3&gt;MAX($KI$4:$KI$40),"",INDEX($EY$4:$EY$40,MATCH(ROW()-3,$KI$4:$KI$40,0)))</f>
        <v/>
      </c>
      <c r="KK23">
        <f>IF(COUNTIF('Live Search'!BM$22:CP$22,0)+COUNTIF('Live Search'!CR$22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L23">
        <f>IF($FD$23="",FALSE,SUMPRODUCT(('Final Calculation Sheet'!$AD$4:$AD$40=$FD$23)*($KK$6:$KK$42=1))&gt;0)</f>
        <v/>
      </c>
      <c r="KM23">
        <f>$KM$22+--($KL23)</f>
        <v/>
      </c>
      <c r="KN23">
        <f>IF(ROW()-3&gt;MAX($KM$4:$KM$40),"",INDEX($FD$4:$FD$40,MATCH(ROW()-3,$KM$4:$KM$40,0)))</f>
        <v/>
      </c>
      <c r="KO23">
        <f>IF(COUNTIF('Live Search'!BM$22:CT$22,0)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P23">
        <f>IF($FX$23="",FALSE,SUMPRODUCT((IF('Final Calculation Sheet'!$AD$4:$AD$40&lt;=5,"SETTLED","OUTSTANDING")=$FX$23)*($KO$6:$KO$42=1))&gt;0)</f>
        <v/>
      </c>
      <c r="KQ23">
        <f>$KQ$22+--($KP23)</f>
        <v/>
      </c>
      <c r="KR23">
        <f>IF(ROW()-3&gt;MAX($KQ$4:$KQ$40),"",INDEX($FX$4:$FX$40,MATCH(ROW()-3,$KQ$4:$KQ$40,0)))</f>
        <v/>
      </c>
      <c r="KS23">
        <f>IF(COUNTIF('Live Search'!BM$22:CQ$22,0)+COUNTIF('Live Search'!CS$22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T23">
        <f>IF($FI$23="",FALSE,SUMPRODUCT(('Final Calculation Sheet'!$AF$4:$AF$40=$FI$23)*($KS$6:$KS$42=1))&gt;0)</f>
        <v/>
      </c>
      <c r="KU23">
        <f>$KU$22+--($KT23)</f>
        <v/>
      </c>
      <c r="KV23">
        <f>IF(ROW()-3&gt;MAX($KU$4:$KU$40),"",INDEX($FI$4:$FI$40,MATCH(ROW()-3,$KU$4:$KU$40,0)))</f>
        <v/>
      </c>
      <c r="KW23">
        <f>IF(COUNTIF('Live Search'!BM$22:CR$22,0)+COUNTIF('Live Search'!CT$22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KX23">
        <f>IF($FN$23="",FALSE,SUMPRODUCT(('Final Calculation Sheet'!$AG$4:$AG$40=$FN$23)*($KW$6:$KW$42=1))&gt;0)</f>
        <v/>
      </c>
      <c r="KY23">
        <f>$KY$22+--($KX23)</f>
        <v/>
      </c>
      <c r="KZ23">
        <f>IF(ROW()-3&gt;MAX($KY$4:$KY$40),"",INDEX($FN$4:$FN$40,MATCH(ROW()-3,$KY$4:$KY$40,0)))</f>
        <v/>
      </c>
      <c r="LA23">
        <f>IF(COUNTIF('Live Search'!BM$22:CS$22,0)+COUNTIF('Live Search'!CU$22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LB23">
        <f>IF($FS$23="",FALSE,SUMPRODUCT(('Final Calculation Sheet'!$AH$4:$AH$40=$FS$23)*($LA$6:$LA$42=1))&gt;0)</f>
        <v/>
      </c>
      <c r="LC23">
        <f>$LC$22+--($LB23)</f>
        <v/>
      </c>
      <c r="LD23">
        <f>IF(ROW()-3&gt;MAX($LC$4:$LC$40),"",INDEX($FS$4:$FS$40,MATCH(ROW()-3,$LC$4:$LC$40,0)))</f>
        <v/>
      </c>
      <c r="LE23">
        <f>IF(COUNTIF('Buyer Groups'!DH76:EN76,0)&gt;0,0,1)</f>
        <v/>
      </c>
      <c r="LF23">
        <f>IF($O$23="",FALSE,SUMPRODUCT(('Final Calculation Sheet'!$F$4:$F$40=$O$23)*($LE$6:$LE$42=1))&gt;0)</f>
        <v/>
      </c>
      <c r="LG23">
        <f>$LG$22+--($LF23)</f>
        <v/>
      </c>
      <c r="LH23">
        <f>IF(ROW()-3&gt;MAX($LG$4:$LG$40),"",INDEX($O$4:$O$40,MATCH(ROW()-3,$LG$4:$LG$40,0)))</f>
        <v/>
      </c>
      <c r="LI23">
        <f>IF(COUNTIF('Buyer Groups'!DG76:DG76,0)+COUNTIF('Buyer Groups'!DI76:EN76,0)&gt;0,0,1)</f>
        <v/>
      </c>
      <c r="LJ23">
        <f>IF($T$23="",FALSE,SUMPRODUCT(('Final Calculation Sheet'!$G$4:$G$40=$T$23)*($LI$6:$LI$42=1))&gt;0)</f>
        <v/>
      </c>
      <c r="LK23">
        <f>$LK$22+--($LJ23)</f>
        <v/>
      </c>
      <c r="LL23">
        <f>IF(ROW()-3&gt;MAX($LK$4:$LK$40),"",INDEX($T$4:$T$40,MATCH(ROW()-3,$LK$4:$LK$40,0)))</f>
        <v/>
      </c>
      <c r="LM23">
        <f>IF(COUNTIF('Buyer Groups'!DG76:DH76,0)+COUNTIF('Buyer Groups'!DJ76:EN76,0)&gt;0,0,1)</f>
        <v/>
      </c>
      <c r="LN23">
        <f>IF($Y$23="",FALSE,SUMPRODUCT(('Final Calculation Sheet'!$B$4:$B$40=$Y$23)*($LM$6:$LM$42=1))&gt;0)</f>
        <v/>
      </c>
      <c r="LO23">
        <f>$LO$22+--($LN23)</f>
        <v/>
      </c>
      <c r="LP23">
        <f>IF(ROW()-3&gt;MAX($LO$4:$LO$40),"",INDEX($Y$4:$Y$40,MATCH(ROW()-3,$LO$4:$LO$40,0)))</f>
        <v/>
      </c>
      <c r="LQ23">
        <f>IF(COUNTIF('Buyer Groups'!DG76:DI76,0)+COUNTIF('Buyer Groups'!DK76:EN76,0)&gt;0,0,1)</f>
        <v/>
      </c>
      <c r="LR23">
        <f>IF($AD$23="",FALSE,SUMPRODUCT(('Final Calculation Sheet'!$D$4:$D$40=$AD$23)*($LQ$6:$LQ$42=1))&gt;0)</f>
        <v/>
      </c>
      <c r="LS23">
        <f>$LS$22+--($LR23)</f>
        <v/>
      </c>
      <c r="LT23">
        <f>IF(ROW()-3&gt;MAX($LS$4:$LS$40),"",INDEX($AD$4:$AD$40,MATCH(ROW()-3,$LS$4:$LS$40,0)))</f>
        <v/>
      </c>
      <c r="LU23">
        <f>IF(COUNTIF('Buyer Groups'!DG76:DJ76,0)+COUNTIF('Buyer Groups'!DL76:EN76,0)&gt;0,0,1)</f>
        <v/>
      </c>
      <c r="LV23">
        <f>IF($AI$23="",FALSE,SUMPRODUCT(('Final Calculation Sheet'!$A$4:$A$40=$AI$23)*($LU$6:$LU$42=1))&gt;0)</f>
        <v/>
      </c>
      <c r="LW23">
        <f>$LW$22+--($LV23)</f>
        <v/>
      </c>
      <c r="LX23">
        <f>IF(ROW()-3&gt;MAX($LW$4:$LW$40),"",INDEX($AI$4:$AI$40,MATCH(ROW()-3,$LW$4:$LW$40,0)))</f>
        <v/>
      </c>
      <c r="LY23">
        <f>IF(COUNTIF('Buyer Groups'!DG76:DK76,0)+COUNTIF('Buyer Groups'!DM76:EN76,0)&gt;0,0,1)</f>
        <v/>
      </c>
      <c r="LZ23">
        <f>IF($AN$23="",FALSE,SUMPRODUCT(('Final Calculation Sheet'!$E$4:$E$40=$AN$23)*($LY$6:$LY$42=1))&gt;0)</f>
        <v/>
      </c>
      <c r="MA23">
        <f>$MA$22+--($LZ23)</f>
        <v/>
      </c>
      <c r="MB23">
        <f>IF(ROW()-3&gt;MAX($MA$4:$MA$40),"",INDEX($AN$4:$AN$40,MATCH(ROW()-3,$MA$4:$MA$40,0)))</f>
        <v/>
      </c>
      <c r="MC23">
        <f>IF(COUNTIF('Buyer Groups'!DG76:DL76,0)+COUNTIF('Buyer Groups'!DN76:EN76,0)&gt;0,0,1)</f>
        <v/>
      </c>
      <c r="MD23">
        <f>IF($AS$23="",FALSE,SUMPRODUCT(('Final Calculation Sheet'!$C$4:$C$40=$AS$23)*($MC$6:$MC$42=1))&gt;0)</f>
        <v/>
      </c>
      <c r="ME23">
        <f>$ME$22+--($MD23)</f>
        <v/>
      </c>
      <c r="MF23">
        <f>IF(ROW()-3&gt;MAX($ME$4:$ME$40),"",INDEX($AS$4:$AS$40,MATCH(ROW()-3,$ME$4:$ME$40,0)))</f>
        <v/>
      </c>
      <c r="MG23">
        <f>IF(COUNTIF('Buyer Groups'!DG76:DM76,0)+COUNTIF('Buyer Groups'!DO76:EN76,0)&gt;0,0,1)</f>
        <v/>
      </c>
      <c r="MH23">
        <f>IF($AX$23="",FALSE,SUMPRODUCT(('Final Calculation Sheet'!$H$4:$H$40=$AX$23)*($MG$6:$MG$42=1))&gt;0)</f>
        <v/>
      </c>
      <c r="MI23">
        <f>$MI$22+--($MH23)</f>
        <v/>
      </c>
      <c r="MJ23">
        <f>IF(ROW()-3&gt;MAX($MI$4:$MI$40),"",INDEX($AX$4:$AX$40,MATCH(ROW()-3,$MI$4:$MI$40,0)))</f>
        <v/>
      </c>
      <c r="MK23">
        <f>IF(COUNTIF('Buyer Groups'!DG76:DN76,0)+COUNTIF('Buyer Groups'!DP76:EN76,0)&gt;0,0,1)</f>
        <v/>
      </c>
      <c r="ML23">
        <f>IF($BC$23="",FALSE,SUMPRODUCT(('Final Calculation Sheet'!$I$4:$I$40=$BC$23)*($MK$6:$MK$42=1))&gt;0)</f>
        <v/>
      </c>
      <c r="MM23">
        <f>$MM$22+--($ML23)</f>
        <v/>
      </c>
      <c r="MN23">
        <f>IF(ROW()-3&gt;MAX($MM$4:$MM$40),"",INDEX($BC$4:$BC$40,MATCH(ROW()-3,$MM$4:$MM$40,0)))</f>
        <v/>
      </c>
      <c r="MO23">
        <f>IF(COUNTIF('Buyer Groups'!DG76:DO76,0)+COUNTIF('Buyer Groups'!DQ76:EN76,0)&gt;0,0,1)</f>
        <v/>
      </c>
      <c r="MP23">
        <f>IF($BH$23="",FALSE,SUMPRODUCT(('Final Calculation Sheet'!$J$4:$J$40=$BH$23)*($MO$6:$MO$42=1))&gt;0)</f>
        <v/>
      </c>
      <c r="MQ23">
        <f>$MQ$22+--($MP23)</f>
        <v/>
      </c>
      <c r="MR23">
        <f>IF(ROW()-3&gt;MAX($MQ$4:$MQ$40),"",INDEX($BH$4:$BH$40,MATCH(ROW()-3,$MQ$4:$MQ$40,0)))</f>
        <v/>
      </c>
      <c r="MS23">
        <f>IF(COUNTIF('Buyer Groups'!DG76:DP76,0)+COUNTIF('Buyer Groups'!DR76:EN76,0)&gt;0,0,1)</f>
        <v/>
      </c>
      <c r="MT23">
        <f>IF($BM$23="",FALSE,SUMPRODUCT(('Final Calculation Sheet'!$K$4:$K$40=$BM$23)*($MS$6:$MS$42=1))&gt;0)</f>
        <v/>
      </c>
      <c r="MU23">
        <f>$MU$22+--($MT23)</f>
        <v/>
      </c>
      <c r="MV23">
        <f>IF(ROW()-3&gt;MAX($MU$4:$MU$40),"",INDEX($BM$4:$BM$40,MATCH(ROW()-3,$MU$4:$MU$40,0)))</f>
        <v/>
      </c>
      <c r="MW23">
        <f>IF(COUNTIF('Buyer Groups'!DG76:DQ76,0)+COUNTIF('Buyer Groups'!DS76:EN76,0)&gt;0,0,1)</f>
        <v/>
      </c>
      <c r="MX23">
        <f>IF($BR$23="",FALSE,SUMPRODUCT(('Final Calculation Sheet'!$L$4:$L$40=$BR$23)*($MW$6:$MW$42=1))&gt;0)</f>
        <v/>
      </c>
      <c r="MY23">
        <f>$MY$22+--($MX23)</f>
        <v/>
      </c>
      <c r="MZ23">
        <f>IF(ROW()-3&gt;MAX($MY$4:$MY$40),"",INDEX($BR$4:$BR$40,MATCH(ROW()-3,$MY$4:$MY$40,0)))</f>
        <v/>
      </c>
      <c r="NA23">
        <f>IF(COUNTIF('Buyer Groups'!DG76:DR76,0)+COUNTIF('Buyer Groups'!DT76:EN76,0)&gt;0,0,1)</f>
        <v/>
      </c>
      <c r="NB23">
        <f>IF($BW$23="",FALSE,SUMPRODUCT(('Final Calculation Sheet'!$M$4:$M$40=$BW$23)*($NA$6:$NA$42=1))&gt;0)</f>
        <v/>
      </c>
      <c r="NC23">
        <f>$NC$22+--($NB23)</f>
        <v/>
      </c>
      <c r="ND23">
        <f>IF(ROW()-3&gt;MAX($NC$4:$NC$40),"",INDEX($BW$4:$BW$40,MATCH(ROW()-3,$NC$4:$NC$40,0)))</f>
        <v/>
      </c>
      <c r="NE23">
        <f>IF(COUNTIF('Buyer Groups'!DG76:DS76,0)+COUNTIF('Buyer Groups'!DU76:EN76,0)&gt;0,0,1)</f>
        <v/>
      </c>
      <c r="NF23">
        <f>IF($CB$23="",FALSE,SUMPRODUCT(('Final Calculation Sheet'!$N$4:$N$40=$CB$23)*($NE$6:$NE$42=1))&gt;0)</f>
        <v/>
      </c>
      <c r="NG23">
        <f>$NG$22+--($NF23)</f>
        <v/>
      </c>
      <c r="NH23">
        <f>IF(ROW()-3&gt;MAX($NG$4:$NG$40),"",INDEX($CB$4:$CB$40,MATCH(ROW()-3,$NG$4:$NG$40,0)))</f>
        <v/>
      </c>
      <c r="NI23">
        <f>IF(COUNTIF('Buyer Groups'!DG76:DT76,0)+COUNTIF('Buyer Groups'!DV76:EN76,0)&gt;0,0,1)</f>
        <v/>
      </c>
      <c r="NJ23">
        <f>IF($CG$23="",FALSE,SUMPRODUCT(('Final Calculation Sheet'!$O$4:$O$40=$CG$23)*($NI$6:$NI$42=1))&gt;0)</f>
        <v/>
      </c>
      <c r="NK23">
        <f>$NK$22+--($NJ23)</f>
        <v/>
      </c>
      <c r="NL23">
        <f>IF(ROW()-3&gt;MAX($NK$4:$NK$40),"",INDEX($CG$4:$CG$40,MATCH(ROW()-3,$NK$4:$NK$40,0)))</f>
        <v/>
      </c>
      <c r="NM23">
        <f>IF(COUNTIF('Buyer Groups'!DG76:DU76,0)+COUNTIF('Buyer Groups'!DW76:EN76,0)&gt;0,0,1)</f>
        <v/>
      </c>
      <c r="NN23">
        <f>IF($CL$23="",FALSE,SUMPRODUCT(('Final Calculation Sheet'!$P$4:$P$40=$CL$23)*($NM$6:$NM$42=1))&gt;0)</f>
        <v/>
      </c>
      <c r="NO23">
        <f>$NO$22+--($NN23)</f>
        <v/>
      </c>
      <c r="NP23">
        <f>IF(ROW()-3&gt;MAX($NO$4:$NO$40),"",INDEX($CL$4:$CL$40,MATCH(ROW()-3,$NO$4:$NO$40,0)))</f>
        <v/>
      </c>
      <c r="NQ23">
        <f>IF(COUNTIF('Buyer Groups'!DG76:DV76,0)+COUNTIF('Buyer Groups'!DX76:EN76,0)&gt;0,0,1)</f>
        <v/>
      </c>
      <c r="NR23">
        <f>IF($CQ$23="",FALSE,SUMPRODUCT(('Final Calculation Sheet'!$Q$4:$Q$40=$CQ$23)*($NQ$6:$NQ$42=1))&gt;0)</f>
        <v/>
      </c>
      <c r="NS23">
        <f>$NS$22+--($NR23)</f>
        <v/>
      </c>
      <c r="NT23">
        <f>IF(ROW()-3&gt;MAX($NS$4:$NS$40),"",INDEX($CQ$4:$CQ$40,MATCH(ROW()-3,$NS$4:$NS$40,0)))</f>
        <v/>
      </c>
      <c r="NU23">
        <f>IF(COUNTIF('Buyer Groups'!DG76:DW76,0)+COUNTIF('Buyer Groups'!DY76:EN76,0)&gt;0,0,1)</f>
        <v/>
      </c>
      <c r="NV23">
        <f>IF($CV$23="",FALSE,SUMPRODUCT(('Final Calculation Sheet'!$R$4:$R$40=$CV$23)*($NU$6:$NU$42=1))&gt;0)</f>
        <v/>
      </c>
      <c r="NW23">
        <f>$NW$22+--($NV23)</f>
        <v/>
      </c>
      <c r="NX23">
        <f>IF(ROW()-3&gt;MAX($NW$4:$NW$40),"",INDEX($CV$4:$CV$40,MATCH(ROW()-3,$NW$4:$NW$40,0)))</f>
        <v/>
      </c>
      <c r="NY23">
        <f>IF(COUNTIF('Buyer Groups'!DG76:DX76,0)+COUNTIF('Buyer Groups'!DZ76:EN76,0)&gt;0,0,1)</f>
        <v/>
      </c>
      <c r="NZ23">
        <f>IF($DA$23="",FALSE,SUMPRODUCT(('Final Calculation Sheet'!$S$4:$S$40=$DA$23)*($NY$6:$NY$42=1))&gt;0)</f>
        <v/>
      </c>
      <c r="OA23">
        <f>$OA$22+--($NZ23)</f>
        <v/>
      </c>
      <c r="OB23">
        <f>IF(ROW()-3&gt;MAX($OA$4:$OA$40),"",INDEX($DA$4:$DA$40,MATCH(ROW()-3,$OA$4:$OA$40,0)))</f>
        <v/>
      </c>
      <c r="OC23">
        <f>IF(COUNTIF('Buyer Groups'!DG76:DY76,0)+COUNTIF('Buyer Groups'!EA76:EN76,0)&gt;0,0,1)</f>
        <v/>
      </c>
      <c r="OD23">
        <f>IF($DF$23="",FALSE,SUMPRODUCT(('Final Calculation Sheet'!$T$4:$T$40=$DF$23)*($OC$6:$OC$42=1))&gt;0)</f>
        <v/>
      </c>
      <c r="OE23">
        <f>$OE$22+--($OD23)</f>
        <v/>
      </c>
      <c r="OF23">
        <f>IF(ROW()-3&gt;MAX($OE$4:$OE$40),"",INDEX($DF$4:$DF$40,MATCH(ROW()-3,$OE$4:$OE$40,0)))</f>
        <v/>
      </c>
      <c r="OG23">
        <f>IF(COUNTIF('Buyer Groups'!DG76:DZ76,0)+COUNTIF('Buyer Groups'!EB76:EN76,0)&gt;0,0,1)</f>
        <v/>
      </c>
      <c r="OH23">
        <f>IF($DK$23="",FALSE,SUMPRODUCT(('Final Calculation Sheet'!$U$4:$U$40=$DK$23)*($OG$6:$OG$42=1))&gt;0)</f>
        <v/>
      </c>
      <c r="OI23">
        <f>$OI$22+--($OH23)</f>
        <v/>
      </c>
      <c r="OJ23">
        <f>IF(ROW()-3&gt;MAX($OI$4:$OI$40),"",INDEX($DK$4:$DK$40,MATCH(ROW()-3,$OI$4:$OI$40,0)))</f>
        <v/>
      </c>
      <c r="OK23">
        <f>IF(COUNTIF('Buyer Groups'!DG76:EA76,0)+COUNTIF('Buyer Groups'!EC76:EN76,0)&gt;0,0,1)</f>
        <v/>
      </c>
      <c r="OL23">
        <f>IF($DP$23="",FALSE,SUMPRODUCT(('Final Calculation Sheet'!$V$4:$V$40=$DP$23)*($OK$6:$OK$42=1))&gt;0)</f>
        <v/>
      </c>
      <c r="OM23">
        <f>$OM$22+--($OL23)</f>
        <v/>
      </c>
      <c r="ON23">
        <f>IF(ROW()-3&gt;MAX($OM$4:$OM$40),"",INDEX($DP$4:$DP$40,MATCH(ROW()-3,$OM$4:$OM$40,0)))</f>
        <v/>
      </c>
      <c r="OO23">
        <f>IF(COUNTIF('Buyer Groups'!DG76:EB76,0)+COUNTIF('Buyer Groups'!ED76:EN76,0)&gt;0,0,1)</f>
        <v/>
      </c>
      <c r="OP23">
        <f>IF($DU$23="",FALSE,SUMPRODUCT(('Final Calculation Sheet'!$W$4:$W$40=$DU$23)*($OO$6:$OO$42=1))&gt;0)</f>
        <v/>
      </c>
      <c r="OQ23">
        <f>$OQ$22+--($OP23)</f>
        <v/>
      </c>
      <c r="OR23">
        <f>IF(ROW()-3&gt;MAX($OQ$4:$OQ$40),"",INDEX($DU$4:$DU$40,MATCH(ROW()-3,$OQ$4:$OQ$40,0)))</f>
        <v/>
      </c>
      <c r="OS23">
        <f>IF(COUNTIF('Buyer Groups'!DG76:EC76,0)+COUNTIF('Buyer Groups'!EE76:EN76,0)&gt;0,0,1)</f>
        <v/>
      </c>
      <c r="OT23">
        <f>IF($DZ$23="",FALSE,SUMPRODUCT(('Final Calculation Sheet'!$X$4:$X$40=$DZ$23)*($OS$6:$OS$42=1))&gt;0)</f>
        <v/>
      </c>
      <c r="OU23">
        <f>$OU$22+--($OT23)</f>
        <v/>
      </c>
      <c r="OV23">
        <f>IF(ROW()-3&gt;MAX($OU$4:$OU$40),"",INDEX($DZ$4:$DZ$40,MATCH(ROW()-3,$OU$4:$OU$40,0)))</f>
        <v/>
      </c>
      <c r="OW23">
        <f>IF(COUNTIF('Buyer Groups'!DG76:ED76,0)+COUNTIF('Buyer Groups'!EF76:EN76,0)&gt;0,0,1)</f>
        <v/>
      </c>
      <c r="OX23">
        <f>IF($EE$23="",FALSE,SUMPRODUCT(('Final Calculation Sheet'!$Y$4:$Y$40=$EE$23)*($OW$6:$OW$42=1))&gt;0)</f>
        <v/>
      </c>
      <c r="OY23">
        <f>$OY$22+--($OX23)</f>
        <v/>
      </c>
      <c r="OZ23">
        <f>IF(ROW()-3&gt;MAX($OY$4:$OY$40),"",INDEX($EE$4:$EE$40,MATCH(ROW()-3,$OY$4:$OY$40,0)))</f>
        <v/>
      </c>
      <c r="PA23">
        <f>IF(COUNTIF('Buyer Groups'!DG76:EE76,0)+COUNTIF('Buyer Groups'!EG76:EN76,0)&gt;0,0,1)</f>
        <v/>
      </c>
      <c r="PB23">
        <f>IF($EJ$23="",FALSE,SUMPRODUCT(('Final Calculation Sheet'!$Z$4:$Z$40=$EJ$23)*($PA$6:$PA$42=1))&gt;0)</f>
        <v/>
      </c>
      <c r="PC23">
        <f>$PC$22+--($PB23)</f>
        <v/>
      </c>
      <c r="PD23">
        <f>IF(ROW()-3&gt;MAX($PC$4:$PC$40),"",INDEX($EJ$4:$EJ$40,MATCH(ROW()-3,$PC$4:$PC$40,0)))</f>
        <v/>
      </c>
      <c r="PE23">
        <f>IF(COUNTIF('Buyer Groups'!DG76:EF76,0)+COUNTIF('Buyer Groups'!EH76:EN76,0)&gt;0,0,1)</f>
        <v/>
      </c>
      <c r="PF23">
        <f>IF($EO$23="",FALSE,SUMPRODUCT(('Final Calculation Sheet'!$AA$4:$AA$40=$EO$23)*($PE$6:$PE$42=1))&gt;0)</f>
        <v/>
      </c>
      <c r="PG23">
        <f>$PG$22+--($PF23)</f>
        <v/>
      </c>
      <c r="PH23">
        <f>IF(ROW()-3&gt;MAX($PG$4:$PG$40),"",INDEX($EO$4:$EO$40,MATCH(ROW()-3,$PG$4:$PG$40,0)))</f>
        <v/>
      </c>
      <c r="PI23">
        <f>IF(COUNTIF('Buyer Groups'!DG76:EG76,0)+COUNTIF('Buyer Groups'!EI76:EN76,0)&gt;0,0,1)</f>
        <v/>
      </c>
      <c r="PJ23">
        <f>IF($ET$23="",FALSE,SUMPRODUCT(('Final Calculation Sheet'!$AB$4:$AB$40=$ET$23)*($PI$6:$PI$42=1))&gt;0)</f>
        <v/>
      </c>
      <c r="PK23">
        <f>$PK$22+--($PJ23)</f>
        <v/>
      </c>
      <c r="PL23">
        <f>IF(ROW()-3&gt;MAX($PK$4:$PK$40),"",INDEX($ET$4:$ET$40,MATCH(ROW()-3,$PK$4:$PK$40,0)))</f>
        <v/>
      </c>
      <c r="PM23">
        <f>IF(COUNTIF('Buyer Groups'!DG76:EH76,0)+COUNTIF('Buyer Groups'!EJ76:EN76,0)&gt;0,0,1)</f>
        <v/>
      </c>
      <c r="PN23">
        <f>IF($EY$23="",FALSE,SUMPRODUCT(('Final Calculation Sheet'!$AC$4:$AC$40=$EY$23)*($PM$6:$PM$42=1))&gt;0)</f>
        <v/>
      </c>
      <c r="PO23">
        <f>$PO$22+--($PN23)</f>
        <v/>
      </c>
      <c r="PP23">
        <f>IF(ROW()-3&gt;MAX($PO$4:$PO$40),"",INDEX($EY$4:$EY$40,MATCH(ROW()-3,$PO$4:$PO$40,0)))</f>
        <v/>
      </c>
      <c r="PQ23">
        <f>IF(COUNTIF('Buyer Groups'!DG76:EI76,0)+COUNTIF('Buyer Groups'!EK76:EN76,0)&gt;0,0,1)</f>
        <v/>
      </c>
      <c r="PR23">
        <f>IF($FD$23="",FALSE,SUMPRODUCT(('Final Calculation Sheet'!$AD$4:$AD$40=$FD$23)*($PQ$6:$PQ$42=1))&gt;0)</f>
        <v/>
      </c>
      <c r="PS23">
        <f>$PS$22+--($PR23)</f>
        <v/>
      </c>
      <c r="PT23">
        <f>IF(ROW()-3&gt;MAX($PS$4:$PS$40),"",INDEX($FD$4:$FD$40,MATCH(ROW()-3,$PS$4:$PS$40,0)))</f>
        <v/>
      </c>
      <c r="PU23">
        <f>IF(COUNTIF('Buyer Groups'!DG76:EJ76,0)+COUNTIF('Buyer Groups'!EL76:EN76,0)&gt;0,0,1)</f>
        <v/>
      </c>
      <c r="PV23">
        <f>IF($FX$23="",FALSE,SUMPRODUCT((IF('Final Calculation Sheet'!$AD$4:$AD$40&lt;=5,"SETTLED","OUTSTANDING")=$FX$23)*($PU$6:$PU$42=1))&gt;0)</f>
        <v/>
      </c>
      <c r="PW23">
        <f>$PW$22+--($PV23)</f>
        <v/>
      </c>
      <c r="PX23">
        <f>IF(ROW()-3&gt;MAX($PW$4:$PW$40),"",INDEX($FX$4:$FX$40,MATCH(ROW()-3,$PW$4:$PW$40,0)))</f>
        <v/>
      </c>
      <c r="PY23">
        <f>IF(COUNTIF('Buyer Groups'!DG76:EK76,0)+COUNTIF('Buyer Groups'!EM76:EN76,0)&gt;0,0,1)</f>
        <v/>
      </c>
      <c r="PZ23">
        <f>IF($FI$23="",FALSE,SUMPRODUCT(('Final Calculation Sheet'!$AF$4:$AF$40=$FI$23)*($PY$6:$PY$42=1))&gt;0)</f>
        <v/>
      </c>
      <c r="QA23">
        <f>$QA$22+--($PZ23)</f>
        <v/>
      </c>
      <c r="QB23">
        <f>IF(ROW()-3&gt;MAX($QA$4:$QA$40),"",INDEX($FI$4:$FI$40,MATCH(ROW()-3,$QA$4:$QA$40,0)))</f>
        <v/>
      </c>
      <c r="QC23">
        <f>IF(COUNTIF('Buyer Groups'!DG76:EL76,0)+COUNTIF('Buyer Groups'!EN76:EN76,0)&gt;0,0,1)</f>
        <v/>
      </c>
      <c r="QD23">
        <f>IF($FN$23="",FALSE,SUMPRODUCT(('Final Calculation Sheet'!$AG$4:$AG$40=$FN$23)*($QC$6:$QC$42=1))&gt;0)</f>
        <v/>
      </c>
      <c r="QE23">
        <f>$QE$22+--($QD23)</f>
        <v/>
      </c>
      <c r="QF23">
        <f>IF(ROW()-3&gt;MAX($QE$4:$QE$40),"",INDEX($FN$4:$FN$40,MATCH(ROW()-3,$QE$4:$QE$40,0)))</f>
        <v/>
      </c>
      <c r="QG23">
        <f>IF(COUNTIF('Buyer Groups'!DG76:EM76,0)&gt;0,0,1)</f>
        <v/>
      </c>
      <c r="QH23">
        <f>IF($FS$23="",FALSE,SUMPRODUCT(('Final Calculation Sheet'!$AH$4:$AH$40=$FS$23)*($QG$6:$QG$42=1))&gt;0)</f>
        <v/>
      </c>
      <c r="QI23">
        <f>$QI$22+--($QH23)</f>
        <v/>
      </c>
      <c r="QJ23">
        <f>IF(ROW()-3&gt;MAX($QI$4:$QI$40),"",INDEX($FS$4:$FS$40,MATCH(ROW()-3,$QI$4:$QI$40,0)))</f>
        <v/>
      </c>
      <c r="QK23" t="str">
        <f>IF('Final Calculation Sheet'!$AH$23="","",'Final Calculation Sheet'!$AH$23)</f>
      </c>
      <c r="QL23" t="str">
        <f>IF(QK23="","",COUNTIFS(QK$4:QK$40,"&lt;"&amp;QK23,QK$4:QK$40,"&lt;&gt;"&amp;"")+COUNTIF(QK$4:QK23,QK23))</f>
      </c>
      <c r="QM23" t="str">
        <f>IF(ROW()-3&gt;COUNTIF(QK$4:QK$40,"&lt;&gt;"&amp;""),"",INDEX(QK$4:QK$40,MATCH(ROW()-3,QL$4:QL$40,0)))</f>
      </c>
      <c r="QN23" t="str">
        <f>=QN22+F(AND(QM23&lt;&gt;"",COUNTIF(QM$4:QM23,QM23)=1),1,0)</f>
      </c>
      <c r="QO23" t="str">
        <f>IF(ROW()-3&gt;MAX(QN$4:QN$40),"",INDEX(QM$4:QM$40,MATCH(ROW()-3,QN$4:QN$40,0)))</f>
      </c>
      <c r="QP23" t="str">
        <f>IF(COUNTIF('Final Calculation Sheet'!$AM23:$BS23,0)&gt;0,0,1)</f>
      </c>
      <c r="QQ23" t="str">
        <f>IF($AI$23="",FALSE,SUMPRODUCT(('Final Calculation Sheet'!$A$4:$A$40=$AI$23)*($QP$4:$QP$40=1))&gt;0)</f>
      </c>
      <c r="QR23" t="str">
        <f>=$QR22+--($QQ23)</f>
      </c>
      <c r="QS23" t="str">
        <f>IF(ROW()-3&gt;MAX($QR$4:$QR$40),"",INDEX($AI$4:$AI$40,MATCH(ROW()-3,$QR$4:$QR$40,0)))</f>
      </c>
      <c r="QT23" t="str">
        <f>IF(COUNTIF('Final Calculation Sheet'!$AL23:$AL23,0)+COUNTIF('Final Calculation Sheet'!$AN23:$BS23,0)&gt;0,0,1)</f>
      </c>
      <c r="QU23" t="str">
        <f>IF($Y$23="",FALSE,SUMPRODUCT(('Final Calculation Sheet'!$B$4:$B$40=$Y$23)*($QT$4:$QT$40=1))&gt;0)</f>
      </c>
      <c r="QV23" t="str">
        <f>=$QV22+--($QU23)</f>
      </c>
      <c r="QW23" t="str">
        <f>IF(ROW()-3&gt;MAX($QV$4:$QV$40),"",INDEX($Y$4:$Y$40,MATCH(ROW()-3,$QV$4:$QV$40,0)))</f>
      </c>
      <c r="QX23" t="str">
        <f>IF(COUNTIF('Final Calculation Sheet'!$AL23:$AM23,0)+COUNTIF('Final Calculation Sheet'!$AO23:$BS23,0)&gt;0,0,1)</f>
      </c>
      <c r="QY23" t="str">
        <f>IF($AS$23="",FALSE,SUMPRODUCT(('Final Calculation Sheet'!$C$4:$C$40=$AS$23)*($QX$4:$QX$40=1))&gt;0)</f>
      </c>
      <c r="QZ23" t="str">
        <f>=$QZ22+--($QY23)</f>
      </c>
      <c r="RA23" t="str">
        <f>IF(ROW()-3&gt;MAX($QZ$4:$QZ$40),"",INDEX($AS$4:$AS$40,MATCH(ROW()-3,$QZ$4:$QZ$40,0)))</f>
      </c>
      <c r="RB23" t="str">
        <f>IF(COUNTIF('Final Calculation Sheet'!$AL23:$AN23,0)+COUNTIF('Final Calculation Sheet'!$AP23:$BS23,0)&gt;0,0,1)</f>
      </c>
      <c r="RC23" t="str">
        <f>IF($AD$23="",FALSE,SUMPRODUCT(('Final Calculation Sheet'!$D$4:$D$40=$AD$23)*($RB$4:$RB$40=1))&gt;0)</f>
      </c>
      <c r="RD23" t="str">
        <f>=$RD22+--($RC23)</f>
      </c>
      <c r="RE23" t="str">
        <f>IF(ROW()-3&gt;MAX($RD$4:$RD$40),"",INDEX($AD$4:$AD$40,MATCH(ROW()-3,$RD$4:$RD$40,0)))</f>
      </c>
      <c r="RF23" t="str">
        <f>IF(COUNTIF('Final Calculation Sheet'!$AL23:$AO23,0)+COUNTIF('Final Calculation Sheet'!$AQ23:$BS23,0)&gt;0,0,1)</f>
      </c>
      <c r="RG23" t="str">
        <f>IF($AN$23="",FALSE,SUMPRODUCT(('Final Calculation Sheet'!$E$4:$E$40=$AN$23)*($RF$4:$RF$40=1))&gt;0)</f>
      </c>
      <c r="RH23" t="str">
        <f>=$RH22+--($RG23)</f>
      </c>
      <c r="RI23" t="str">
        <f>IF(ROW()-3&gt;MAX($RH$4:$RH$40),"",INDEX($AN$4:$AN$40,MATCH(ROW()-3,$RH$4:$RH$40,0)))</f>
      </c>
      <c r="RJ23" t="str">
        <f>IF(COUNTIF('Final Calculation Sheet'!$AL23:$AP23,0)+COUNTIF('Final Calculation Sheet'!$AR23:$BS23,0)&gt;0,0,1)</f>
      </c>
      <c r="RK23" t="str">
        <f>IF($O$23="",FALSE,SUMPRODUCT(('Final Calculation Sheet'!$F$4:$F$40=$O$23)*($RJ$4:$RJ$40=1))&gt;0)</f>
      </c>
      <c r="RL23" t="str">
        <f>=$RL22+--($RK23)</f>
      </c>
      <c r="RM23" t="str">
        <f>IF(ROW()-3&gt;MAX($RL$4:$RL$40),"",INDEX($O$4:$O$40,MATCH(ROW()-3,$RL$4:$RL$40,0)))</f>
      </c>
      <c r="RN23" t="str">
        <f>IF(COUNTIF('Final Calculation Sheet'!$AL23:$AQ23,0)+COUNTIF('Final Calculation Sheet'!$AS23:$BS23,0)&gt;0,0,1)</f>
      </c>
      <c r="RO23" t="str">
        <f>IF($T$23="",FALSE,SUMPRODUCT(('Final Calculation Sheet'!$G$4:$G$40=$T$23)*($RN$4:$RN$40=1))&gt;0)</f>
      </c>
      <c r="RP23" t="str">
        <f>=$RP22+--($RO23)</f>
      </c>
      <c r="RQ23" t="str">
        <f>IF(ROW()-3&gt;MAX($RP$4:$RP$40),"",INDEX($T$4:$T$40,MATCH(ROW()-3,$RP$4:$RP$40,0)))</f>
      </c>
      <c r="RR23" t="str">
        <f>IF(COUNTIF('Final Calculation Sheet'!$AL23:$AR23,0)+COUNTIF('Final Calculation Sheet'!$AT23:$BS23,0)&gt;0,0,1)</f>
      </c>
      <c r="RS23" t="str">
        <f>IF($AX$23="",FALSE,SUMPRODUCT(('Final Calculation Sheet'!$H$4:$H$40=$AX$23)*($RR$4:$RR$40=1))&gt;0)</f>
      </c>
      <c r="RT23" t="str">
        <f>=$RT22+--($RS23)</f>
      </c>
      <c r="RU23" t="str">
        <f>IF(ROW()-3&gt;MAX($RT$4:$RT$40),"",INDEX($AX$4:$AX$40,MATCH(ROW()-3,$RT$4:$RT$40,0)))</f>
      </c>
      <c r="RV23" t="str">
        <f>IF(COUNTIF('Final Calculation Sheet'!$AL23:$AS23,0)+COUNTIF('Final Calculation Sheet'!$AU23:$BS23,0)&gt;0,0,1)</f>
      </c>
      <c r="RW23" t="str">
        <f>IF($BC$23="",FALSE,SUMPRODUCT(('Final Calculation Sheet'!$I$4:$I$40=$BC$23)*($RV$4:$RV$40=1))&gt;0)</f>
      </c>
      <c r="RX23" t="str">
        <f>=$RX22+--($RW23)</f>
      </c>
      <c r="RY23" t="str">
        <f>IF(ROW()-3&gt;MAX($RX$4:$RX$40),"",INDEX($BC$4:$BC$40,MATCH(ROW()-3,$RX$4:$RX$40,0)))</f>
      </c>
      <c r="RZ23" t="str">
        <f>IF(COUNTIF('Final Calculation Sheet'!$AL23:$AT23,0)+COUNTIF('Final Calculation Sheet'!$AV23:$BS23,0)&gt;0,0,1)</f>
      </c>
      <c r="SA23" t="str">
        <f>IF($BH$23="",FALSE,SUMPRODUCT(('Final Calculation Sheet'!$J$4:$J$40=$BH$23)*($RZ$4:$RZ$40=1))&gt;0)</f>
      </c>
      <c r="SB23" t="str">
        <f>=$SB22+--($SA23)</f>
      </c>
      <c r="SC23" t="str">
        <f>IF(ROW()-3&gt;MAX($SB$4:$SB$40),"",INDEX($BH$4:$BH$40,MATCH(ROW()-3,$SB$4:$SB$40,0)))</f>
      </c>
      <c r="SD23" t="str">
        <f>IF(COUNTIF('Final Calculation Sheet'!$AL23:$AU23,0)+COUNTIF('Final Calculation Sheet'!$AW23:$BS23,0)&gt;0,0,1)</f>
      </c>
      <c r="SE23" t="str">
        <f>IF($BM$23="",FALSE,SUMPRODUCT(('Final Calculation Sheet'!$K$4:$K$40=$BM$23)*($SD$4:$SD$40=1))&gt;0)</f>
      </c>
      <c r="SF23" t="str">
        <f>=$SF22+--($SE23)</f>
      </c>
      <c r="SG23" t="str">
        <f>IF(ROW()-3&gt;MAX($SF$4:$SF$40),"",INDEX($BM$4:$BM$40,MATCH(ROW()-3,$SF$4:$SF$40,0)))</f>
      </c>
      <c r="SH23" t="str">
        <f>IF(COUNTIF('Final Calculation Sheet'!$AL23:$AV23,0)+COUNTIF('Final Calculation Sheet'!$AX23:$BS23,0)&gt;0,0,1)</f>
      </c>
      <c r="SI23" t="str">
        <f>IF($BR$23="",FALSE,SUMPRODUCT(('Final Calculation Sheet'!$L$4:$L$40=$BR$23)*($SH$4:$SH$40=1))&gt;0)</f>
      </c>
      <c r="SJ23" t="str">
        <f>=$SJ22+--($SI23)</f>
      </c>
      <c r="SK23" t="str">
        <f>IF(ROW()-3&gt;MAX($SJ$4:$SJ$40),"",INDEX($BR$4:$BR$40,MATCH(ROW()-3,$SJ$4:$SJ$40,0)))</f>
      </c>
      <c r="SL23" t="str">
        <f>IF(COUNTIF('Final Calculation Sheet'!$AL23:$AW23,0)+COUNTIF('Final Calculation Sheet'!$AY23:$BS23,0)&gt;0,0,1)</f>
      </c>
      <c r="SM23" t="str">
        <f>IF($BW$23="",FALSE,SUMPRODUCT(('Final Calculation Sheet'!$M$4:$M$40=$BW$23)*($SL$4:$SL$40=1))&gt;0)</f>
      </c>
      <c r="SN23" t="str">
        <f>=$SN22+--($SM23)</f>
      </c>
      <c r="SO23" t="str">
        <f>IF(ROW()-3&gt;MAX($SN$4:$SN$40),"",INDEX($BW$4:$BW$40,MATCH(ROW()-3,$SN$4:$SN$40,0)))</f>
      </c>
      <c r="SP23" t="str">
        <f>IF(COUNTIF('Final Calculation Sheet'!$AL23:$AX23,0)+COUNTIF('Final Calculation Sheet'!$AZ23:$BS23,0)&gt;0,0,1)</f>
      </c>
      <c r="SQ23" t="str">
        <f>IF($CB$23="",FALSE,SUMPRODUCT(('Final Calculation Sheet'!$N$4:$N$40=$CB$23)*($SP$4:$SP$40=1))&gt;0)</f>
      </c>
      <c r="SR23" t="str">
        <f>=$SR22+--($SQ23)</f>
      </c>
      <c r="SS23" t="str">
        <f>IF(ROW()-3&gt;MAX($SR$4:$SR$40),"",INDEX($CB$4:$CB$40,MATCH(ROW()-3,$SR$4:$SR$40,0)))</f>
      </c>
      <c r="ST23" t="str">
        <f>IF(COUNTIF('Final Calculation Sheet'!$AL23:$AY23,0)+COUNTIF('Final Calculation Sheet'!$BA23:$BS23,0)&gt;0,0,1)</f>
      </c>
      <c r="SU23" t="str">
        <f>IF($CG$23="",FALSE,SUMPRODUCT(('Final Calculation Sheet'!$O$4:$O$40=$CG$23)*($ST$4:$ST$40=1))&gt;0)</f>
      </c>
      <c r="SV23" t="str">
        <f>=$SV22+--($SU23)</f>
      </c>
      <c r="SW23" t="str">
        <f>IF(ROW()-3&gt;MAX($SV$4:$SV$40),"",INDEX($CG$4:$CG$40,MATCH(ROW()-3,$SV$4:$SV$40,0)))</f>
      </c>
      <c r="SX23" t="str">
        <f>IF(COUNTIF('Final Calculation Sheet'!$AL23:$AZ23,0)+COUNTIF('Final Calculation Sheet'!$BB23:$BS23,0)&gt;0,0,1)</f>
      </c>
      <c r="SY23" t="str">
        <f>IF($CL$23="",FALSE,SUMPRODUCT(('Final Calculation Sheet'!$P$4:$P$40=$CL$23)*($SX$4:$SX$40=1))&gt;0)</f>
      </c>
      <c r="SZ23" t="str">
        <f>=$SZ22+--($SY23)</f>
      </c>
      <c r="TA23" t="str">
        <f>IF(ROW()-3&gt;MAX($SZ$4:$SZ$40),"",INDEX($CL$4:$CL$40,MATCH(ROW()-3,$SZ$4:$SZ$40,0)))</f>
      </c>
      <c r="TB23" t="str">
        <f>IF(COUNTIF('Final Calculation Sheet'!$AL23:$BA23,0)+COUNTIF('Final Calculation Sheet'!$BC23:$BS23,0)&gt;0,0,1)</f>
      </c>
      <c r="TC23" t="str">
        <f>IF($CQ$23="",FALSE,SUMPRODUCT(('Final Calculation Sheet'!$Q$4:$Q$40=$CQ$23)*($TB$4:$TB$40=1))&gt;0)</f>
      </c>
      <c r="TD23" t="str">
        <f>=$TD22+--($TC23)</f>
      </c>
      <c r="TE23" t="str">
        <f>IF(ROW()-3&gt;MAX($TD$4:$TD$40),"",INDEX($CQ$4:$CQ$40,MATCH(ROW()-3,$TD$4:$TD$40,0)))</f>
      </c>
      <c r="TF23" t="str">
        <f>IF(COUNTIF('Final Calculation Sheet'!$AL23:$BB23,0)+COUNTIF('Final Calculation Sheet'!$BD23:$BS23,0)&gt;0,0,1)</f>
      </c>
      <c r="TG23" t="str">
        <f>IF($CV$23="",FALSE,SUMPRODUCT(('Final Calculation Sheet'!$R$4:$R$40=$CV$23)*($TF$4:$TF$40=1))&gt;0)</f>
      </c>
      <c r="TH23" t="str">
        <f>=$TH22+--($TG23)</f>
      </c>
      <c r="TI23" t="str">
        <f>IF(ROW()-3&gt;MAX($TH$4:$TH$40),"",INDEX($CV$4:$CV$40,MATCH(ROW()-3,$TH$4:$TH$40,0)))</f>
      </c>
      <c r="TJ23" t="str">
        <f>IF(COUNTIF('Final Calculation Sheet'!$AL23:$BC23,0)+COUNTIF('Final Calculation Sheet'!$BE23:$BS23,0)&gt;0,0,1)</f>
      </c>
      <c r="TK23" t="str">
        <f>IF($DA$23="",FALSE,SUMPRODUCT(('Final Calculation Sheet'!$S$4:$S$40=$DA$23)*($TJ$4:$TJ$40=1))&gt;0)</f>
      </c>
      <c r="TL23" t="str">
        <f>=$TL22+--($TK23)</f>
      </c>
      <c r="TM23" t="str">
        <f>IF(ROW()-3&gt;MAX($TL$4:$TL$40),"",INDEX($DA$4:$DA$40,MATCH(ROW()-3,$TL$4:$TL$40,0)))</f>
      </c>
      <c r="TN23" t="str">
        <f>IF(COUNTIF('Final Calculation Sheet'!$AL23:$BD23,0)+COUNTIF('Final Calculation Sheet'!$BF23:$BS23,0)&gt;0,0,1)</f>
      </c>
      <c r="TO23" t="str">
        <f>IF($DF$23="",FALSE,SUMPRODUCT(('Final Calculation Sheet'!$T$4:$T$40=$DF$23)*($TN$4:$TN$40=1))&gt;0)</f>
      </c>
      <c r="TP23" t="str">
        <f>=$TP22+--($TO23)</f>
      </c>
      <c r="TQ23" t="str">
        <f>IF(ROW()-3&gt;MAX($TP$4:$TP$40),"",INDEX($DF$4:$DF$40,MATCH(ROW()-3,$TP$4:$TP$40,0)))</f>
      </c>
      <c r="TR23" t="str">
        <f>IF(COUNTIF('Final Calculation Sheet'!$AL23:$BE23,0)+COUNTIF('Final Calculation Sheet'!$BG23:$BS23,0)&gt;0,0,1)</f>
      </c>
      <c r="TS23" t="str">
        <f>IF($DK$23="",FALSE,SUMPRODUCT(('Final Calculation Sheet'!$U$4:$U$40=$DK$23)*($TR$4:$TR$40=1))&gt;0)</f>
      </c>
      <c r="TT23" t="str">
        <f>=$TT22+--($TS23)</f>
      </c>
      <c r="TU23" t="str">
        <f>IF(ROW()-3&gt;MAX($TT$4:$TT$40),"",INDEX($DK$4:$DK$40,MATCH(ROW()-3,$TT$4:$TT$40,0)))</f>
      </c>
      <c r="TV23" t="str">
        <f>IF(COUNTIF('Final Calculation Sheet'!$AL23:$BF23,0)+COUNTIF('Final Calculation Sheet'!$BH23:$BS23,0)&gt;0,0,1)</f>
      </c>
      <c r="TW23" t="str">
        <f>IF($DP$23="",FALSE,SUMPRODUCT(('Final Calculation Sheet'!$V$4:$V$40=$DP$23)*($TV$4:$TV$40=1))&gt;0)</f>
      </c>
      <c r="TX23" t="str">
        <f>=$TX22+--($TW23)</f>
      </c>
      <c r="TY23" t="str">
        <f>IF(ROW()-3&gt;MAX($TX$4:$TX$40),"",INDEX($DP$4:$DP$40,MATCH(ROW()-3,$TX$4:$TX$40,0)))</f>
      </c>
      <c r="TZ23" t="str">
        <f>IF(COUNTIF('Final Calculation Sheet'!$AL23:$BG23,0)+COUNTIF('Final Calculation Sheet'!$BI23:$BS23,0)&gt;0,0,1)</f>
      </c>
      <c r="UA23" t="str">
        <f>IF($DU$23="",FALSE,SUMPRODUCT(('Final Calculation Sheet'!$W$4:$W$40=$DU$23)*($TZ$4:$TZ$40=1))&gt;0)</f>
      </c>
      <c r="UB23" t="str">
        <f>=$UB22+--($UA23)</f>
      </c>
      <c r="UC23" t="str">
        <f>IF(ROW()-3&gt;MAX($UB$4:$UB$40),"",INDEX($DU$4:$DU$40,MATCH(ROW()-3,$UB$4:$UB$40,0)))</f>
      </c>
      <c r="UD23" t="str">
        <f>IF(COUNTIF('Final Calculation Sheet'!$AL23:$BH23,0)+COUNTIF('Final Calculation Sheet'!$BJ23:$BS23,0)&gt;0,0,1)</f>
      </c>
      <c r="UE23" t="str">
        <f>IF($DZ$23="",FALSE,SUMPRODUCT(('Final Calculation Sheet'!$X$4:$X$40=$DZ$23)*($UD$4:$UD$40=1))&gt;0)</f>
      </c>
      <c r="UF23" t="str">
        <f>=$UF22+--($UE23)</f>
      </c>
      <c r="UG23" t="str">
        <f>IF(ROW()-3&gt;MAX($UF$4:$UF$40),"",INDEX($DZ$4:$DZ$40,MATCH(ROW()-3,$UF$4:$UF$40,0)))</f>
      </c>
      <c r="UH23" t="str">
        <f>IF(COUNTIF('Final Calculation Sheet'!$AL23:$BI23,0)+COUNTIF('Final Calculation Sheet'!$BK23:$BS23,0)&gt;0,0,1)</f>
      </c>
      <c r="UI23" t="str">
        <f>IF($EE$23="",FALSE,SUMPRODUCT(('Final Calculation Sheet'!$Y$4:$Y$40=$EE$23)*($UH$4:$UH$40=1))&gt;0)</f>
      </c>
      <c r="UJ23" t="str">
        <f>=$UJ22+--($UI23)</f>
      </c>
      <c r="UK23" t="str">
        <f>IF(ROW()-3&gt;MAX($UJ$4:$UJ$40),"",INDEX($EE$4:$EE$40,MATCH(ROW()-3,$UJ$4:$UJ$40,0)))</f>
      </c>
      <c r="UL23" t="str">
        <f>IF(COUNTIF('Final Calculation Sheet'!$AL23:$BJ23,0)+COUNTIF('Final Calculation Sheet'!$BL23:$BS23,0)&gt;0,0,1)</f>
      </c>
      <c r="UM23" t="str">
        <f>IF($EJ$23="",FALSE,SUMPRODUCT(('Final Calculation Sheet'!$Z$4:$Z$40=$EJ$23)*($UL$4:$UL$40=1))&gt;0)</f>
      </c>
      <c r="UN23" t="str">
        <f>=$UN22+--($UM23)</f>
      </c>
      <c r="UO23" t="str">
        <f>IF(ROW()-3&gt;MAX($UN$4:$UN$40),"",INDEX($EJ$4:$EJ$40,MATCH(ROW()-3,$UN$4:$UN$40,0)))</f>
      </c>
      <c r="UP23" t="str">
        <f>IF(COUNTIF('Final Calculation Sheet'!$AL23:$BK23,0)+COUNTIF('Final Calculation Sheet'!$BM23:$BS23,0)&gt;0,0,1)</f>
      </c>
      <c r="UQ23" t="str">
        <f>IF($EO$23="",FALSE,SUMPRODUCT(('Final Calculation Sheet'!$AA$4:$AA$40=$EO$23)*($UP$4:$UP$40=1))&gt;0)</f>
      </c>
      <c r="UR23" t="str">
        <f>=$UR22+--($UQ23)</f>
      </c>
      <c r="US23" t="str">
        <f>IF(ROW()-3&gt;MAX($UR$4:$UR$40),"",INDEX($EO$4:$EO$40,MATCH(ROW()-3,$UR$4:$UR$40,0)))</f>
      </c>
      <c r="UT23" t="str">
        <f>IF(COUNTIF('Final Calculation Sheet'!$AL23:$BL23,0)+COUNTIF('Final Calculation Sheet'!$BN23:$BS23,0)&gt;0,0,1)</f>
      </c>
      <c r="UU23" t="str">
        <f>IF($ET$23="",FALSE,SUMPRODUCT(('Final Calculation Sheet'!$AB$4:$AB$40=$ET$23)*($UT$4:$UT$40=1))&gt;0)</f>
      </c>
      <c r="UV23" t="str">
        <f>=$UV22+--($UU23)</f>
      </c>
      <c r="UW23" t="str">
        <f>IF(ROW()-3&gt;MAX($UV$4:$UV$40),"",INDEX($ET$4:$ET$40,MATCH(ROW()-3,$UV$4:$UV$40,0)))</f>
      </c>
      <c r="UX23" t="str">
        <f>IF(COUNTIF('Final Calculation Sheet'!$AL23:$BM23,0)+COUNTIF('Final Calculation Sheet'!$BO23:$BS23,0)&gt;0,0,1)</f>
      </c>
      <c r="UY23" t="str">
        <f>IF($EY$23="",FALSE,SUMPRODUCT(('Final Calculation Sheet'!$AC$4:$AC$40=$EY$23)*($UX$4:$UX$40=1))&gt;0)</f>
      </c>
      <c r="UZ23" t="str">
        <f>=$UZ22+--($UY23)</f>
      </c>
      <c r="VA23" t="str">
        <f>IF(ROW()-3&gt;MAX($UZ$4:$UZ$40),"",INDEX($EY$4:$EY$40,MATCH(ROW()-3,$UZ$4:$UZ$40,0)))</f>
      </c>
      <c r="VB23" t="str">
        <f>IF(COUNTIF('Final Calculation Sheet'!$AL23:$BN23,0)+COUNTIF('Final Calculation Sheet'!$BP23:$BS23,0)&gt;0,0,1)</f>
      </c>
      <c r="VC23" t="str">
        <f>IF($FD$23="",FALSE,SUMPRODUCT(('Final Calculation Sheet'!$AD$4:$AD$40=$FD$23)*($VB$4:$VB$40=1))&gt;0)</f>
      </c>
      <c r="VD23" t="str">
        <f>=$VD22+--($VC23)</f>
      </c>
      <c r="VE23" t="str">
        <f>IF(ROW()-3&gt;MAX($VD$4:$VD$40),"",INDEX($FD$4:$FD$40,MATCH(ROW()-3,$VD$4:$VD$40,0)))</f>
      </c>
      <c r="VF23" t="str">
        <f>IF(COUNTIF('Final Calculation Sheet'!$AL23:$BO23,0)+COUNTIF('Final Calculation Sheet'!$BQ23:$BS23,0)&gt;0,0,1)</f>
      </c>
      <c r="VG23" t="str">
        <f>IF($FI$23="",FALSE,SUMPRODUCT(('Final Calculation Sheet'!$AE$4:$AE$40=$FI$23)*($VF$4:$VF$40=1))&gt;0)</f>
      </c>
      <c r="VH23" t="str">
        <f>=$VH22+--($VG23)</f>
      </c>
      <c r="VI23" t="str">
        <f>IF(ROW()-3&gt;MAX($VH$4:$VH$40),"",INDEX($FI$4:$FI$40,MATCH(ROW()-3,$VH$4:$VH$40,0)))</f>
      </c>
      <c r="VJ23" t="str">
        <f>IF(COUNTIF('Final Calculation Sheet'!$AL23:$BP23,0)+COUNTIF('Final Calculation Sheet'!$BR23:$BS23,0)&gt;0,0,1)</f>
      </c>
      <c r="VK23" t="str">
        <f>IF($FN$23="",FALSE,SUMPRODUCT(('Final Calculation Sheet'!$AF$4:$AF$40=$FN$23)*($VJ$4:$VJ$40=1))&gt;0)</f>
      </c>
      <c r="VL23" t="str">
        <f>=$VL22+--($VK23)</f>
      </c>
      <c r="VM23" t="str">
        <f>IF(ROW()-3&gt;MAX($VL$4:$VL$40),"",INDEX($FN$4:$FN$40,MATCH(ROW()-3,$VL$4:$VL$40,0)))</f>
      </c>
      <c r="VN23" t="str">
        <f>IF(COUNTIF('Final Calculation Sheet'!$AL23:$BQ23,0)+COUNTIF('Final Calculation Sheet'!$BS23:$BS23,0)&gt;0,0,1)</f>
      </c>
      <c r="VO23" t="str">
        <f>IF($FS$23="",FALSE,SUMPRODUCT(('Final Calculation Sheet'!$AG$4:$AG$40=$FS$23)*($VN$4:$VN$40=1))&gt;0)</f>
      </c>
      <c r="VP23" t="str">
        <f>=$VP22+--($VO23)</f>
      </c>
      <c r="VQ23" t="str">
        <f>IF(ROW()-3&gt;MAX($VP$4:$VP$40),"",INDEX($FS$4:$FS$40,MATCH(ROW()-3,$VP$4:$VP$40,0)))</f>
      </c>
      <c r="VR23" t="str">
        <f>IF(COUNTIF('Final Calculation Sheet'!$AL23:$BR23,0)&gt;0,0,1)</f>
      </c>
      <c r="VS23" t="str">
        <f>IF($QO$23="",FALSE,SUMPRODUCT(('Final Calculation Sheet'!$AH$4:$AH$40=$QO$23)*($VR$4:$VR$40=1))&gt;0)</f>
      </c>
      <c r="VT23" t="str">
        <f>=$VT22+--($VS23)</f>
      </c>
      <c r="VU23" t="str">
        <f>IF(ROW()-3&gt;MAX($VT$4:$VT$40),"",INDEX($QO$4:$QO$40,MATCH(ROW()-3,$VT$4:$VT$40,0)))</f>
      </c>
    </row>
    <row r="24">
      <c r="A24">
        <f>IF(IFERROR('Final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IF(IFERROR('Final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s="55">
        <f>IF('Final Calculation Sheet'!$C$24="","",'Final Calculation Sheet'!$C$24)</f>
        <v/>
      </c>
      <c r="AP24">
        <f>IF(AO24="","",COUNTIFS(AO$4:AO$40,"&lt;"&amp;AO24,AO$4:AO$40,"&lt;&gt;"&amp;"")+COUNTIF(AO$4:AO24,AO24))</f>
        <v/>
      </c>
      <c r="AQ24" s="55">
        <f>IF(ROW()-3&gt;COUNTIF(AO$4:AO$40,"&lt;&gt;"&amp;""),"",INDEX(AO$4:AO$40,MATCH(ROW()-3,AP$4:AP$40,0)))</f>
        <v/>
      </c>
      <c r="AR24">
        <f>AR23+IF(AND(AQ24&lt;&gt;"",COUNTIF(AQ$4:AQ24,AQ24)=1),1,0)</f>
        <v/>
      </c>
      <c r="AS24" s="55">
        <f>IF(ROW()-3&gt;MAX(AR$4:AR$40),"",INDEX(AQ$4:AQ$40,MATCH(ROW()-3,AR$4:AR$40,0)))</f>
        <v/>
      </c>
      <c r="AT24" s="55">
        <f>IF('Final Calculation Sheet'!$H$24="","",'Final Calculation Sheet'!$H$24)</f>
        <v/>
      </c>
      <c r="AU24">
        <f>IF(AT24="","",COUNTIFS(AT$4:AT$40,"&lt;"&amp;AT24,AT$4:AT$40,"&lt;&gt;"&amp;"")+COUNTIF(AT$4:AT24,AT24))</f>
        <v/>
      </c>
      <c r="AV24" s="55">
        <f>IF(ROW()-3&gt;COUNTIF(AT$4:AT$40,"&lt;&gt;"&amp;""),"",INDEX(AT$4:AT$40,MATCH(ROW()-3,AU$4:AU$40,0)))</f>
        <v/>
      </c>
      <c r="AW24">
        <f>AW23+IF(AND(AV24&lt;&gt;"",COUNTIF(AV$4:AV24,AV24)=1),1,0)</f>
        <v/>
      </c>
      <c r="AX24" s="55">
        <f>IF(ROW()-3&gt;MAX(AW$4:AW$40),"",INDEX(AV$4:AV$40,MATCH(ROW()-3,AW$4:AW$40,0)))</f>
        <v/>
      </c>
      <c r="AY24" s="55">
        <f>IF('Final Calculation Sheet'!$I$24="","",'Final Calculation Sheet'!$I$24)</f>
        <v/>
      </c>
      <c r="AZ24">
        <f>IF(AY24="","",COUNTIFS(AY$4:AY$40,"&lt;"&amp;AY24,AY$4:AY$40,"&lt;&gt;"&amp;"")+COUNTIF(AY$4:AY24,AY24))</f>
        <v/>
      </c>
      <c r="BA24" s="55">
        <f>IF(ROW()-3&gt;COUNTIF(AY$4:AY$40,"&lt;&gt;"&amp;""),"",INDEX(AY$4:AY$40,MATCH(ROW()-3,AZ$4:AZ$40,0)))</f>
        <v/>
      </c>
      <c r="BB24">
        <f>BB23+IF(AND(BA24&lt;&gt;"",COUNTIF(BA$4:BA24,BA24)=1),1,0)</f>
        <v/>
      </c>
      <c r="BC24" s="55">
        <f>IF(ROW()-3&gt;MAX(BB$4:BB$40),"",INDEX(BA$4:BA$40,MATCH(ROW()-3,BB$4:BB$40,0)))</f>
        <v/>
      </c>
      <c r="BD24" s="55">
        <f>IF('Final Calculation Sheet'!$J$24="","",'Final Calculation Sheet'!$J$24)</f>
        <v/>
      </c>
      <c r="BE24">
        <f>IF(BD24="","",COUNTIFS(BD$4:BD$40,"&lt;"&amp;BD24,BD$4:BD$40,"&lt;&gt;"&amp;"")+COUNTIF(BD$4:BD24,BD24))</f>
        <v/>
      </c>
      <c r="BF24" s="55">
        <f>IF(ROW()-3&gt;COUNTIF(BD$4:BD$40,"&lt;&gt;"&amp;""),"",INDEX(BD$4:BD$40,MATCH(ROW()-3,BE$4:BE$40,0)))</f>
        <v/>
      </c>
      <c r="BG24">
        <f>BG23+IF(AND(BF24&lt;&gt;"",COUNTIF(BF$4:BF24,BF24)=1),1,0)</f>
        <v/>
      </c>
      <c r="BH24" s="55">
        <f>IF(ROW()-3&gt;MAX(BG$4:BG$40),"",INDEX(BF$4:BF$40,MATCH(ROW()-3,BG$4:BG$40,0)))</f>
        <v/>
      </c>
      <c r="BI24" s="55">
        <f>IF('Final Calculation Sheet'!$K$24="","",'Final Calculation Sheet'!$K$24)</f>
        <v/>
      </c>
      <c r="BJ24">
        <f>IF(BI24="","",COUNTIFS(BI$4:BI$40,"&lt;"&amp;BI24,BI$4:BI$40,"&lt;&gt;"&amp;"")+COUNTIF(BI$4:BI24,BI24))</f>
        <v/>
      </c>
      <c r="BK24" s="55">
        <f>IF(ROW()-3&gt;COUNTIF(BI$4:BI$40,"&lt;&gt;"&amp;""),"",INDEX(BI$4:BI$40,MATCH(ROW()-3,BJ$4:BJ$40,0)))</f>
        <v/>
      </c>
      <c r="BL24">
        <f>BL23+IF(AND(BK24&lt;&gt;"",COUNTIF(BK$4:BK24,BK24)=1),1,0)</f>
        <v/>
      </c>
      <c r="BM24" s="55">
        <f>IF(ROW()-3&gt;MAX(BL$4:BL$40),"",INDEX(BK$4:BK$40,MATCH(ROW()-3,BL$4:BL$40,0)))</f>
        <v/>
      </c>
      <c r="BN24" s="55">
        <f>IF('Final Calculation Sheet'!$L$24="","",'Final Calculation Sheet'!$L$24)</f>
        <v/>
      </c>
      <c r="BO24">
        <f>IF(BN24="","",COUNTIFS(BN$4:BN$40,"&lt;"&amp;BN24,BN$4:BN$40,"&lt;&gt;"&amp;"")+COUNTIF(BN$4:BN24,BN24))</f>
        <v/>
      </c>
      <c r="BP24" s="55">
        <f>IF(ROW()-3&gt;COUNTIF(BN$4:BN$40,"&lt;&gt;"&amp;""),"",INDEX(BN$4:BN$40,MATCH(ROW()-3,BO$4:BO$40,0)))</f>
        <v/>
      </c>
      <c r="BQ24">
        <f>BQ23+IF(AND(BP24&lt;&gt;"",COUNTIF(BP$4:BP24,BP24)=1),1,0)</f>
        <v/>
      </c>
      <c r="BR24" s="55">
        <f>IF(ROW()-3&gt;MAX(BQ$4:BQ$40),"",INDEX(BP$4:BP$40,MATCH(ROW()-3,BQ$4:BQ$40,0)))</f>
        <v/>
      </c>
      <c r="BS24" s="55">
        <f>IF('Final Calculation Sheet'!$M$24="","",'Final Calculation Sheet'!$M$24)</f>
        <v/>
      </c>
      <c r="BT24">
        <f>IF(BS24="","",COUNTIFS(BS$4:BS$40,"&lt;"&amp;BS24,BS$4:BS$40,"&lt;&gt;"&amp;"")+COUNTIF(BS$4:BS24,BS24))</f>
        <v/>
      </c>
      <c r="BU24" s="55">
        <f>IF(ROW()-3&gt;COUNTIF(BS$4:BS$40,"&lt;&gt;"&amp;""),"",INDEX(BS$4:BS$40,MATCH(ROW()-3,BT$4:BT$40,0)))</f>
        <v/>
      </c>
      <c r="BV24">
        <f>BV23+IF(AND(BU24&lt;&gt;"",COUNTIF(BU$4:BU24,BU24)=1),1,0)</f>
        <v/>
      </c>
      <c r="BW24" s="55">
        <f>IF(ROW()-3&gt;MAX(BV$4:BV$40),"",INDEX(BU$4:BU$40,MATCH(ROW()-3,BV$4:BV$40,0)))</f>
        <v/>
      </c>
      <c r="BX24" s="138">
        <f>IF('Final Calculation Sheet'!$N$24="","",'Final Calculation Sheet'!$N$24)</f>
        <v/>
      </c>
      <c r="BY24">
        <f>IF(BX24="","",COUNTIFS(BX$4:BX$40,"&lt;"&amp;BX24,BX$4:BX$40,"&lt;&gt;"&amp;"")+COUNTIF(BX$4:BX24,BX24))</f>
        <v/>
      </c>
      <c r="BZ24" s="138">
        <f>IF(ROW()-3&gt;COUNTIF(BX$4:BX$40,"&lt;&gt;"&amp;""),"",INDEX(BX$4:BX$40,MATCH(ROW()-3,BY$4:BY$40,0)))</f>
        <v/>
      </c>
      <c r="CA24">
        <f>CA23+IF(AND(BZ24&lt;&gt;"",COUNTIF(BZ$4:BZ24,BZ24)=1),1,0)</f>
        <v/>
      </c>
      <c r="CB24" s="138">
        <f>IF(ROW()-3&gt;MAX(CA$4:CA$40),"",INDEX(BZ$4:BZ$40,MATCH(ROW()-3,CA$4:CA$40,0)))</f>
        <v/>
      </c>
      <c r="CC24" s="55">
        <f>IF('Final Calculation Sheet'!$O$24="","",'Final Calculation Sheet'!$O$24)</f>
        <v/>
      </c>
      <c r="CD24">
        <f>IF(CC24="","",COUNTIFS(CC$4:CC$40,"&lt;"&amp;CC24,CC$4:CC$40,"&lt;&gt;"&amp;"")+COUNTIF(CC$4:CC24,CC24))</f>
        <v/>
      </c>
      <c r="CE24" s="55">
        <f>IF(ROW()-3&gt;COUNTIF(CC$4:CC$40,"&lt;&gt;"&amp;""),"",INDEX(CC$4:CC$40,MATCH(ROW()-3,CD$4:CD$40,0)))</f>
        <v/>
      </c>
      <c r="CF24">
        <f>CF23+IF(AND(CE24&lt;&gt;"",COUNTIF(CE$4:CE24,CE24)=1),1,0)</f>
        <v/>
      </c>
      <c r="CG24" s="55">
        <f>IF(ROW()-3&gt;MAX(CF$4:CF$40),"",INDEX(CE$4:CE$40,MATCH(ROW()-3,CF$4:CF$40,0)))</f>
        <v/>
      </c>
      <c r="CH24" s="55">
        <f>IF('Final Calculation Sheet'!$P$24="","",'Final Calculation Sheet'!$P$24)</f>
        <v/>
      </c>
      <c r="CI24">
        <f>IF(CH24="","",COUNTIFS(CH$4:CH$40,"&lt;"&amp;CH24,CH$4:CH$40,"&lt;&gt;"&amp;"")+COUNTIF(CH$4:CH24,CH24))</f>
        <v/>
      </c>
      <c r="CJ24" s="55">
        <f>IF(ROW()-3&gt;COUNTIF(CH$4:CH$40,"&lt;&gt;"&amp;""),"",INDEX(CH$4:CH$40,MATCH(ROW()-3,CI$4:CI$40,0)))</f>
        <v/>
      </c>
      <c r="CK24">
        <f>CK23+IF(AND(CJ24&lt;&gt;"",COUNTIF(CJ$4:CJ24,CJ24)=1),1,0)</f>
        <v/>
      </c>
      <c r="CL24" s="55">
        <f>IF(ROW()-3&gt;MAX(CK$4:CK$40),"",INDEX(CJ$4:CJ$40,MATCH(ROW()-3,CK$4:CK$40,0)))</f>
        <v/>
      </c>
      <c r="CM24" s="139">
        <f>IF('Final Calculation Sheet'!$Q$24="","",'Final Calculation Sheet'!$Q$24)</f>
        <v/>
      </c>
      <c r="CN24">
        <f>IF(CM24="","",COUNTIFS(CM$4:CM$40,"&lt;"&amp;CM24,CM$4:CM$40,"&lt;&gt;"&amp;"")+COUNTIF(CM$4:CM24,CM24))</f>
        <v/>
      </c>
      <c r="CO24" s="139">
        <f>IF(ROW()-3&gt;COUNTIF(CM$4:CM$40,"&lt;&gt;"&amp;""),"",INDEX(CM$4:CM$40,MATCH(ROW()-3,CN$4:CN$40,0)))</f>
        <v/>
      </c>
      <c r="CP24">
        <f>CP23+IF(AND(CO24&lt;&gt;"",COUNTIF(CO$4:CO24,CO24)=1),1,0)</f>
        <v/>
      </c>
      <c r="CQ24">
        <f>IF(ROW()-3&gt;MAX(CP$4:CP$40),"",INDEX(CO$4:CO$40,MATCH(ROW()-3,CP$4:CP$40,0)))</f>
        <v/>
      </c>
      <c r="CR24" s="55">
        <f>IF('Final Calculation Sheet'!$R$24="","",'Final Calculation Sheet'!$R$24)</f>
        <v/>
      </c>
      <c r="CS24">
        <f>IF(CR24="","",COUNTIFS(CR$4:CR$40,"&lt;"&amp;CR24,CR$4:CR$40,"&lt;&gt;"&amp;"")+COUNTIF(CR$4:CR24,CR24))</f>
        <v/>
      </c>
      <c r="CT24" s="55">
        <f>IF(ROW()-3&gt;COUNTIF(CR$4:CR$40,"&lt;&gt;"&amp;""),"",INDEX(CR$4:CR$40,MATCH(ROW()-3,CS$4:CS$40,0)))</f>
        <v/>
      </c>
      <c r="CU24">
        <f>CU23+IF(AND(CT24&lt;&gt;"",COUNTIF(CT$4:CT24,CT24)=1),1,0)</f>
        <v/>
      </c>
      <c r="CV24">
        <f>IF(ROW()-3&gt;MAX(CU$4:CU$40),"",INDEX(CT$4:CT$40,MATCH(ROW()-3,CU$4:CU$40,0)))</f>
        <v/>
      </c>
      <c r="CW24" s="55">
        <f>IF('Final Calculation Sheet'!$S$24="","",'Final Calculation Sheet'!$S$24)</f>
        <v/>
      </c>
      <c r="CX24">
        <f>IF(CW24="","",COUNTIFS(CW$4:CW$40,"&lt;"&amp;CW24,CW$4:CW$40,"&lt;&gt;"&amp;"")+COUNTIF(CW$4:CW24,CW24))</f>
        <v/>
      </c>
      <c r="CY24" s="55">
        <f>IF(ROW()-3&gt;COUNTIF(CW$4:CW$40,"&lt;&gt;"&amp;""),"",INDEX(CW$4:CW$40,MATCH(ROW()-3,CX$4:CX$40,0)))</f>
        <v/>
      </c>
      <c r="CZ24">
        <f>CZ23+IF(AND(CY24&lt;&gt;"",COUNTIF(CY$4:CY24,CY24)=1),1,0)</f>
        <v/>
      </c>
      <c r="DA24" s="55">
        <f>IF(ROW()-3&gt;MAX(CZ$4:CZ$40),"",INDEX(CY$4:CY$40,MATCH(ROW()-3,CZ$4:CZ$40,0)))</f>
        <v/>
      </c>
      <c r="DB24" s="55">
        <f>IF('Final Calculation Sheet'!$T$24="","",'Final Calculation Sheet'!$T$24)</f>
        <v/>
      </c>
      <c r="DC24">
        <f>IF(DB24="","",COUNTIFS(DB$4:DB$40,"&lt;"&amp;DB24,DB$4:DB$40,"&lt;&gt;"&amp;"")+COUNTIF(DB$4:DB24,DB24))</f>
        <v/>
      </c>
      <c r="DD24" s="55">
        <f>IF(ROW()-3&gt;COUNTIF(DB$4:DB$40,"&lt;&gt;"&amp;""),"",INDEX(DB$4:DB$40,MATCH(ROW()-3,DC$4:DC$40,0)))</f>
        <v/>
      </c>
      <c r="DE24">
        <f>DE23+IF(AND(DD24&lt;&gt;"",COUNTIF(DD$4:DD24,DD24)=1),1,0)</f>
        <v/>
      </c>
      <c r="DF24" s="55">
        <f>IF(ROW()-3&gt;MAX(DE$4:DE$40),"",INDEX(DD$4:DD$40,MATCH(ROW()-3,DE$4:DE$40,0)))</f>
        <v/>
      </c>
      <c r="DG24" s="140">
        <f>IF('Final Calculation Sheet'!$U$24="","",'Final Calculation Sheet'!$U$24)</f>
        <v/>
      </c>
      <c r="DH24">
        <f>IF(DG24="","",COUNTIFS(DG$4:DG$40,"&lt;"&amp;DG24,DG$4:DG$40,"&lt;&gt;"&amp;"")+COUNTIF(DG$4:DG24,DG24))</f>
        <v/>
      </c>
      <c r="DI24" s="140">
        <f>IF(ROW()-3&gt;COUNTIF(DG$4:DG$40,"&lt;&gt;"&amp;""),"",INDEX(DG$4:DG$40,MATCH(ROW()-3,DH$4:DH$40,0)))</f>
        <v/>
      </c>
      <c r="DJ24">
        <f>DJ23+IF(AND(DI24&lt;&gt;"",COUNTIF(DI$4:DI24,DI24)=1),1,0)</f>
        <v/>
      </c>
      <c r="DK24" s="140">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s="55">
        <f>IF('Final Calculation Sheet'!$W$24="","",'Final Calculation Sheet'!$W$24)</f>
        <v/>
      </c>
      <c r="DR24">
        <f>IF(DQ24="","",COUNTIFS(DQ$4:DQ$40,"&lt;"&amp;DQ24,DQ$4:DQ$40,"&lt;&gt;"&amp;"")+COUNTIF(DQ$4:DQ24,DQ24))</f>
        <v/>
      </c>
      <c r="DS24" s="55">
        <f>IF(ROW()-3&gt;COUNTIF(DQ$4:DQ$40,"&lt;&gt;"&amp;""),"",INDEX(DQ$4:DQ$40,MATCH(ROW()-3,DR$4:DR$40,0)))</f>
        <v/>
      </c>
      <c r="DT24">
        <f>DT23+IF(AND(DS24&lt;&gt;"",COUNTIF(DS$4:DS24,DS24)=1),1,0)</f>
        <v/>
      </c>
      <c r="DU24" s="55">
        <f>IF(ROW()-3&gt;MAX(DT$4:DT$40),"",INDEX(DS$4:DS$40,MATCH(ROW()-3,DT$4:DT$40,0)))</f>
        <v/>
      </c>
      <c r="DV24" s="55">
        <f>IF('Final Calculation Sheet'!$X$24="","",'Final Calculation Sheet'!$X$24)</f>
        <v/>
      </c>
      <c r="DW24">
        <f>IF(DV24="","",COUNTIFS(DV$4:DV$40,"&lt;"&amp;DV24,DV$4:DV$40,"&lt;&gt;"&amp;"")+COUNTIF(DV$4:DV24,DV24))</f>
        <v/>
      </c>
      <c r="DX24" s="55">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s="55">
        <f>IF('Final Calculation Sheet'!$Z$24="","",'Final Calculation Sheet'!$Z$24)</f>
        <v/>
      </c>
      <c r="EG24">
        <f>IF(EF24="","",COUNTIFS(EF$4:EF$40,"&lt;"&amp;EF24,EF$4:EF$40,"&lt;&gt;"&amp;"")+COUNTIF(EF$4:EF24,EF24))</f>
        <v/>
      </c>
      <c r="EH24" s="55">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s="55">
        <f>IF('Final Calculation Sheet'!$AC$24="","",'Final Calculation Sheet'!$AC$24)</f>
        <v/>
      </c>
      <c r="EV24">
        <f>IF(EU24="","",COUNTIFS(EU$4:EU$40,"&lt;"&amp;EU24,EU$4:EU$40,"&lt;&gt;"&amp;"")+COUNTIF(EU$4:EU24,EU24))</f>
        <v/>
      </c>
      <c r="EW24" s="55">
        <f>IF(ROW()-3&gt;COUNTIF(EU$4:EU$40,"&lt;&gt;"&amp;""),"",INDEX(EU$4:EU$40,MATCH(ROW()-3,EV$4:EV$40,0)))</f>
        <v/>
      </c>
      <c r="EX24">
        <f>EX23+IF(AND(EW24&lt;&gt;"",COUNTIF(EW$4:EW24,EW24)=1),1,0)</f>
        <v/>
      </c>
      <c r="EY24" s="55">
        <f>IF(ROW()-3&gt;MAX(EX$4:EX$40),"",INDEX(EW$4:EW$40,MATCH(ROW()-3,EX$4:EX$40,0)))</f>
        <v/>
      </c>
      <c r="EZ24" s="55">
        <f>IF('Final Calculation Sheet'!$AD$24="","",'Final Calculation Sheet'!$AD$24)</f>
        <v/>
      </c>
      <c r="FA24">
        <f>IF(EZ24="","",COUNTIFS(EZ$4:EZ$40,"&lt;"&amp;EZ24,EZ$4:EZ$40,"&lt;&gt;"&amp;"")+COUNTIF(EZ$4:EZ24,EZ24))</f>
        <v/>
      </c>
      <c r="FB24" s="55">
        <f>IF(ROW()-3&gt;COUNTIF(EZ$4:EZ$40,"&lt;&gt;"&amp;""),"",INDEX(EZ$4:EZ$40,MATCH(ROW()-3,FA$4:FA$40,0)))</f>
        <v/>
      </c>
      <c r="FC24">
        <f>FC23+IF(AND(FB24&lt;&gt;"",COUNTIF(FB$4:FB24,FB24)=1),1,0)</f>
        <v/>
      </c>
      <c r="FD24">
        <f>IF(ROW()-3&gt;MAX(FC$4:FC$40),"",INDEX(FB$4:FB$40,MATCH(ROW()-3,FC$4:FC$40,0)))</f>
        <v/>
      </c>
      <c r="FE24">
        <f>IF('Final Calculation Sheet'!$AF$24="","",'Final Calculation Sheet'!$AF$24)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s="141">
        <f>IF('Final Calculation Sheet'!$AG$24="","",'Final Calculation Sheet'!$AG$24)</f>
        <v/>
      </c>
      <c r="FK24">
        <f>IF(FJ24="","",COUNTIFS(FJ$4:FJ$40,"&lt;"&amp;FJ24,FJ$4:FJ$40,"&lt;&gt;"&amp;"")+COUNTIF(FJ$4:FJ24,FJ24))</f>
        <v/>
      </c>
      <c r="FL24" s="141">
        <f>IF(ROW()-3&gt;COUNTIF(FJ$4:FJ$40,"&lt;&gt;"&amp;""),"",INDEX(FJ$4:FJ$40,MATCH(ROW()-3,FK$4:FK$40,0)))</f>
        <v/>
      </c>
      <c r="FM24">
        <f>FM23+IF(AND(FL24&lt;&gt;"",COUNTIF(FL$4:FL24,FL24)=1),1,0)</f>
        <v/>
      </c>
      <c r="FN24">
        <f>IF(ROW()-3&gt;MAX(FM$4:FM$40),"",INDEX(FL$4:FL$40,MATCH(ROW()-3,FM$4:FM$40,0)))</f>
        <v/>
      </c>
      <c r="FO24">
        <f>IF('Final Calculation Sheet'!$AH$24="","",'Final Calculation Sheet'!$AH$24)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c r="FY24">
        <f>IF(COUNTIF('Live Search'!BM$23:BO$23,0)+COUNTIF('Live Search'!BQ$23:CU$23,0)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4">
        <f>IF($Y$24="",FALSE,SUMPRODUCT(('Final Calculation Sheet'!$B$4:$B$40=$Y$24)*($FY$6:$FY$42=1))&gt;0)</f>
        <v/>
      </c>
      <c r="GA24">
        <f>$GA$23+--($FZ$24)</f>
        <v/>
      </c>
      <c r="GB24">
        <f>IF(ROW()-3&gt;MAX($GA$4:$GA$40),"",INDEX($Y$4:$Y$40,MATCH(ROW()-3,$GA$4:$GA$40,0)))</f>
        <v/>
      </c>
      <c r="GC24">
        <f>IF(COUNTIF('Live Search'!BM$23:BM$23,0)+COUNTIF('Live Search'!BO$23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D24">
        <f>IF($O$24="",FALSE,SUMPRODUCT(('Final Calculation Sheet'!$F$4:$F$40=$O$24)*($GC$6:$GC$42=1))&gt;0)</f>
        <v/>
      </c>
      <c r="GE24">
        <f>$GE$23+--($GD24)</f>
        <v/>
      </c>
      <c r="GF24">
        <f>IF(ROW()-3&gt;MAX($GE$4:$GE$40),"",INDEX($O$4:$O$40,MATCH(ROW()-3,$GE$4:$GE$40,0)))</f>
        <v/>
      </c>
      <c r="GG24">
        <f>IF(COUNTIF('Live Search'!BM$23:BN$23,0)+COUNTIF('Live Search'!BP$23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H24">
        <f>IF($T$24="",FALSE,SUMPRODUCT(('Final Calculation Sheet'!$G$4:$G$40=$T$24)*($GG$6:$GG$42=1))&gt;0)</f>
        <v/>
      </c>
      <c r="GI24">
        <f>$GI$23+--($GH24)</f>
        <v/>
      </c>
      <c r="GJ24">
        <f>IF(ROW()-3&gt;MAX($GI$4:$GI$40),"",INDEX($T$4:$T$40,MATCH(ROW()-3,$GI$4:$GI$40,0)))</f>
        <v/>
      </c>
      <c r="GK24">
        <f>IF(COUNTIF('Live Search'!BM$23:BP$23,0)+COUNTIF('Live Search'!BR$23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L24">
        <f>IF($AD$24="",FALSE,SUMPRODUCT(('Final Calculation Sheet'!$D$4:$D$40=$AD$24)*($GK$6:$GK$42=1))&gt;0)</f>
        <v/>
      </c>
      <c r="GM24">
        <f>$GM$23+--($GL24)</f>
        <v/>
      </c>
      <c r="GN24">
        <f>IF(ROW()-3&gt;MAX($GM$4:$GM$40),"",INDEX($AD$4:$AD$40,MATCH(ROW()-3,$GM$4:$GM$40,0)))</f>
        <v/>
      </c>
      <c r="GO24">
        <f>IF(COUNTIF('Live Search'!BM$23:BQ$23,0)+COUNTIF('Live Search'!BS$23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P24">
        <f>IF($AI$24="",FALSE,SUMPRODUCT(('Final Calculation Sheet'!$A$4:$A$40=$AI$24)*($GO$6:$GO$42=1))&gt;0)</f>
        <v/>
      </c>
      <c r="GQ24">
        <f>$GQ$23+--($GP24)</f>
        <v/>
      </c>
      <c r="GR24">
        <f>IF(ROW()-3&gt;MAX($GQ$4:$GQ$40),"",INDEX($AI$4:$AI$40,MATCH(ROW()-3,$GQ$4:$GQ$40,0)))</f>
        <v/>
      </c>
      <c r="GS24">
        <f>IF(COUNTIF('Live Search'!BM$23:BR$23,0)+COUNTIF('Live Search'!BT$23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T24">
        <f>IF($AN$24="",FALSE,SUMPRODUCT(('Final Calculation Sheet'!$E$4:$E$40=$AN$24)*($GS$6:$GS$42=1))&gt;0)</f>
        <v/>
      </c>
      <c r="GU24">
        <f>$GU$23+--($GT24)</f>
        <v/>
      </c>
      <c r="GV24">
        <f>IF(ROW()-3&gt;MAX($GU$4:$GU$40),"",INDEX($AN$4:$AN$40,MATCH(ROW()-3,$GU$4:$GU$40,0)))</f>
        <v/>
      </c>
      <c r="GW24">
        <f>IF(COUNTIF('Live Search'!BM$23:BS$23,0)+COUNTIF('Live Search'!BU$23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GX24">
        <f>IF($AS$24="",FALSE,SUMPRODUCT(('Final Calculation Sheet'!$C$4:$C$40=$AS$24)*($GW$6:$GW$42=1))&gt;0)</f>
        <v/>
      </c>
      <c r="GY24">
        <f>$GY$23+--($GX24)</f>
        <v/>
      </c>
      <c r="GZ24">
        <f>IF(ROW()-3&gt;MAX($GY$4:$GY$40),"",INDEX($AS$4:$AS$40,MATCH(ROW()-3,$GY$4:$GY$40,0)))</f>
        <v/>
      </c>
      <c r="HA24">
        <f>IF(COUNTIF('Live Search'!BM$23:BT$23,0)+COUNTIF('Live Search'!BV$23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B24">
        <f>IF($AX$24="",FALSE,SUMPRODUCT(('Final Calculation Sheet'!$H$4:$H$40=$AX$24)*($HA$6:$HA$42=1))&gt;0)</f>
        <v/>
      </c>
      <c r="HC24">
        <f>$HC$23+--($HB24)</f>
        <v/>
      </c>
      <c r="HD24">
        <f>IF(ROW()-3&gt;MAX($HC$4:$HC$40),"",INDEX($AX$4:$AX$40,MATCH(ROW()-3,$HC$4:$HC$40,0)))</f>
        <v/>
      </c>
      <c r="HE24">
        <f>IF(COUNTIF('Live Search'!BM$23:BU$23,0)+COUNTIF('Live Search'!BW$23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F24">
        <f>IF($BC$24="",FALSE,SUMPRODUCT(('Final Calculation Sheet'!$I$4:$I$40=$BC$24)*($HE$6:$HE$42=1))&gt;0)</f>
        <v/>
      </c>
      <c r="HG24">
        <f>$HG$23+--($HF24)</f>
        <v/>
      </c>
      <c r="HH24">
        <f>IF(ROW()-3&gt;MAX($HG$4:$HG$40),"",INDEX($BC$4:$BC$40,MATCH(ROW()-3,$HG$4:$HG$40,0)))</f>
        <v/>
      </c>
      <c r="HI24">
        <f>IF(COUNTIF('Live Search'!BM$23:BV$23,0)+COUNTIF('Live Search'!BX$23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J24">
        <f>IF($BH$24="",FALSE,SUMPRODUCT(('Final Calculation Sheet'!$J$4:$J$40=$BH$24)*($HI$6:$HI$42=1))&gt;0)</f>
        <v/>
      </c>
      <c r="HK24">
        <f>$HK$23+--($HJ24)</f>
        <v/>
      </c>
      <c r="HL24">
        <f>IF(ROW()-3&gt;MAX($HK$4:$HK$40),"",INDEX($BH$4:$BH$40,MATCH(ROW()-3,$HK$4:$HK$40,0)))</f>
        <v/>
      </c>
      <c r="HM24">
        <f>IF(COUNTIF('Live Search'!BM$23:BW$23,0)+COUNTIF('Live Search'!BY$23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N24">
        <f>IF($BM$24="",FALSE,SUMPRODUCT(('Final Calculation Sheet'!$K$4:$K$40=$BM$24)*($HM$6:$HM$42=1))&gt;0)</f>
        <v/>
      </c>
      <c r="HO24">
        <f>$HO$23+--($HN24)</f>
        <v/>
      </c>
      <c r="HP24">
        <f>IF(ROW()-3&gt;MAX($HO$4:$HO$40),"",INDEX($BM$4:$BM$40,MATCH(ROW()-3,$HO$4:$HO$40,0)))</f>
        <v/>
      </c>
      <c r="HQ24">
        <f>IF(COUNTIF('Live Search'!BM$23:BX$23,0)+COUNTIF('Live Search'!BZ$23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R24">
        <f>IF($BR$24="",FALSE,SUMPRODUCT(('Final Calculation Sheet'!$L$4:$L$40=$BR$24)*($HQ$6:$HQ$42=1))&gt;0)</f>
        <v/>
      </c>
      <c r="HS24">
        <f>$HS$23+--($HR24)</f>
        <v/>
      </c>
      <c r="HT24">
        <f>IF(ROW()-3&gt;MAX($HS$4:$HS$40),"",INDEX($BR$4:$BR$40,MATCH(ROW()-3,$HS$4:$HS$40,0)))</f>
        <v/>
      </c>
      <c r="HU24">
        <f>IF(COUNTIF('Live Search'!BM$23:BY$23,0)+COUNTIF('Live Search'!CA$23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V24">
        <f>IF($BW$24="",FALSE,SUMPRODUCT(('Final Calculation Sheet'!$M$4:$M$40=$BW$24)*($HU$6:$HU$42=1))&gt;0)</f>
        <v/>
      </c>
      <c r="HW24">
        <f>$HW$23+--($HV24)</f>
        <v/>
      </c>
      <c r="HX24">
        <f>IF(ROW()-3&gt;MAX($HW$4:$HW$40),"",INDEX($BW$4:$BW$40,MATCH(ROW()-3,$HW$4:$HW$40,0)))</f>
        <v/>
      </c>
      <c r="HY24">
        <f>IF(COUNTIF('Live Search'!BM$23:BZ$23,0)+COUNTIF('Live Search'!CB$23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HZ24">
        <f>IF($CB$24="",FALSE,SUMPRODUCT(('Final Calculation Sheet'!$N$4:$N$40=$CB$24)*($HY$6:$HY$42=1))&gt;0)</f>
        <v/>
      </c>
      <c r="IA24">
        <f>$IA$23+--($HZ24)</f>
        <v/>
      </c>
      <c r="IB24">
        <f>IF(ROW()-3&gt;MAX($IA$4:$IA$40),"",INDEX($CB$4:$CB$40,MATCH(ROW()-3,$IA$4:$IA$40,0)))</f>
        <v/>
      </c>
      <c r="IC24">
        <f>IF(COUNTIF('Live Search'!BM$23:CA$23,0)+COUNTIF('Live Search'!CC$23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D24">
        <f>IF($CG$24="",FALSE,SUMPRODUCT(('Final Calculation Sheet'!$O$4:$O$40=$CG$24)*($IC$6:$IC$42=1))&gt;0)</f>
        <v/>
      </c>
      <c r="IE24">
        <f>$IE$23+--($ID24)</f>
        <v/>
      </c>
      <c r="IF24">
        <f>IF(ROW()-3&gt;MAX($IE$4:$IE$40),"",INDEX($CG$4:$CG$40,MATCH(ROW()-3,$IE$4:$IE$40,0)))</f>
        <v/>
      </c>
      <c r="IG24">
        <f>IF(COUNTIF('Live Search'!BM$23:CB$23,0)+COUNTIF('Live Search'!CD$23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H24">
        <f>IF($CL$24="",FALSE,SUMPRODUCT(('Final Calculation Sheet'!$P$4:$P$40=$CL$24)*($IG$6:$IG$42=1))&gt;0)</f>
        <v/>
      </c>
      <c r="II24">
        <f>$II$23+--($IH24)</f>
        <v/>
      </c>
      <c r="IJ24">
        <f>IF(ROW()-3&gt;MAX($II$4:$II$40),"",INDEX($CL$4:$CL$40,MATCH(ROW()-3,$II$4:$II$40,0)))</f>
        <v/>
      </c>
      <c r="IK24">
        <f>IF(COUNTIF('Live Search'!BM$23:CC$23,0)+COUNTIF('Live Search'!CE$23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L24">
        <f>IF($CQ$24="",FALSE,SUMPRODUCT(('Final Calculation Sheet'!$Q$4:$Q$40=$CQ$24)*($IK$6:$IK$42=1))&gt;0)</f>
        <v/>
      </c>
      <c r="IM24">
        <f>$IM$23+--($IL24)</f>
        <v/>
      </c>
      <c r="IN24">
        <f>IF(ROW()-3&gt;MAX($IM$4:$IM$40),"",INDEX($CQ$4:$CQ$40,MATCH(ROW()-3,$IM$4:$IM$40,0)))</f>
        <v/>
      </c>
      <c r="IO24">
        <f>IF(COUNTIF('Live Search'!BM$23:CD$23,0)+COUNTIF('Live Search'!CF$23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P24">
        <f>IF($CV$24="",FALSE,SUMPRODUCT(('Final Calculation Sheet'!$R$4:$R$40=$CV$24)*($IO$6:$IO$42=1))&gt;0)</f>
        <v/>
      </c>
      <c r="IQ24">
        <f>$IQ$23+--($IP24)</f>
        <v/>
      </c>
      <c r="IR24">
        <f>IF(ROW()-3&gt;MAX($IQ$4:$IQ$40),"",INDEX($CV$4:$CV$40,MATCH(ROW()-3,$IQ$4:$IQ$40,0)))</f>
        <v/>
      </c>
      <c r="IS24">
        <f>IF(COUNTIF('Live Search'!BM$23:CE$23,0)+COUNTIF('Live Search'!CG$23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T24">
        <f>IF($DA$24="",FALSE,SUMPRODUCT(('Final Calculation Sheet'!$S$4:$S$40=$DA$24)*($IS$6:$IS$42=1))&gt;0)</f>
        <v/>
      </c>
      <c r="IU24">
        <f>$IU$23+--($IT24)</f>
        <v/>
      </c>
      <c r="IV24">
        <f>IF(ROW()-3&gt;MAX($IU$4:$IU$40),"",INDEX($DA$4:$DA$40,MATCH(ROW()-3,$IU$4:$IU$40,0)))</f>
        <v/>
      </c>
      <c r="IW24">
        <f>IF(COUNTIF('Live Search'!BM$23:CF$23,0)+COUNTIF('Live Search'!CH$23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IX24">
        <f>IF($DF$24="",FALSE,SUMPRODUCT(('Final Calculation Sheet'!$T$4:$T$40=$DF$24)*($IW$6:$IW$42=1))&gt;0)</f>
        <v/>
      </c>
      <c r="IY24">
        <f>$IY$23+--($IX24)</f>
        <v/>
      </c>
      <c r="IZ24">
        <f>IF(ROW()-3&gt;MAX($IY$4:$IY$40),"",INDEX($DF$4:$DF$40,MATCH(ROW()-3,$IY$4:$IY$40,0)))</f>
        <v/>
      </c>
      <c r="JA24">
        <f>IF(COUNTIF('Live Search'!BM$23:CG$23,0)+COUNTIF('Live Search'!CI$23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B24">
        <f>IF($DK$24="",FALSE,SUMPRODUCT(('Final Calculation Sheet'!$U$4:$U$40=$DK$24)*($JA$6:$JA$42=1))&gt;0)</f>
        <v/>
      </c>
      <c r="JC24">
        <f>$JC$23+--($JB24)</f>
        <v/>
      </c>
      <c r="JD24">
        <f>IF(ROW()-3&gt;MAX($JC$4:$JC$40),"",INDEX($DK$4:$DK$40,MATCH(ROW()-3,$JC$4:$JC$40,0)))</f>
        <v/>
      </c>
      <c r="JE24">
        <f>IF(COUNTIF('Live Search'!BM$23:CH$23,0)+COUNTIF('Live Search'!CJ$23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F24">
        <f>IF($DP$24="",FALSE,SUMPRODUCT(('Final Calculation Sheet'!$V$4:$V$40=$DP$24)*($JE$6:$JE$42=1))&gt;0)</f>
        <v/>
      </c>
      <c r="JG24">
        <f>$JG$23+--($JF24)</f>
        <v/>
      </c>
      <c r="JH24">
        <f>IF(ROW()-3&gt;MAX($JG$4:$JG$40),"",INDEX($DP$4:$DP$40,MATCH(ROW()-3,$JG$4:$JG$40,0)))</f>
        <v/>
      </c>
      <c r="JI24">
        <f>IF(COUNTIF('Live Search'!BM$23:CI$23,0)+COUNTIF('Live Search'!CK$23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J24">
        <f>IF($DU$24="",FALSE,SUMPRODUCT(('Final Calculation Sheet'!$W$4:$W$40=$DU$24)*($JI$6:$JI$42=1))&gt;0)</f>
        <v/>
      </c>
      <c r="JK24">
        <f>$JK$23+--($JJ24)</f>
        <v/>
      </c>
      <c r="JL24">
        <f>IF(ROW()-3&gt;MAX($JK$4:$JK$40),"",INDEX($DU$4:$DU$40,MATCH(ROW()-3,$JK$4:$JK$40,0)))</f>
        <v/>
      </c>
      <c r="JM24">
        <f>IF(COUNTIF('Live Search'!BM$23:CJ$23,0)+COUNTIF('Live Search'!CL$23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N24">
        <f>IF($DZ$24="",FALSE,SUMPRODUCT(('Final Calculation Sheet'!$X$4:$X$40=$DZ$24)*($JM$6:$JM$42=1))&gt;0)</f>
        <v/>
      </c>
      <c r="JO24">
        <f>$JO$23+--($JN24)</f>
        <v/>
      </c>
      <c r="JP24">
        <f>IF(ROW()-3&gt;MAX($JO$4:$JO$40),"",INDEX($DZ$4:$DZ$40,MATCH(ROW()-3,$JO$4:$JO$40,0)))</f>
        <v/>
      </c>
      <c r="JQ24">
        <f>IF(COUNTIF('Live Search'!BM$23:CK$23,0)+COUNTIF('Live Search'!C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R24">
        <f>IF($EE$24="",FALSE,SUMPRODUCT(('Final Calculation Sheet'!$Y$4:$Y$40=$EE$24)*($JQ$6:$JQ$42=1))&gt;0)</f>
        <v/>
      </c>
      <c r="JS24">
        <f>$JS$23+--($JR24)</f>
        <v/>
      </c>
      <c r="JT24">
        <f>IF(ROW()-3&gt;MAX($JS$4:$JS$40),"",INDEX($EE$4:$EE$40,MATCH(ROW()-3,$JS$4:$JS$40,0)))</f>
        <v/>
      </c>
      <c r="JU24">
        <f>IF(COUNTIF('Live Search'!BM$23:CL$23,0)+COUNTIF('Live Search'!CN$23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V24">
        <f>IF($EJ$24="",FALSE,SUMPRODUCT(('Final Calculation Sheet'!$Z$4:$Z$40=$EJ$24)*($JU$6:$JU$42=1))&gt;0)</f>
        <v/>
      </c>
      <c r="JW24">
        <f>$JW$23+--($JV24)</f>
        <v/>
      </c>
      <c r="JX24">
        <f>IF(ROW()-3&gt;MAX($JW$4:$JW$40),"",INDEX($EJ$4:$EJ$40,MATCH(ROW()-3,$JW$4:$JW$40,0)))</f>
        <v/>
      </c>
      <c r="JY24">
        <f>IF(COUNTIF('Live Search'!BM$23:CM$23,0)+COUNTIF('Live Search'!CO$23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JZ24">
        <f>IF($EO$24="",FALSE,SUMPRODUCT(('Final Calculation Sheet'!$AA$4:$AA$40=$EO$24)*($JY$6:$JY$42=1))&gt;0)</f>
        <v/>
      </c>
      <c r="KA24">
        <f>$KA$23+--($JZ24)</f>
        <v/>
      </c>
      <c r="KB24">
        <f>IF(ROW()-3&gt;MAX($KA$4:$KA$40),"",INDEX($EO$4:$EO$40,MATCH(ROW()-3,$KA$4:$KA$40,0)))</f>
        <v/>
      </c>
      <c r="KC24">
        <f>IF(COUNTIF('Live Search'!BM$23:CN$23,0)+COUNTIF('Live Search'!CP$23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D24">
        <f>IF($ET$24="",FALSE,SUMPRODUCT(('Final Calculation Sheet'!$AB$4:$AB$40=$ET$24)*($KC$6:$KC$42=1))&gt;0)</f>
        <v/>
      </c>
      <c r="KE24">
        <f>$KE$23+--($KD24)</f>
        <v/>
      </c>
      <c r="KF24">
        <f>IF(ROW()-3&gt;MAX($KE$4:$KE$40),"",INDEX($ET$4:$ET$40,MATCH(ROW()-3,$KE$4:$KE$40,0)))</f>
        <v/>
      </c>
      <c r="KG24">
        <f>IF(COUNTIF('Live Search'!BM$23:CO$23,0)+COUNTIF('Live Search'!CQ$23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H24">
        <f>IF($EY$24="",FALSE,SUMPRODUCT(('Final Calculation Sheet'!$AC$4:$AC$40=$EY$24)*($KG$6:$KG$42=1))&gt;0)</f>
        <v/>
      </c>
      <c r="KI24">
        <f>$KI$23+--($KH24)</f>
        <v/>
      </c>
      <c r="KJ24">
        <f>IF(ROW()-3&gt;MAX($KI$4:$KI$40),"",INDEX($EY$4:$EY$40,MATCH(ROW()-3,$KI$4:$KI$40,0)))</f>
        <v/>
      </c>
      <c r="KK24">
        <f>IF(COUNTIF('Live Search'!BM$23:CP$23,0)+COUNTIF('Live Search'!CR$23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L24">
        <f>IF($FD$24="",FALSE,SUMPRODUCT(('Final Calculation Sheet'!$AD$4:$AD$40=$FD$24)*($KK$6:$KK$42=1))&gt;0)</f>
        <v/>
      </c>
      <c r="KM24">
        <f>$KM$23+--($KL24)</f>
        <v/>
      </c>
      <c r="KN24">
        <f>IF(ROW()-3&gt;MAX($KM$4:$KM$40),"",INDEX($FD$4:$FD$40,MATCH(ROW()-3,$KM$4:$KM$40,0)))</f>
        <v/>
      </c>
      <c r="KO24">
        <f>IF(COUNTIF('Live Search'!BM$23:CT$23,0)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P24">
        <f>IF($FX$24="",FALSE,SUMPRODUCT((IF('Final Calculation Sheet'!$AD$4:$AD$40&lt;=5,"SETTLED","OUTSTANDING")=$FX$24)*($KO$6:$KO$42=1))&gt;0)</f>
        <v/>
      </c>
      <c r="KQ24">
        <f>$KQ$23+--($KP24)</f>
        <v/>
      </c>
      <c r="KR24">
        <f>IF(ROW()-3&gt;MAX($KQ$4:$KQ$40),"",INDEX($FX$4:$FX$40,MATCH(ROW()-3,$KQ$4:$KQ$40,0)))</f>
        <v/>
      </c>
      <c r="KS24">
        <f>IF(COUNTIF('Live Search'!BM$23:CQ$23,0)+COUNTIF('Live Search'!CS$23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T24">
        <f>IF($FI$24="",FALSE,SUMPRODUCT(('Final Calculation Sheet'!$AF$4:$AF$40=$FI$24)*($KS$6:$KS$42=1))&gt;0)</f>
        <v/>
      </c>
      <c r="KU24">
        <f>$KU$23+--($KT24)</f>
        <v/>
      </c>
      <c r="KV24">
        <f>IF(ROW()-3&gt;MAX($KU$4:$KU$40),"",INDEX($FI$4:$FI$40,MATCH(ROW()-3,$KU$4:$KU$40,0)))</f>
        <v/>
      </c>
      <c r="KW24">
        <f>IF(COUNTIF('Live Search'!BM$23:CR$23,0)+COUNTIF('Live Search'!CT$23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KX24">
        <f>IF($FN$24="",FALSE,SUMPRODUCT(('Final Calculation Sheet'!$AG$4:$AG$40=$FN$24)*($KW$6:$KW$42=1))&gt;0)</f>
        <v/>
      </c>
      <c r="KY24">
        <f>$KY$23+--($KX24)</f>
        <v/>
      </c>
      <c r="KZ24">
        <f>IF(ROW()-3&gt;MAX($KY$4:$KY$40),"",INDEX($FN$4:$FN$40,MATCH(ROW()-3,$KY$4:$KY$40,0)))</f>
        <v/>
      </c>
      <c r="LA24">
        <f>IF(COUNTIF('Live Search'!BM$23:CS$23,0)+COUNTIF('Live Search'!CU$23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LB24">
        <f>IF($FS$24="",FALSE,SUMPRODUCT(('Final Calculation Sheet'!$AH$4:$AH$40=$FS$24)*($LA$6:$LA$42=1))&gt;0)</f>
        <v/>
      </c>
      <c r="LC24">
        <f>$LC$23+--($LB24)</f>
        <v/>
      </c>
      <c r="LD24">
        <f>IF(ROW()-3&gt;MAX($LC$4:$LC$40),"",INDEX($FS$4:$FS$40,MATCH(ROW()-3,$LC$4:$LC$40,0)))</f>
        <v/>
      </c>
      <c r="LE24">
        <f>IF(COUNTIF('Buyer Groups'!DH77:EN77,0)&gt;0,0,1)</f>
        <v/>
      </c>
      <c r="LF24">
        <f>IF($O$24="",FALSE,SUMPRODUCT(('Final Calculation Sheet'!$F$4:$F$40=$O$24)*($LE$6:$LE$42=1))&gt;0)</f>
        <v/>
      </c>
      <c r="LG24">
        <f>$LG$23+--($LF24)</f>
        <v/>
      </c>
      <c r="LH24">
        <f>IF(ROW()-3&gt;MAX($LG$4:$LG$40),"",INDEX($O$4:$O$40,MATCH(ROW()-3,$LG$4:$LG$40,0)))</f>
        <v/>
      </c>
      <c r="LI24">
        <f>IF(COUNTIF('Buyer Groups'!DG77:DG77,0)+COUNTIF('Buyer Groups'!DI77:EN77,0)&gt;0,0,1)</f>
        <v/>
      </c>
      <c r="LJ24">
        <f>IF($T$24="",FALSE,SUMPRODUCT(('Final Calculation Sheet'!$G$4:$G$40=$T$24)*($LI$6:$LI$42=1))&gt;0)</f>
        <v/>
      </c>
      <c r="LK24">
        <f>$LK$23+--($LJ24)</f>
        <v/>
      </c>
      <c r="LL24">
        <f>IF(ROW()-3&gt;MAX($LK$4:$LK$40),"",INDEX($T$4:$T$40,MATCH(ROW()-3,$LK$4:$LK$40,0)))</f>
        <v/>
      </c>
      <c r="LM24">
        <f>IF(COUNTIF('Buyer Groups'!DG77:DH77,0)+COUNTIF('Buyer Groups'!DJ77:EN77,0)&gt;0,0,1)</f>
        <v/>
      </c>
      <c r="LN24">
        <f>IF($Y$24="",FALSE,SUMPRODUCT(('Final Calculation Sheet'!$B$4:$B$40=$Y$24)*($LM$6:$LM$42=1))&gt;0)</f>
        <v/>
      </c>
      <c r="LO24">
        <f>$LO$23+--($LN24)</f>
        <v/>
      </c>
      <c r="LP24">
        <f>IF(ROW()-3&gt;MAX($LO$4:$LO$40),"",INDEX($Y$4:$Y$40,MATCH(ROW()-3,$LO$4:$LO$40,0)))</f>
        <v/>
      </c>
      <c r="LQ24">
        <f>IF(COUNTIF('Buyer Groups'!DG77:DI77,0)+COUNTIF('Buyer Groups'!DK77:EN77,0)&gt;0,0,1)</f>
        <v/>
      </c>
      <c r="LR24">
        <f>IF($AD$24="",FALSE,SUMPRODUCT(('Final Calculation Sheet'!$D$4:$D$40=$AD$24)*($LQ$6:$LQ$42=1))&gt;0)</f>
        <v/>
      </c>
      <c r="LS24">
        <f>$LS$23+--($LR24)</f>
        <v/>
      </c>
      <c r="LT24">
        <f>IF(ROW()-3&gt;MAX($LS$4:$LS$40),"",INDEX($AD$4:$AD$40,MATCH(ROW()-3,$LS$4:$LS$40,0)))</f>
        <v/>
      </c>
      <c r="LU24">
        <f>IF(COUNTIF('Buyer Groups'!DG77:DJ77,0)+COUNTIF('Buyer Groups'!DL77:EN77,0)&gt;0,0,1)</f>
        <v/>
      </c>
      <c r="LV24">
        <f>IF($AI$24="",FALSE,SUMPRODUCT(('Final Calculation Sheet'!$A$4:$A$40=$AI$24)*($LU$6:$LU$42=1))&gt;0)</f>
        <v/>
      </c>
      <c r="LW24">
        <f>$LW$23+--($LV24)</f>
        <v/>
      </c>
      <c r="LX24">
        <f>IF(ROW()-3&gt;MAX($LW$4:$LW$40),"",INDEX($AI$4:$AI$40,MATCH(ROW()-3,$LW$4:$LW$40,0)))</f>
        <v/>
      </c>
      <c r="LY24">
        <f>IF(COUNTIF('Buyer Groups'!DG77:DK77,0)+COUNTIF('Buyer Groups'!DM77:EN77,0)&gt;0,0,1)</f>
        <v/>
      </c>
      <c r="LZ24">
        <f>IF($AN$24="",FALSE,SUMPRODUCT(('Final Calculation Sheet'!$E$4:$E$40=$AN$24)*($LY$6:$LY$42=1))&gt;0)</f>
        <v/>
      </c>
      <c r="MA24">
        <f>$MA$23+--($LZ24)</f>
        <v/>
      </c>
      <c r="MB24">
        <f>IF(ROW()-3&gt;MAX($MA$4:$MA$40),"",INDEX($AN$4:$AN$40,MATCH(ROW()-3,$MA$4:$MA$40,0)))</f>
        <v/>
      </c>
      <c r="MC24">
        <f>IF(COUNTIF('Buyer Groups'!DG77:DL77,0)+COUNTIF('Buyer Groups'!DN77:EN77,0)&gt;0,0,1)</f>
        <v/>
      </c>
      <c r="MD24">
        <f>IF($AS$24="",FALSE,SUMPRODUCT(('Final Calculation Sheet'!$C$4:$C$40=$AS$24)*($MC$6:$MC$42=1))&gt;0)</f>
        <v/>
      </c>
      <c r="ME24">
        <f>$ME$23+--($MD24)</f>
        <v/>
      </c>
      <c r="MF24">
        <f>IF(ROW()-3&gt;MAX($ME$4:$ME$40),"",INDEX($AS$4:$AS$40,MATCH(ROW()-3,$ME$4:$ME$40,0)))</f>
        <v/>
      </c>
      <c r="MG24">
        <f>IF(COUNTIF('Buyer Groups'!DG77:DM77,0)+COUNTIF('Buyer Groups'!DO77:EN77,0)&gt;0,0,1)</f>
        <v/>
      </c>
      <c r="MH24">
        <f>IF($AX$24="",FALSE,SUMPRODUCT(('Final Calculation Sheet'!$H$4:$H$40=$AX$24)*($MG$6:$MG$42=1))&gt;0)</f>
        <v/>
      </c>
      <c r="MI24">
        <f>$MI$23+--($MH24)</f>
        <v/>
      </c>
      <c r="MJ24">
        <f>IF(ROW()-3&gt;MAX($MI$4:$MI$40),"",INDEX($AX$4:$AX$40,MATCH(ROW()-3,$MI$4:$MI$40,0)))</f>
        <v/>
      </c>
      <c r="MK24">
        <f>IF(COUNTIF('Buyer Groups'!DG77:DN77,0)+COUNTIF('Buyer Groups'!DP77:EN77,0)&gt;0,0,1)</f>
        <v/>
      </c>
      <c r="ML24">
        <f>IF($BC$24="",FALSE,SUMPRODUCT(('Final Calculation Sheet'!$I$4:$I$40=$BC$24)*($MK$6:$MK$42=1))&gt;0)</f>
        <v/>
      </c>
      <c r="MM24">
        <f>$MM$23+--($ML24)</f>
        <v/>
      </c>
      <c r="MN24">
        <f>IF(ROW()-3&gt;MAX($MM$4:$MM$40),"",INDEX($BC$4:$BC$40,MATCH(ROW()-3,$MM$4:$MM$40,0)))</f>
        <v/>
      </c>
      <c r="MO24">
        <f>IF(COUNTIF('Buyer Groups'!DG77:DO77,0)+COUNTIF('Buyer Groups'!DQ77:EN77,0)&gt;0,0,1)</f>
        <v/>
      </c>
      <c r="MP24">
        <f>IF($BH$24="",FALSE,SUMPRODUCT(('Final Calculation Sheet'!$J$4:$J$40=$BH$24)*($MO$6:$MO$42=1))&gt;0)</f>
        <v/>
      </c>
      <c r="MQ24">
        <f>$MQ$23+--($MP24)</f>
        <v/>
      </c>
      <c r="MR24">
        <f>IF(ROW()-3&gt;MAX($MQ$4:$MQ$40),"",INDEX($BH$4:$BH$40,MATCH(ROW()-3,$MQ$4:$MQ$40,0)))</f>
        <v/>
      </c>
      <c r="MS24">
        <f>IF(COUNTIF('Buyer Groups'!DG77:DP77,0)+COUNTIF('Buyer Groups'!DR77:EN77,0)&gt;0,0,1)</f>
        <v/>
      </c>
      <c r="MT24">
        <f>IF($BM$24="",FALSE,SUMPRODUCT(('Final Calculation Sheet'!$K$4:$K$40=$BM$24)*($MS$6:$MS$42=1))&gt;0)</f>
        <v/>
      </c>
      <c r="MU24">
        <f>$MU$23+--($MT24)</f>
        <v/>
      </c>
      <c r="MV24">
        <f>IF(ROW()-3&gt;MAX($MU$4:$MU$40),"",INDEX($BM$4:$BM$40,MATCH(ROW()-3,$MU$4:$MU$40,0)))</f>
        <v/>
      </c>
      <c r="MW24">
        <f>IF(COUNTIF('Buyer Groups'!DG77:DQ77,0)+COUNTIF('Buyer Groups'!DS77:EN77,0)&gt;0,0,1)</f>
        <v/>
      </c>
      <c r="MX24">
        <f>IF($BR$24="",FALSE,SUMPRODUCT(('Final Calculation Sheet'!$L$4:$L$40=$BR$24)*($MW$6:$MW$42=1))&gt;0)</f>
        <v/>
      </c>
      <c r="MY24">
        <f>$MY$23+--($MX24)</f>
        <v/>
      </c>
      <c r="MZ24">
        <f>IF(ROW()-3&gt;MAX($MY$4:$MY$40),"",INDEX($BR$4:$BR$40,MATCH(ROW()-3,$MY$4:$MY$40,0)))</f>
        <v/>
      </c>
      <c r="NA24">
        <f>IF(COUNTIF('Buyer Groups'!DG77:DR77,0)+COUNTIF('Buyer Groups'!DT77:EN77,0)&gt;0,0,1)</f>
        <v/>
      </c>
      <c r="NB24">
        <f>IF($BW$24="",FALSE,SUMPRODUCT(('Final Calculation Sheet'!$M$4:$M$40=$BW$24)*($NA$6:$NA$42=1))&gt;0)</f>
        <v/>
      </c>
      <c r="NC24">
        <f>$NC$23+--($NB24)</f>
        <v/>
      </c>
      <c r="ND24">
        <f>IF(ROW()-3&gt;MAX($NC$4:$NC$40),"",INDEX($BW$4:$BW$40,MATCH(ROW()-3,$NC$4:$NC$40,0)))</f>
        <v/>
      </c>
      <c r="NE24">
        <f>IF(COUNTIF('Buyer Groups'!DG77:DS77,0)+COUNTIF('Buyer Groups'!DU77:EN77,0)&gt;0,0,1)</f>
        <v/>
      </c>
      <c r="NF24">
        <f>IF($CB$24="",FALSE,SUMPRODUCT(('Final Calculation Sheet'!$N$4:$N$40=$CB$24)*($NE$6:$NE$42=1))&gt;0)</f>
        <v/>
      </c>
      <c r="NG24">
        <f>$NG$23+--($NF24)</f>
        <v/>
      </c>
      <c r="NH24">
        <f>IF(ROW()-3&gt;MAX($NG$4:$NG$40),"",INDEX($CB$4:$CB$40,MATCH(ROW()-3,$NG$4:$NG$40,0)))</f>
        <v/>
      </c>
      <c r="NI24">
        <f>IF(COUNTIF('Buyer Groups'!DG77:DT77,0)+COUNTIF('Buyer Groups'!DV77:EN77,0)&gt;0,0,1)</f>
        <v/>
      </c>
      <c r="NJ24">
        <f>IF($CG$24="",FALSE,SUMPRODUCT(('Final Calculation Sheet'!$O$4:$O$40=$CG$24)*($NI$6:$NI$42=1))&gt;0)</f>
        <v/>
      </c>
      <c r="NK24">
        <f>$NK$23+--($NJ24)</f>
        <v/>
      </c>
      <c r="NL24">
        <f>IF(ROW()-3&gt;MAX($NK$4:$NK$40),"",INDEX($CG$4:$CG$40,MATCH(ROW()-3,$NK$4:$NK$40,0)))</f>
        <v/>
      </c>
      <c r="NM24">
        <f>IF(COUNTIF('Buyer Groups'!DG77:DU77,0)+COUNTIF('Buyer Groups'!DW77:EN77,0)&gt;0,0,1)</f>
        <v/>
      </c>
      <c r="NN24">
        <f>IF($CL$24="",FALSE,SUMPRODUCT(('Final Calculation Sheet'!$P$4:$P$40=$CL$24)*($NM$6:$NM$42=1))&gt;0)</f>
        <v/>
      </c>
      <c r="NO24">
        <f>$NO$23+--($NN24)</f>
        <v/>
      </c>
      <c r="NP24">
        <f>IF(ROW()-3&gt;MAX($NO$4:$NO$40),"",INDEX($CL$4:$CL$40,MATCH(ROW()-3,$NO$4:$NO$40,0)))</f>
        <v/>
      </c>
      <c r="NQ24">
        <f>IF(COUNTIF('Buyer Groups'!DG77:DV77,0)+COUNTIF('Buyer Groups'!DX77:EN77,0)&gt;0,0,1)</f>
        <v/>
      </c>
      <c r="NR24">
        <f>IF($CQ$24="",FALSE,SUMPRODUCT(('Final Calculation Sheet'!$Q$4:$Q$40=$CQ$24)*($NQ$6:$NQ$42=1))&gt;0)</f>
        <v/>
      </c>
      <c r="NS24">
        <f>$NS$23+--($NR24)</f>
        <v/>
      </c>
      <c r="NT24">
        <f>IF(ROW()-3&gt;MAX($NS$4:$NS$40),"",INDEX($CQ$4:$CQ$40,MATCH(ROW()-3,$NS$4:$NS$40,0)))</f>
        <v/>
      </c>
      <c r="NU24">
        <f>IF(COUNTIF('Buyer Groups'!DG77:DW77,0)+COUNTIF('Buyer Groups'!DY77:EN77,0)&gt;0,0,1)</f>
        <v/>
      </c>
      <c r="NV24">
        <f>IF($CV$24="",FALSE,SUMPRODUCT(('Final Calculation Sheet'!$R$4:$R$40=$CV$24)*($NU$6:$NU$42=1))&gt;0)</f>
        <v/>
      </c>
      <c r="NW24">
        <f>$NW$23+--($NV24)</f>
        <v/>
      </c>
      <c r="NX24">
        <f>IF(ROW()-3&gt;MAX($NW$4:$NW$40),"",INDEX($CV$4:$CV$40,MATCH(ROW()-3,$NW$4:$NW$40,0)))</f>
        <v/>
      </c>
      <c r="NY24">
        <f>IF(COUNTIF('Buyer Groups'!DG77:DX77,0)+COUNTIF('Buyer Groups'!DZ77:EN77,0)&gt;0,0,1)</f>
        <v/>
      </c>
      <c r="NZ24">
        <f>IF($DA$24="",FALSE,SUMPRODUCT(('Final Calculation Sheet'!$S$4:$S$40=$DA$24)*($NY$6:$NY$42=1))&gt;0)</f>
        <v/>
      </c>
      <c r="OA24">
        <f>$OA$23+--($NZ24)</f>
        <v/>
      </c>
      <c r="OB24">
        <f>IF(ROW()-3&gt;MAX($OA$4:$OA$40),"",INDEX($DA$4:$DA$40,MATCH(ROW()-3,$OA$4:$OA$40,0)))</f>
        <v/>
      </c>
      <c r="OC24">
        <f>IF(COUNTIF('Buyer Groups'!DG77:DY77,0)+COUNTIF('Buyer Groups'!EA77:EN77,0)&gt;0,0,1)</f>
        <v/>
      </c>
      <c r="OD24">
        <f>IF($DF$24="",FALSE,SUMPRODUCT(('Final Calculation Sheet'!$T$4:$T$40=$DF$24)*($OC$6:$OC$42=1))&gt;0)</f>
        <v/>
      </c>
      <c r="OE24">
        <f>$OE$23+--($OD24)</f>
        <v/>
      </c>
      <c r="OF24">
        <f>IF(ROW()-3&gt;MAX($OE$4:$OE$40),"",INDEX($DF$4:$DF$40,MATCH(ROW()-3,$OE$4:$OE$40,0)))</f>
        <v/>
      </c>
      <c r="OG24">
        <f>IF(COUNTIF('Buyer Groups'!DG77:DZ77,0)+COUNTIF('Buyer Groups'!EB77:EN77,0)&gt;0,0,1)</f>
        <v/>
      </c>
      <c r="OH24">
        <f>IF($DK$24="",FALSE,SUMPRODUCT(('Final Calculation Sheet'!$U$4:$U$40=$DK$24)*($OG$6:$OG$42=1))&gt;0)</f>
        <v/>
      </c>
      <c r="OI24">
        <f>$OI$23+--($OH24)</f>
        <v/>
      </c>
      <c r="OJ24">
        <f>IF(ROW()-3&gt;MAX($OI$4:$OI$40),"",INDEX($DK$4:$DK$40,MATCH(ROW()-3,$OI$4:$OI$40,0)))</f>
        <v/>
      </c>
      <c r="OK24">
        <f>IF(COUNTIF('Buyer Groups'!DG77:EA77,0)+COUNTIF('Buyer Groups'!EC77:EN77,0)&gt;0,0,1)</f>
        <v/>
      </c>
      <c r="OL24">
        <f>IF($DP$24="",FALSE,SUMPRODUCT(('Final Calculation Sheet'!$V$4:$V$40=$DP$24)*($OK$6:$OK$42=1))&gt;0)</f>
        <v/>
      </c>
      <c r="OM24">
        <f>$OM$23+--($OL24)</f>
        <v/>
      </c>
      <c r="ON24">
        <f>IF(ROW()-3&gt;MAX($OM$4:$OM$40),"",INDEX($DP$4:$DP$40,MATCH(ROW()-3,$OM$4:$OM$40,0)))</f>
        <v/>
      </c>
      <c r="OO24">
        <f>IF(COUNTIF('Buyer Groups'!DG77:EB77,0)+COUNTIF('Buyer Groups'!ED77:EN77,0)&gt;0,0,1)</f>
        <v/>
      </c>
      <c r="OP24">
        <f>IF($DU$24="",FALSE,SUMPRODUCT(('Final Calculation Sheet'!$W$4:$W$40=$DU$24)*($OO$6:$OO$42=1))&gt;0)</f>
        <v/>
      </c>
      <c r="OQ24">
        <f>$OQ$23+--($OP24)</f>
        <v/>
      </c>
      <c r="OR24">
        <f>IF(ROW()-3&gt;MAX($OQ$4:$OQ$40),"",INDEX($DU$4:$DU$40,MATCH(ROW()-3,$OQ$4:$OQ$40,0)))</f>
        <v/>
      </c>
      <c r="OS24">
        <f>IF(COUNTIF('Buyer Groups'!DG77:EC77,0)+COUNTIF('Buyer Groups'!EE77:EN77,0)&gt;0,0,1)</f>
        <v/>
      </c>
      <c r="OT24">
        <f>IF($DZ$24="",FALSE,SUMPRODUCT(('Final Calculation Sheet'!$X$4:$X$40=$DZ$24)*($OS$6:$OS$42=1))&gt;0)</f>
        <v/>
      </c>
      <c r="OU24">
        <f>$OU$23+--($OT24)</f>
        <v/>
      </c>
      <c r="OV24">
        <f>IF(ROW()-3&gt;MAX($OU$4:$OU$40),"",INDEX($DZ$4:$DZ$40,MATCH(ROW()-3,$OU$4:$OU$40,0)))</f>
        <v/>
      </c>
      <c r="OW24">
        <f>IF(COUNTIF('Buyer Groups'!DG77:ED77,0)+COUNTIF('Buyer Groups'!EF77:EN77,0)&gt;0,0,1)</f>
        <v/>
      </c>
      <c r="OX24">
        <f>IF($EE$24="",FALSE,SUMPRODUCT(('Final Calculation Sheet'!$Y$4:$Y$40=$EE$24)*($OW$6:$OW$42=1))&gt;0)</f>
        <v/>
      </c>
      <c r="OY24">
        <f>$OY$23+--($OX24)</f>
        <v/>
      </c>
      <c r="OZ24">
        <f>IF(ROW()-3&gt;MAX($OY$4:$OY$40),"",INDEX($EE$4:$EE$40,MATCH(ROW()-3,$OY$4:$OY$40,0)))</f>
        <v/>
      </c>
      <c r="PA24">
        <f>IF(COUNTIF('Buyer Groups'!DG77:EE77,0)+COUNTIF('Buyer Groups'!EG77:EN77,0)&gt;0,0,1)</f>
        <v/>
      </c>
      <c r="PB24">
        <f>IF($EJ$24="",FALSE,SUMPRODUCT(('Final Calculation Sheet'!$Z$4:$Z$40=$EJ$24)*($PA$6:$PA$42=1))&gt;0)</f>
        <v/>
      </c>
      <c r="PC24">
        <f>$PC$23+--($PB24)</f>
        <v/>
      </c>
      <c r="PD24">
        <f>IF(ROW()-3&gt;MAX($PC$4:$PC$40),"",INDEX($EJ$4:$EJ$40,MATCH(ROW()-3,$PC$4:$PC$40,0)))</f>
        <v/>
      </c>
      <c r="PE24">
        <f>IF(COUNTIF('Buyer Groups'!DG77:EF77,0)+COUNTIF('Buyer Groups'!EH77:EN77,0)&gt;0,0,1)</f>
        <v/>
      </c>
      <c r="PF24">
        <f>IF($EO$24="",FALSE,SUMPRODUCT(('Final Calculation Sheet'!$AA$4:$AA$40=$EO$24)*($PE$6:$PE$42=1))&gt;0)</f>
        <v/>
      </c>
      <c r="PG24">
        <f>$PG$23+--($PF24)</f>
        <v/>
      </c>
      <c r="PH24">
        <f>IF(ROW()-3&gt;MAX($PG$4:$PG$40),"",INDEX($EO$4:$EO$40,MATCH(ROW()-3,$PG$4:$PG$40,0)))</f>
        <v/>
      </c>
      <c r="PI24">
        <f>IF(COUNTIF('Buyer Groups'!DG77:EG77,0)+COUNTIF('Buyer Groups'!EI77:EN77,0)&gt;0,0,1)</f>
        <v/>
      </c>
      <c r="PJ24">
        <f>IF($ET$24="",FALSE,SUMPRODUCT(('Final Calculation Sheet'!$AB$4:$AB$40=$ET$24)*($PI$6:$PI$42=1))&gt;0)</f>
        <v/>
      </c>
      <c r="PK24">
        <f>$PK$23+--($PJ24)</f>
        <v/>
      </c>
      <c r="PL24">
        <f>IF(ROW()-3&gt;MAX($PK$4:$PK$40),"",INDEX($ET$4:$ET$40,MATCH(ROW()-3,$PK$4:$PK$40,0)))</f>
        <v/>
      </c>
      <c r="PM24">
        <f>IF(COUNTIF('Buyer Groups'!DG77:EH77,0)+COUNTIF('Buyer Groups'!EJ77:EN77,0)&gt;0,0,1)</f>
        <v/>
      </c>
      <c r="PN24">
        <f>IF($EY$24="",FALSE,SUMPRODUCT(('Final Calculation Sheet'!$AC$4:$AC$40=$EY$24)*($PM$6:$PM$42=1))&gt;0)</f>
        <v/>
      </c>
      <c r="PO24">
        <f>$PO$23+--($PN24)</f>
        <v/>
      </c>
      <c r="PP24">
        <f>IF(ROW()-3&gt;MAX($PO$4:$PO$40),"",INDEX($EY$4:$EY$40,MATCH(ROW()-3,$PO$4:$PO$40,0)))</f>
        <v/>
      </c>
      <c r="PQ24">
        <f>IF(COUNTIF('Buyer Groups'!DG77:EI77,0)+COUNTIF('Buyer Groups'!EK77:EN77,0)&gt;0,0,1)</f>
        <v/>
      </c>
      <c r="PR24">
        <f>IF($FD$24="",FALSE,SUMPRODUCT(('Final Calculation Sheet'!$AD$4:$AD$40=$FD$24)*($PQ$6:$PQ$42=1))&gt;0)</f>
        <v/>
      </c>
      <c r="PS24">
        <f>$PS$23+--($PR24)</f>
        <v/>
      </c>
      <c r="PT24">
        <f>IF(ROW()-3&gt;MAX($PS$4:$PS$40),"",INDEX($FD$4:$FD$40,MATCH(ROW()-3,$PS$4:$PS$40,0)))</f>
        <v/>
      </c>
      <c r="PU24">
        <f>IF(COUNTIF('Buyer Groups'!DG77:EJ77,0)+COUNTIF('Buyer Groups'!EL77:EN77,0)&gt;0,0,1)</f>
        <v/>
      </c>
      <c r="PV24">
        <f>IF($FX$24="",FALSE,SUMPRODUCT((IF('Final Calculation Sheet'!$AD$4:$AD$40&lt;=5,"SETTLED","OUTSTANDING")=$FX$24)*($PU$6:$PU$42=1))&gt;0)</f>
        <v/>
      </c>
      <c r="PW24">
        <f>$PW$23+--($PV24)</f>
        <v/>
      </c>
      <c r="PX24">
        <f>IF(ROW()-3&gt;MAX($PW$4:$PW$40),"",INDEX($FX$4:$FX$40,MATCH(ROW()-3,$PW$4:$PW$40,0)))</f>
        <v/>
      </c>
      <c r="PY24">
        <f>IF(COUNTIF('Buyer Groups'!DG77:EK77,0)+COUNTIF('Buyer Groups'!EM77:EN77,0)&gt;0,0,1)</f>
        <v/>
      </c>
      <c r="PZ24">
        <f>IF($FI$24="",FALSE,SUMPRODUCT(('Final Calculation Sheet'!$AF$4:$AF$40=$FI$24)*($PY$6:$PY$42=1))&gt;0)</f>
        <v/>
      </c>
      <c r="QA24">
        <f>$QA$23+--($PZ24)</f>
        <v/>
      </c>
      <c r="QB24">
        <f>IF(ROW()-3&gt;MAX($QA$4:$QA$40),"",INDEX($FI$4:$FI$40,MATCH(ROW()-3,$QA$4:$QA$40,0)))</f>
        <v/>
      </c>
      <c r="QC24">
        <f>IF(COUNTIF('Buyer Groups'!DG77:EL77,0)+COUNTIF('Buyer Groups'!EN77:EN77,0)&gt;0,0,1)</f>
        <v/>
      </c>
      <c r="QD24">
        <f>IF($FN$24="",FALSE,SUMPRODUCT(('Final Calculation Sheet'!$AG$4:$AG$40=$FN$24)*($QC$6:$QC$42=1))&gt;0)</f>
        <v/>
      </c>
      <c r="QE24">
        <f>$QE$23+--($QD24)</f>
        <v/>
      </c>
      <c r="QF24">
        <f>IF(ROW()-3&gt;MAX($QE$4:$QE$40),"",INDEX($FN$4:$FN$40,MATCH(ROW()-3,$QE$4:$QE$40,0)))</f>
        <v/>
      </c>
      <c r="QG24">
        <f>IF(COUNTIF('Buyer Groups'!DG77:EM77,0)&gt;0,0,1)</f>
        <v/>
      </c>
      <c r="QH24">
        <f>IF($FS$24="",FALSE,SUMPRODUCT(('Final Calculation Sheet'!$AH$4:$AH$40=$FS$24)*($QG$6:$QG$42=1))&gt;0)</f>
        <v/>
      </c>
      <c r="QI24">
        <f>$QI$23+--($QH24)</f>
        <v/>
      </c>
      <c r="QJ24">
        <f>IF(ROW()-3&gt;MAX($QI$4:$QI$40),"",INDEX($FS$4:$FS$40,MATCH(ROW()-3,$QI$4:$QI$40,0)))</f>
        <v/>
      </c>
      <c r="QK24" t="str">
        <f>IF('Final Calculation Sheet'!$AH$24="","",'Final Calculation Sheet'!$AH$24)</f>
      </c>
      <c r="QL24" t="str">
        <f>IF(QK24="","",COUNTIFS(QK$4:QK$40,"&lt;"&amp;QK24,QK$4:QK$40,"&lt;&gt;"&amp;"")+COUNTIF(QK$4:QK24,QK24))</f>
      </c>
      <c r="QM24" t="str">
        <f>IF(ROW()-3&gt;COUNTIF(QK$4:QK$40,"&lt;&gt;"&amp;""),"",INDEX(QK$4:QK$40,MATCH(ROW()-3,QL$4:QL$40,0)))</f>
      </c>
      <c r="QN24" t="str">
        <f>=QN23+F(AND(QM24&lt;&gt;"",COUNTIF(QM$4:QM24,QM24)=1),1,0)</f>
      </c>
      <c r="QO24" t="str">
        <f>IF(ROW()-3&gt;MAX(QN$4:QN$40),"",INDEX(QM$4:QM$40,MATCH(ROW()-3,QN$4:QN$40,0)))</f>
      </c>
      <c r="QP24" t="str">
        <f>IF(COUNTIF('Final Calculation Sheet'!$AM24:$BS24,0)&gt;0,0,1)</f>
      </c>
      <c r="QQ24" t="str">
        <f>IF($AI$24="",FALSE,SUMPRODUCT(('Final Calculation Sheet'!$A$4:$A$40=$AI$24)*($QP$4:$QP$40=1))&gt;0)</f>
      </c>
      <c r="QR24" t="str">
        <f>=$QR23+--($QQ24)</f>
      </c>
      <c r="QS24" t="str">
        <f>IF(ROW()-3&gt;MAX($QR$4:$QR$40),"",INDEX($AI$4:$AI$40,MATCH(ROW()-3,$QR$4:$QR$40,0)))</f>
      </c>
      <c r="QT24" t="str">
        <f>IF(COUNTIF('Final Calculation Sheet'!$AL24:$AL24,0)+COUNTIF('Final Calculation Sheet'!$AN24:$BS24,0)&gt;0,0,1)</f>
      </c>
      <c r="QU24" t="str">
        <f>IF($Y$24="",FALSE,SUMPRODUCT(('Final Calculation Sheet'!$B$4:$B$40=$Y$24)*($QT$4:$QT$40=1))&gt;0)</f>
      </c>
      <c r="QV24" t="str">
        <f>=$QV23+--($QU24)</f>
      </c>
      <c r="QW24" t="str">
        <f>IF(ROW()-3&gt;MAX($QV$4:$QV$40),"",INDEX($Y$4:$Y$40,MATCH(ROW()-3,$QV$4:$QV$40,0)))</f>
      </c>
      <c r="QX24" t="str">
        <f>IF(COUNTIF('Final Calculation Sheet'!$AL24:$AM24,0)+COUNTIF('Final Calculation Sheet'!$AO24:$BS24,0)&gt;0,0,1)</f>
      </c>
      <c r="QY24" t="str">
        <f>IF($AS$24="",FALSE,SUMPRODUCT(('Final Calculation Sheet'!$C$4:$C$40=$AS$24)*($QX$4:$QX$40=1))&gt;0)</f>
      </c>
      <c r="QZ24" t="str">
        <f>=$QZ23+--($QY24)</f>
      </c>
      <c r="RA24" t="str">
        <f>IF(ROW()-3&gt;MAX($QZ$4:$QZ$40),"",INDEX($AS$4:$AS$40,MATCH(ROW()-3,$QZ$4:$QZ$40,0)))</f>
      </c>
      <c r="RB24" t="str">
        <f>IF(COUNTIF('Final Calculation Sheet'!$AL24:$AN24,0)+COUNTIF('Final Calculation Sheet'!$AP24:$BS24,0)&gt;0,0,1)</f>
      </c>
      <c r="RC24" t="str">
        <f>IF($AD$24="",FALSE,SUMPRODUCT(('Final Calculation Sheet'!$D$4:$D$40=$AD$24)*($RB$4:$RB$40=1))&gt;0)</f>
      </c>
      <c r="RD24" t="str">
        <f>=$RD23+--($RC24)</f>
      </c>
      <c r="RE24" t="str">
        <f>IF(ROW()-3&gt;MAX($RD$4:$RD$40),"",INDEX($AD$4:$AD$40,MATCH(ROW()-3,$RD$4:$RD$40,0)))</f>
      </c>
      <c r="RF24" t="str">
        <f>IF(COUNTIF('Final Calculation Sheet'!$AL24:$AO24,0)+COUNTIF('Final Calculation Sheet'!$AQ24:$BS24,0)&gt;0,0,1)</f>
      </c>
      <c r="RG24" t="str">
        <f>IF($AN$24="",FALSE,SUMPRODUCT(('Final Calculation Sheet'!$E$4:$E$40=$AN$24)*($RF$4:$RF$40=1))&gt;0)</f>
      </c>
      <c r="RH24" t="str">
        <f>=$RH23+--($RG24)</f>
      </c>
      <c r="RI24" t="str">
        <f>IF(ROW()-3&gt;MAX($RH$4:$RH$40),"",INDEX($AN$4:$AN$40,MATCH(ROW()-3,$RH$4:$RH$40,0)))</f>
      </c>
      <c r="RJ24" t="str">
        <f>IF(COUNTIF('Final Calculation Sheet'!$AL24:$AP24,0)+COUNTIF('Final Calculation Sheet'!$AR24:$BS24,0)&gt;0,0,1)</f>
      </c>
      <c r="RK24" t="str">
        <f>IF($O$24="",FALSE,SUMPRODUCT(('Final Calculation Sheet'!$F$4:$F$40=$O$24)*($RJ$4:$RJ$40=1))&gt;0)</f>
      </c>
      <c r="RL24" t="str">
        <f>=$RL23+--($RK24)</f>
      </c>
      <c r="RM24" t="str">
        <f>IF(ROW()-3&gt;MAX($RL$4:$RL$40),"",INDEX($O$4:$O$40,MATCH(ROW()-3,$RL$4:$RL$40,0)))</f>
      </c>
      <c r="RN24" t="str">
        <f>IF(COUNTIF('Final Calculation Sheet'!$AL24:$AQ24,0)+COUNTIF('Final Calculation Sheet'!$AS24:$BS24,0)&gt;0,0,1)</f>
      </c>
      <c r="RO24" t="str">
        <f>IF($T$24="",FALSE,SUMPRODUCT(('Final Calculation Sheet'!$G$4:$G$40=$T$24)*($RN$4:$RN$40=1))&gt;0)</f>
      </c>
      <c r="RP24" t="str">
        <f>=$RP23+--($RO24)</f>
      </c>
      <c r="RQ24" t="str">
        <f>IF(ROW()-3&gt;MAX($RP$4:$RP$40),"",INDEX($T$4:$T$40,MATCH(ROW()-3,$RP$4:$RP$40,0)))</f>
      </c>
      <c r="RR24" t="str">
        <f>IF(COUNTIF('Final Calculation Sheet'!$AL24:$AR24,0)+COUNTIF('Final Calculation Sheet'!$AT24:$BS24,0)&gt;0,0,1)</f>
      </c>
      <c r="RS24" t="str">
        <f>IF($AX$24="",FALSE,SUMPRODUCT(('Final Calculation Sheet'!$H$4:$H$40=$AX$24)*($RR$4:$RR$40=1))&gt;0)</f>
      </c>
      <c r="RT24" t="str">
        <f>=$RT23+--($RS24)</f>
      </c>
      <c r="RU24" t="str">
        <f>IF(ROW()-3&gt;MAX($RT$4:$RT$40),"",INDEX($AX$4:$AX$40,MATCH(ROW()-3,$RT$4:$RT$40,0)))</f>
      </c>
      <c r="RV24" t="str">
        <f>IF(COUNTIF('Final Calculation Sheet'!$AL24:$AS24,0)+COUNTIF('Final Calculation Sheet'!$AU24:$BS24,0)&gt;0,0,1)</f>
      </c>
      <c r="RW24" t="str">
        <f>IF($BC$24="",FALSE,SUMPRODUCT(('Final Calculation Sheet'!$I$4:$I$40=$BC$24)*($RV$4:$RV$40=1))&gt;0)</f>
      </c>
      <c r="RX24" t="str">
        <f>=$RX23+--($RW24)</f>
      </c>
      <c r="RY24" t="str">
        <f>IF(ROW()-3&gt;MAX($RX$4:$RX$40),"",INDEX($BC$4:$BC$40,MATCH(ROW()-3,$RX$4:$RX$40,0)))</f>
      </c>
      <c r="RZ24" t="str">
        <f>IF(COUNTIF('Final Calculation Sheet'!$AL24:$AT24,0)+COUNTIF('Final Calculation Sheet'!$AV24:$BS24,0)&gt;0,0,1)</f>
      </c>
      <c r="SA24" t="str">
        <f>IF($BH$24="",FALSE,SUMPRODUCT(('Final Calculation Sheet'!$J$4:$J$40=$BH$24)*($RZ$4:$RZ$40=1))&gt;0)</f>
      </c>
      <c r="SB24" t="str">
        <f>=$SB23+--($SA24)</f>
      </c>
      <c r="SC24" t="str">
        <f>IF(ROW()-3&gt;MAX($SB$4:$SB$40),"",INDEX($BH$4:$BH$40,MATCH(ROW()-3,$SB$4:$SB$40,0)))</f>
      </c>
      <c r="SD24" t="str">
        <f>IF(COUNTIF('Final Calculation Sheet'!$AL24:$AU24,0)+COUNTIF('Final Calculation Sheet'!$AW24:$BS24,0)&gt;0,0,1)</f>
      </c>
      <c r="SE24" t="str">
        <f>IF($BM$24="",FALSE,SUMPRODUCT(('Final Calculation Sheet'!$K$4:$K$40=$BM$24)*($SD$4:$SD$40=1))&gt;0)</f>
      </c>
      <c r="SF24" t="str">
        <f>=$SF23+--($SE24)</f>
      </c>
      <c r="SG24" t="str">
        <f>IF(ROW()-3&gt;MAX($SF$4:$SF$40),"",INDEX($BM$4:$BM$40,MATCH(ROW()-3,$SF$4:$SF$40,0)))</f>
      </c>
      <c r="SH24" t="str">
        <f>IF(COUNTIF('Final Calculation Sheet'!$AL24:$AV24,0)+COUNTIF('Final Calculation Sheet'!$AX24:$BS24,0)&gt;0,0,1)</f>
      </c>
      <c r="SI24" t="str">
        <f>IF($BR$24="",FALSE,SUMPRODUCT(('Final Calculation Sheet'!$L$4:$L$40=$BR$24)*($SH$4:$SH$40=1))&gt;0)</f>
      </c>
      <c r="SJ24" t="str">
        <f>=$SJ23+--($SI24)</f>
      </c>
      <c r="SK24" t="str">
        <f>IF(ROW()-3&gt;MAX($SJ$4:$SJ$40),"",INDEX($BR$4:$BR$40,MATCH(ROW()-3,$SJ$4:$SJ$40,0)))</f>
      </c>
      <c r="SL24" t="str">
        <f>IF(COUNTIF('Final Calculation Sheet'!$AL24:$AW24,0)+COUNTIF('Final Calculation Sheet'!$AY24:$BS24,0)&gt;0,0,1)</f>
      </c>
      <c r="SM24" t="str">
        <f>IF($BW$24="",FALSE,SUMPRODUCT(('Final Calculation Sheet'!$M$4:$M$40=$BW$24)*($SL$4:$SL$40=1))&gt;0)</f>
      </c>
      <c r="SN24" t="str">
        <f>=$SN23+--($SM24)</f>
      </c>
      <c r="SO24" t="str">
        <f>IF(ROW()-3&gt;MAX($SN$4:$SN$40),"",INDEX($BW$4:$BW$40,MATCH(ROW()-3,$SN$4:$SN$40,0)))</f>
      </c>
      <c r="SP24" t="str">
        <f>IF(COUNTIF('Final Calculation Sheet'!$AL24:$AX24,0)+COUNTIF('Final Calculation Sheet'!$AZ24:$BS24,0)&gt;0,0,1)</f>
      </c>
      <c r="SQ24" t="str">
        <f>IF($CB$24="",FALSE,SUMPRODUCT(('Final Calculation Sheet'!$N$4:$N$40=$CB$24)*($SP$4:$SP$40=1))&gt;0)</f>
      </c>
      <c r="SR24" t="str">
        <f>=$SR23+--($SQ24)</f>
      </c>
      <c r="SS24" t="str">
        <f>IF(ROW()-3&gt;MAX($SR$4:$SR$40),"",INDEX($CB$4:$CB$40,MATCH(ROW()-3,$SR$4:$SR$40,0)))</f>
      </c>
      <c r="ST24" t="str">
        <f>IF(COUNTIF('Final Calculation Sheet'!$AL24:$AY24,0)+COUNTIF('Final Calculation Sheet'!$BA24:$BS24,0)&gt;0,0,1)</f>
      </c>
      <c r="SU24" t="str">
        <f>IF($CG$24="",FALSE,SUMPRODUCT(('Final Calculation Sheet'!$O$4:$O$40=$CG$24)*($ST$4:$ST$40=1))&gt;0)</f>
      </c>
      <c r="SV24" t="str">
        <f>=$SV23+--($SU24)</f>
      </c>
      <c r="SW24" t="str">
        <f>IF(ROW()-3&gt;MAX($SV$4:$SV$40),"",INDEX($CG$4:$CG$40,MATCH(ROW()-3,$SV$4:$SV$40,0)))</f>
      </c>
      <c r="SX24" t="str">
        <f>IF(COUNTIF('Final Calculation Sheet'!$AL24:$AZ24,0)+COUNTIF('Final Calculation Sheet'!$BB24:$BS24,0)&gt;0,0,1)</f>
      </c>
      <c r="SY24" t="str">
        <f>IF($CL$24="",FALSE,SUMPRODUCT(('Final Calculation Sheet'!$P$4:$P$40=$CL$24)*($SX$4:$SX$40=1))&gt;0)</f>
      </c>
      <c r="SZ24" t="str">
        <f>=$SZ23+--($SY24)</f>
      </c>
      <c r="TA24" t="str">
        <f>IF(ROW()-3&gt;MAX($SZ$4:$SZ$40),"",INDEX($CL$4:$CL$40,MATCH(ROW()-3,$SZ$4:$SZ$40,0)))</f>
      </c>
      <c r="TB24" t="str">
        <f>IF(COUNTIF('Final Calculation Sheet'!$AL24:$BA24,0)+COUNTIF('Final Calculation Sheet'!$BC24:$BS24,0)&gt;0,0,1)</f>
      </c>
      <c r="TC24" t="str">
        <f>IF($CQ$24="",FALSE,SUMPRODUCT(('Final Calculation Sheet'!$Q$4:$Q$40=$CQ$24)*($TB$4:$TB$40=1))&gt;0)</f>
      </c>
      <c r="TD24" t="str">
        <f>=$TD23+--($TC24)</f>
      </c>
      <c r="TE24" t="str">
        <f>IF(ROW()-3&gt;MAX($TD$4:$TD$40),"",INDEX($CQ$4:$CQ$40,MATCH(ROW()-3,$TD$4:$TD$40,0)))</f>
      </c>
      <c r="TF24" t="str">
        <f>IF(COUNTIF('Final Calculation Sheet'!$AL24:$BB24,0)+COUNTIF('Final Calculation Sheet'!$BD24:$BS24,0)&gt;0,0,1)</f>
      </c>
      <c r="TG24" t="str">
        <f>IF($CV$24="",FALSE,SUMPRODUCT(('Final Calculation Sheet'!$R$4:$R$40=$CV$24)*($TF$4:$TF$40=1))&gt;0)</f>
      </c>
      <c r="TH24" t="str">
        <f>=$TH23+--($TG24)</f>
      </c>
      <c r="TI24" t="str">
        <f>IF(ROW()-3&gt;MAX($TH$4:$TH$40),"",INDEX($CV$4:$CV$40,MATCH(ROW()-3,$TH$4:$TH$40,0)))</f>
      </c>
      <c r="TJ24" t="str">
        <f>IF(COUNTIF('Final Calculation Sheet'!$AL24:$BC24,0)+COUNTIF('Final Calculation Sheet'!$BE24:$BS24,0)&gt;0,0,1)</f>
      </c>
      <c r="TK24" t="str">
        <f>IF($DA$24="",FALSE,SUMPRODUCT(('Final Calculation Sheet'!$S$4:$S$40=$DA$24)*($TJ$4:$TJ$40=1))&gt;0)</f>
      </c>
      <c r="TL24" t="str">
        <f>=$TL23+--($TK24)</f>
      </c>
      <c r="TM24" t="str">
        <f>IF(ROW()-3&gt;MAX($TL$4:$TL$40),"",INDEX($DA$4:$DA$40,MATCH(ROW()-3,$TL$4:$TL$40,0)))</f>
      </c>
      <c r="TN24" t="str">
        <f>IF(COUNTIF('Final Calculation Sheet'!$AL24:$BD24,0)+COUNTIF('Final Calculation Sheet'!$BF24:$BS24,0)&gt;0,0,1)</f>
      </c>
      <c r="TO24" t="str">
        <f>IF($DF$24="",FALSE,SUMPRODUCT(('Final Calculation Sheet'!$T$4:$T$40=$DF$24)*($TN$4:$TN$40=1))&gt;0)</f>
      </c>
      <c r="TP24" t="str">
        <f>=$TP23+--($TO24)</f>
      </c>
      <c r="TQ24" t="str">
        <f>IF(ROW()-3&gt;MAX($TP$4:$TP$40),"",INDEX($DF$4:$DF$40,MATCH(ROW()-3,$TP$4:$TP$40,0)))</f>
      </c>
      <c r="TR24" t="str">
        <f>IF(COUNTIF('Final Calculation Sheet'!$AL24:$BE24,0)+COUNTIF('Final Calculation Sheet'!$BG24:$BS24,0)&gt;0,0,1)</f>
      </c>
      <c r="TS24" t="str">
        <f>IF($DK$24="",FALSE,SUMPRODUCT(('Final Calculation Sheet'!$U$4:$U$40=$DK$24)*($TR$4:$TR$40=1))&gt;0)</f>
      </c>
      <c r="TT24" t="str">
        <f>=$TT23+--($TS24)</f>
      </c>
      <c r="TU24" t="str">
        <f>IF(ROW()-3&gt;MAX($TT$4:$TT$40),"",INDEX($DK$4:$DK$40,MATCH(ROW()-3,$TT$4:$TT$40,0)))</f>
      </c>
      <c r="TV24" t="str">
        <f>IF(COUNTIF('Final Calculation Sheet'!$AL24:$BF24,0)+COUNTIF('Final Calculation Sheet'!$BH24:$BS24,0)&gt;0,0,1)</f>
      </c>
      <c r="TW24" t="str">
        <f>IF($DP$24="",FALSE,SUMPRODUCT(('Final Calculation Sheet'!$V$4:$V$40=$DP$24)*($TV$4:$TV$40=1))&gt;0)</f>
      </c>
      <c r="TX24" t="str">
        <f>=$TX23+--($TW24)</f>
      </c>
      <c r="TY24" t="str">
        <f>IF(ROW()-3&gt;MAX($TX$4:$TX$40),"",INDEX($DP$4:$DP$40,MATCH(ROW()-3,$TX$4:$TX$40,0)))</f>
      </c>
      <c r="TZ24" t="str">
        <f>IF(COUNTIF('Final Calculation Sheet'!$AL24:$BG24,0)+COUNTIF('Final Calculation Sheet'!$BI24:$BS24,0)&gt;0,0,1)</f>
      </c>
      <c r="UA24" t="str">
        <f>IF($DU$24="",FALSE,SUMPRODUCT(('Final Calculation Sheet'!$W$4:$W$40=$DU$24)*($TZ$4:$TZ$40=1))&gt;0)</f>
      </c>
      <c r="UB24" t="str">
        <f>=$UB23+--($UA24)</f>
      </c>
      <c r="UC24" t="str">
        <f>IF(ROW()-3&gt;MAX($UB$4:$UB$40),"",INDEX($DU$4:$DU$40,MATCH(ROW()-3,$UB$4:$UB$40,0)))</f>
      </c>
      <c r="UD24" t="str">
        <f>IF(COUNTIF('Final Calculation Sheet'!$AL24:$BH24,0)+COUNTIF('Final Calculation Sheet'!$BJ24:$BS24,0)&gt;0,0,1)</f>
      </c>
      <c r="UE24" t="str">
        <f>IF($DZ$24="",FALSE,SUMPRODUCT(('Final Calculation Sheet'!$X$4:$X$40=$DZ$24)*($UD$4:$UD$40=1))&gt;0)</f>
      </c>
      <c r="UF24" t="str">
        <f>=$UF23+--($UE24)</f>
      </c>
      <c r="UG24" t="str">
        <f>IF(ROW()-3&gt;MAX($UF$4:$UF$40),"",INDEX($DZ$4:$DZ$40,MATCH(ROW()-3,$UF$4:$UF$40,0)))</f>
      </c>
      <c r="UH24" t="str">
        <f>IF(COUNTIF('Final Calculation Sheet'!$AL24:$BI24,0)+COUNTIF('Final Calculation Sheet'!$BK24:$BS24,0)&gt;0,0,1)</f>
      </c>
      <c r="UI24" t="str">
        <f>IF($EE$24="",FALSE,SUMPRODUCT(('Final Calculation Sheet'!$Y$4:$Y$40=$EE$24)*($UH$4:$UH$40=1))&gt;0)</f>
      </c>
      <c r="UJ24" t="str">
        <f>=$UJ23+--($UI24)</f>
      </c>
      <c r="UK24" t="str">
        <f>IF(ROW()-3&gt;MAX($UJ$4:$UJ$40),"",INDEX($EE$4:$EE$40,MATCH(ROW()-3,$UJ$4:$UJ$40,0)))</f>
      </c>
      <c r="UL24" t="str">
        <f>IF(COUNTIF('Final Calculation Sheet'!$AL24:$BJ24,0)+COUNTIF('Final Calculation Sheet'!$BL24:$BS24,0)&gt;0,0,1)</f>
      </c>
      <c r="UM24" t="str">
        <f>IF($EJ$24="",FALSE,SUMPRODUCT(('Final Calculation Sheet'!$Z$4:$Z$40=$EJ$24)*($UL$4:$UL$40=1))&gt;0)</f>
      </c>
      <c r="UN24" t="str">
        <f>=$UN23+--($UM24)</f>
      </c>
      <c r="UO24" t="str">
        <f>IF(ROW()-3&gt;MAX($UN$4:$UN$40),"",INDEX($EJ$4:$EJ$40,MATCH(ROW()-3,$UN$4:$UN$40,0)))</f>
      </c>
      <c r="UP24" t="str">
        <f>IF(COUNTIF('Final Calculation Sheet'!$AL24:$BK24,0)+COUNTIF('Final Calculation Sheet'!$BM24:$BS24,0)&gt;0,0,1)</f>
      </c>
      <c r="UQ24" t="str">
        <f>IF($EO$24="",FALSE,SUMPRODUCT(('Final Calculation Sheet'!$AA$4:$AA$40=$EO$24)*($UP$4:$UP$40=1))&gt;0)</f>
      </c>
      <c r="UR24" t="str">
        <f>=$UR23+--($UQ24)</f>
      </c>
      <c r="US24" t="str">
        <f>IF(ROW()-3&gt;MAX($UR$4:$UR$40),"",INDEX($EO$4:$EO$40,MATCH(ROW()-3,$UR$4:$UR$40,0)))</f>
      </c>
      <c r="UT24" t="str">
        <f>IF(COUNTIF('Final Calculation Sheet'!$AL24:$BL24,0)+COUNTIF('Final Calculation Sheet'!$BN24:$BS24,0)&gt;0,0,1)</f>
      </c>
      <c r="UU24" t="str">
        <f>IF($ET$24="",FALSE,SUMPRODUCT(('Final Calculation Sheet'!$AB$4:$AB$40=$ET$24)*($UT$4:$UT$40=1))&gt;0)</f>
      </c>
      <c r="UV24" t="str">
        <f>=$UV23+--($UU24)</f>
      </c>
      <c r="UW24" t="str">
        <f>IF(ROW()-3&gt;MAX($UV$4:$UV$40),"",INDEX($ET$4:$ET$40,MATCH(ROW()-3,$UV$4:$UV$40,0)))</f>
      </c>
      <c r="UX24" t="str">
        <f>IF(COUNTIF('Final Calculation Sheet'!$AL24:$BM24,0)+COUNTIF('Final Calculation Sheet'!$BO24:$BS24,0)&gt;0,0,1)</f>
      </c>
      <c r="UY24" t="str">
        <f>IF($EY$24="",FALSE,SUMPRODUCT(('Final Calculation Sheet'!$AC$4:$AC$40=$EY$24)*($UX$4:$UX$40=1))&gt;0)</f>
      </c>
      <c r="UZ24" t="str">
        <f>=$UZ23+--($UY24)</f>
      </c>
      <c r="VA24" t="str">
        <f>IF(ROW()-3&gt;MAX($UZ$4:$UZ$40),"",INDEX($EY$4:$EY$40,MATCH(ROW()-3,$UZ$4:$UZ$40,0)))</f>
      </c>
      <c r="VB24" t="str">
        <f>IF(COUNTIF('Final Calculation Sheet'!$AL24:$BN24,0)+COUNTIF('Final Calculation Sheet'!$BP24:$BS24,0)&gt;0,0,1)</f>
      </c>
      <c r="VC24" t="str">
        <f>IF($FD$24="",FALSE,SUMPRODUCT(('Final Calculation Sheet'!$AD$4:$AD$40=$FD$24)*($VB$4:$VB$40=1))&gt;0)</f>
      </c>
      <c r="VD24" t="str">
        <f>=$VD23+--($VC24)</f>
      </c>
      <c r="VE24" t="str">
        <f>IF(ROW()-3&gt;MAX($VD$4:$VD$40),"",INDEX($FD$4:$FD$40,MATCH(ROW()-3,$VD$4:$VD$40,0)))</f>
      </c>
      <c r="VF24" t="str">
        <f>IF(COUNTIF('Final Calculation Sheet'!$AL24:$BO24,0)+COUNTIF('Final Calculation Sheet'!$BQ24:$BS24,0)&gt;0,0,1)</f>
      </c>
      <c r="VG24" t="str">
        <f>IF($FI$24="",FALSE,SUMPRODUCT(('Final Calculation Sheet'!$AE$4:$AE$40=$FI$24)*($VF$4:$VF$40=1))&gt;0)</f>
      </c>
      <c r="VH24" t="str">
        <f>=$VH23+--($VG24)</f>
      </c>
      <c r="VI24" t="str">
        <f>IF(ROW()-3&gt;MAX($VH$4:$VH$40),"",INDEX($FI$4:$FI$40,MATCH(ROW()-3,$VH$4:$VH$40,0)))</f>
      </c>
      <c r="VJ24" t="str">
        <f>IF(COUNTIF('Final Calculation Sheet'!$AL24:$BP24,0)+COUNTIF('Final Calculation Sheet'!$BR24:$BS24,0)&gt;0,0,1)</f>
      </c>
      <c r="VK24" t="str">
        <f>IF($FN$24="",FALSE,SUMPRODUCT(('Final Calculation Sheet'!$AF$4:$AF$40=$FN$24)*($VJ$4:$VJ$40=1))&gt;0)</f>
      </c>
      <c r="VL24" t="str">
        <f>=$VL23+--($VK24)</f>
      </c>
      <c r="VM24" t="str">
        <f>IF(ROW()-3&gt;MAX($VL$4:$VL$40),"",INDEX($FN$4:$FN$40,MATCH(ROW()-3,$VL$4:$VL$40,0)))</f>
      </c>
      <c r="VN24" t="str">
        <f>IF(COUNTIF('Final Calculation Sheet'!$AL24:$BQ24,0)+COUNTIF('Final Calculation Sheet'!$BS24:$BS24,0)&gt;0,0,1)</f>
      </c>
      <c r="VO24" t="str">
        <f>IF($FS$24="",FALSE,SUMPRODUCT(('Final Calculation Sheet'!$AG$4:$AG$40=$FS$24)*($VN$4:$VN$40=1))&gt;0)</f>
      </c>
      <c r="VP24" t="str">
        <f>=$VP23+--($VO24)</f>
      </c>
      <c r="VQ24" t="str">
        <f>IF(ROW()-3&gt;MAX($VP$4:$VP$40),"",INDEX($FS$4:$FS$40,MATCH(ROW()-3,$VP$4:$VP$40,0)))</f>
      </c>
      <c r="VR24" t="str">
        <f>IF(COUNTIF('Final Calculation Sheet'!$AL24:$BR24,0)&gt;0,0,1)</f>
      </c>
      <c r="VS24" t="str">
        <f>IF($QO$24="",FALSE,SUMPRODUCT(('Final Calculation Sheet'!$AH$4:$AH$40=$QO$24)*($VR$4:$VR$40=1))&gt;0)</f>
      </c>
      <c r="VT24" t="str">
        <f>=$VT23+--($VS24)</f>
      </c>
      <c r="VU24" t="str">
        <f>IF(ROW()-3&gt;MAX($VT$4:$VT$40),"",INDEX($QO$4:$QO$40,MATCH(ROW()-3,$VT$4:$VT$40,0)))</f>
      </c>
    </row>
    <row r="25">
      <c r="A25">
        <f>IF(IFERROR('Final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IF(IFERROR('Final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s="55">
        <f>IF('Final Calculation Sheet'!$C$25="","",'Final Calculation Sheet'!$C$25)</f>
        <v/>
      </c>
      <c r="AP25">
        <f>IF(AO25="","",COUNTIFS(AO$4:AO$40,"&lt;"&amp;AO25,AO$4:AO$40,"&lt;&gt;"&amp;"")+COUNTIF(AO$4:AO25,AO25))</f>
        <v/>
      </c>
      <c r="AQ25" s="55">
        <f>IF(ROW()-3&gt;COUNTIF(AO$4:AO$40,"&lt;&gt;"&amp;""),"",INDEX(AO$4:AO$40,MATCH(ROW()-3,AP$4:AP$40,0)))</f>
        <v/>
      </c>
      <c r="AR25">
        <f>AR24+IF(AND(AQ25&lt;&gt;"",COUNTIF(AQ$4:AQ25,AQ25)=1),1,0)</f>
        <v/>
      </c>
      <c r="AS25" s="55">
        <f>IF(ROW()-3&gt;MAX(AR$4:AR$40),"",INDEX(AQ$4:AQ$40,MATCH(ROW()-3,AR$4:AR$40,0)))</f>
        <v/>
      </c>
      <c r="AT25" s="55">
        <f>IF('Final Calculation Sheet'!$H$25="","",'Final Calculation Sheet'!$H$25)</f>
        <v/>
      </c>
      <c r="AU25">
        <f>IF(AT25="","",COUNTIFS(AT$4:AT$40,"&lt;"&amp;AT25,AT$4:AT$40,"&lt;&gt;"&amp;"")+COUNTIF(AT$4:AT25,AT25))</f>
        <v/>
      </c>
      <c r="AV25" s="55">
        <f>IF(ROW()-3&gt;COUNTIF(AT$4:AT$40,"&lt;&gt;"&amp;""),"",INDEX(AT$4:AT$40,MATCH(ROW()-3,AU$4:AU$40,0)))</f>
        <v/>
      </c>
      <c r="AW25">
        <f>AW24+IF(AND(AV25&lt;&gt;"",COUNTIF(AV$4:AV25,AV25)=1),1,0)</f>
        <v/>
      </c>
      <c r="AX25" s="55">
        <f>IF(ROW()-3&gt;MAX(AW$4:AW$40),"",INDEX(AV$4:AV$40,MATCH(ROW()-3,AW$4:AW$40,0)))</f>
        <v/>
      </c>
      <c r="AY25" s="55">
        <f>IF('Final Calculation Sheet'!$I$25="","",'Final Calculation Sheet'!$I$25)</f>
        <v/>
      </c>
      <c r="AZ25">
        <f>IF(AY25="","",COUNTIFS(AY$4:AY$40,"&lt;"&amp;AY25,AY$4:AY$40,"&lt;&gt;"&amp;"")+COUNTIF(AY$4:AY25,AY25))</f>
        <v/>
      </c>
      <c r="BA25" s="55">
        <f>IF(ROW()-3&gt;COUNTIF(AY$4:AY$40,"&lt;&gt;"&amp;""),"",INDEX(AY$4:AY$40,MATCH(ROW()-3,AZ$4:AZ$40,0)))</f>
        <v/>
      </c>
      <c r="BB25">
        <f>BB24+IF(AND(BA25&lt;&gt;"",COUNTIF(BA$4:BA25,BA25)=1),1,0)</f>
        <v/>
      </c>
      <c r="BC25" s="55">
        <f>IF(ROW()-3&gt;MAX(BB$4:BB$40),"",INDEX(BA$4:BA$40,MATCH(ROW()-3,BB$4:BB$40,0)))</f>
        <v/>
      </c>
      <c r="BD25" s="55">
        <f>IF('Final Calculation Sheet'!$J$25="","",'Final Calculation Sheet'!$J$25)</f>
        <v/>
      </c>
      <c r="BE25">
        <f>IF(BD25="","",COUNTIFS(BD$4:BD$40,"&lt;"&amp;BD25,BD$4:BD$40,"&lt;&gt;"&amp;"")+COUNTIF(BD$4:BD25,BD25))</f>
        <v/>
      </c>
      <c r="BF25" s="55">
        <f>IF(ROW()-3&gt;COUNTIF(BD$4:BD$40,"&lt;&gt;"&amp;""),"",INDEX(BD$4:BD$40,MATCH(ROW()-3,BE$4:BE$40,0)))</f>
        <v/>
      </c>
      <c r="BG25">
        <f>BG24+IF(AND(BF25&lt;&gt;"",COUNTIF(BF$4:BF25,BF25)=1),1,0)</f>
        <v/>
      </c>
      <c r="BH25" s="55">
        <f>IF(ROW()-3&gt;MAX(BG$4:BG$40),"",INDEX(BF$4:BF$40,MATCH(ROW()-3,BG$4:BG$40,0)))</f>
        <v/>
      </c>
      <c r="BI25" s="55">
        <f>IF('Final Calculation Sheet'!$K$25="","",'Final Calculation Sheet'!$K$25)</f>
        <v/>
      </c>
      <c r="BJ25">
        <f>IF(BI25="","",COUNTIFS(BI$4:BI$40,"&lt;"&amp;BI25,BI$4:BI$40,"&lt;&gt;"&amp;"")+COUNTIF(BI$4:BI25,BI25))</f>
        <v/>
      </c>
      <c r="BK25" s="55">
        <f>IF(ROW()-3&gt;COUNTIF(BI$4:BI$40,"&lt;&gt;"&amp;""),"",INDEX(BI$4:BI$40,MATCH(ROW()-3,BJ$4:BJ$40,0)))</f>
        <v/>
      </c>
      <c r="BL25">
        <f>BL24+IF(AND(BK25&lt;&gt;"",COUNTIF(BK$4:BK25,BK25)=1),1,0)</f>
        <v/>
      </c>
      <c r="BM25" s="55">
        <f>IF(ROW()-3&gt;MAX(BL$4:BL$40),"",INDEX(BK$4:BK$40,MATCH(ROW()-3,BL$4:BL$40,0)))</f>
        <v/>
      </c>
      <c r="BN25" s="55">
        <f>IF('Final Calculation Sheet'!$L$25="","",'Final Calculation Sheet'!$L$25)</f>
        <v/>
      </c>
      <c r="BO25">
        <f>IF(BN25="","",COUNTIFS(BN$4:BN$40,"&lt;"&amp;BN25,BN$4:BN$40,"&lt;&gt;"&amp;"")+COUNTIF(BN$4:BN25,BN25))</f>
        <v/>
      </c>
      <c r="BP25" s="55">
        <f>IF(ROW()-3&gt;COUNTIF(BN$4:BN$40,"&lt;&gt;"&amp;""),"",INDEX(BN$4:BN$40,MATCH(ROW()-3,BO$4:BO$40,0)))</f>
        <v/>
      </c>
      <c r="BQ25">
        <f>BQ24+IF(AND(BP25&lt;&gt;"",COUNTIF(BP$4:BP25,BP25)=1),1,0)</f>
        <v/>
      </c>
      <c r="BR25" s="55">
        <f>IF(ROW()-3&gt;MAX(BQ$4:BQ$40),"",INDEX(BP$4:BP$40,MATCH(ROW()-3,BQ$4:BQ$40,0)))</f>
        <v/>
      </c>
      <c r="BS25" s="55">
        <f>IF('Final Calculation Sheet'!$M$25="","",'Final Calculation Sheet'!$M$25)</f>
        <v/>
      </c>
      <c r="BT25">
        <f>IF(BS25="","",COUNTIFS(BS$4:BS$40,"&lt;"&amp;BS25,BS$4:BS$40,"&lt;&gt;"&amp;"")+COUNTIF(BS$4:BS25,BS25))</f>
        <v/>
      </c>
      <c r="BU25" s="55">
        <f>IF(ROW()-3&gt;COUNTIF(BS$4:BS$40,"&lt;&gt;"&amp;""),"",INDEX(BS$4:BS$40,MATCH(ROW()-3,BT$4:BT$40,0)))</f>
        <v/>
      </c>
      <c r="BV25">
        <f>BV24+IF(AND(BU25&lt;&gt;"",COUNTIF(BU$4:BU25,BU25)=1),1,0)</f>
        <v/>
      </c>
      <c r="BW25" s="55">
        <f>IF(ROW()-3&gt;MAX(BV$4:BV$40),"",INDEX(BU$4:BU$40,MATCH(ROW()-3,BV$4:BV$40,0)))</f>
        <v/>
      </c>
      <c r="BX25" s="138">
        <f>IF('Final Calculation Sheet'!$N$25="","",'Final Calculation Sheet'!$N$25)</f>
        <v/>
      </c>
      <c r="BY25">
        <f>IF(BX25="","",COUNTIFS(BX$4:BX$40,"&lt;"&amp;BX25,BX$4:BX$40,"&lt;&gt;"&amp;"")+COUNTIF(BX$4:BX25,BX25))</f>
        <v/>
      </c>
      <c r="BZ25" s="138">
        <f>IF(ROW()-3&gt;COUNTIF(BX$4:BX$40,"&lt;&gt;"&amp;""),"",INDEX(BX$4:BX$40,MATCH(ROW()-3,BY$4:BY$40,0)))</f>
        <v/>
      </c>
      <c r="CA25">
        <f>CA24+IF(AND(BZ25&lt;&gt;"",COUNTIF(BZ$4:BZ25,BZ25)=1),1,0)</f>
        <v/>
      </c>
      <c r="CB25" s="138">
        <f>IF(ROW()-3&gt;MAX(CA$4:CA$40),"",INDEX(BZ$4:BZ$40,MATCH(ROW()-3,CA$4:CA$40,0)))</f>
        <v/>
      </c>
      <c r="CC25" s="55">
        <f>IF('Final Calculation Sheet'!$O$25="","",'Final Calculation Sheet'!$O$25)</f>
        <v/>
      </c>
      <c r="CD25">
        <f>IF(CC25="","",COUNTIFS(CC$4:CC$40,"&lt;"&amp;CC25,CC$4:CC$40,"&lt;&gt;"&amp;"")+COUNTIF(CC$4:CC25,CC25))</f>
        <v/>
      </c>
      <c r="CE25" s="55">
        <f>IF(ROW()-3&gt;COUNTIF(CC$4:CC$40,"&lt;&gt;"&amp;""),"",INDEX(CC$4:CC$40,MATCH(ROW()-3,CD$4:CD$40,0)))</f>
        <v/>
      </c>
      <c r="CF25">
        <f>CF24+IF(AND(CE25&lt;&gt;"",COUNTIF(CE$4:CE25,CE25)=1),1,0)</f>
        <v/>
      </c>
      <c r="CG25" s="55">
        <f>IF(ROW()-3&gt;MAX(CF$4:CF$40),"",INDEX(CE$4:CE$40,MATCH(ROW()-3,CF$4:CF$40,0)))</f>
        <v/>
      </c>
      <c r="CH25" s="55">
        <f>IF('Final Calculation Sheet'!$P$25="","",'Final Calculation Sheet'!$P$25)</f>
        <v/>
      </c>
      <c r="CI25">
        <f>IF(CH25="","",COUNTIFS(CH$4:CH$40,"&lt;"&amp;CH25,CH$4:CH$40,"&lt;&gt;"&amp;"")+COUNTIF(CH$4:CH25,CH25))</f>
        <v/>
      </c>
      <c r="CJ25" s="55">
        <f>IF(ROW()-3&gt;COUNTIF(CH$4:CH$40,"&lt;&gt;"&amp;""),"",INDEX(CH$4:CH$40,MATCH(ROW()-3,CI$4:CI$40,0)))</f>
        <v/>
      </c>
      <c r="CK25">
        <f>CK24+IF(AND(CJ25&lt;&gt;"",COUNTIF(CJ$4:CJ25,CJ25)=1),1,0)</f>
        <v/>
      </c>
      <c r="CL25" s="55">
        <f>IF(ROW()-3&gt;MAX(CK$4:CK$40),"",INDEX(CJ$4:CJ$40,MATCH(ROW()-3,CK$4:CK$40,0)))</f>
        <v/>
      </c>
      <c r="CM25" s="139">
        <f>IF('Final Calculation Sheet'!$Q$25="","",'Final Calculation Sheet'!$Q$25)</f>
        <v/>
      </c>
      <c r="CN25">
        <f>IF(CM25="","",COUNTIFS(CM$4:CM$40,"&lt;"&amp;CM25,CM$4:CM$40,"&lt;&gt;"&amp;"")+COUNTIF(CM$4:CM25,CM25))</f>
        <v/>
      </c>
      <c r="CO25" s="139">
        <f>IF(ROW()-3&gt;COUNTIF(CM$4:CM$40,"&lt;&gt;"&amp;""),"",INDEX(CM$4:CM$40,MATCH(ROW()-3,CN$4:CN$40,0)))</f>
        <v/>
      </c>
      <c r="CP25">
        <f>CP24+IF(AND(CO25&lt;&gt;"",COUNTIF(CO$4:CO25,CO25)=1),1,0)</f>
        <v/>
      </c>
      <c r="CQ25">
        <f>IF(ROW()-3&gt;MAX(CP$4:CP$40),"",INDEX(CO$4:CO$40,MATCH(ROW()-3,CP$4:CP$40,0)))</f>
        <v/>
      </c>
      <c r="CR25" s="55">
        <f>IF('Final Calculation Sheet'!$R$25="","",'Final Calculation Sheet'!$R$25)</f>
        <v/>
      </c>
      <c r="CS25">
        <f>IF(CR25="","",COUNTIFS(CR$4:CR$40,"&lt;"&amp;CR25,CR$4:CR$40,"&lt;&gt;"&amp;"")+COUNTIF(CR$4:CR25,CR25))</f>
        <v/>
      </c>
      <c r="CT25" s="55">
        <f>IF(ROW()-3&gt;COUNTIF(CR$4:CR$40,"&lt;&gt;"&amp;""),"",INDEX(CR$4:CR$40,MATCH(ROW()-3,CS$4:CS$40,0)))</f>
        <v/>
      </c>
      <c r="CU25">
        <f>CU24+IF(AND(CT25&lt;&gt;"",COUNTIF(CT$4:CT25,CT25)=1),1,0)</f>
        <v/>
      </c>
      <c r="CV25">
        <f>IF(ROW()-3&gt;MAX(CU$4:CU$40),"",INDEX(CT$4:CT$40,MATCH(ROW()-3,CU$4:CU$40,0)))</f>
        <v/>
      </c>
      <c r="CW25" s="55">
        <f>IF('Final Calculation Sheet'!$S$25="","",'Final Calculation Sheet'!$S$25)</f>
        <v/>
      </c>
      <c r="CX25">
        <f>IF(CW25="","",COUNTIFS(CW$4:CW$40,"&lt;"&amp;CW25,CW$4:CW$40,"&lt;&gt;"&amp;"")+COUNTIF(CW$4:CW25,CW25))</f>
        <v/>
      </c>
      <c r="CY25" s="55">
        <f>IF(ROW()-3&gt;COUNTIF(CW$4:CW$40,"&lt;&gt;"&amp;""),"",INDEX(CW$4:CW$40,MATCH(ROW()-3,CX$4:CX$40,0)))</f>
        <v/>
      </c>
      <c r="CZ25">
        <f>CZ24+IF(AND(CY25&lt;&gt;"",COUNTIF(CY$4:CY25,CY25)=1),1,0)</f>
        <v/>
      </c>
      <c r="DA25" s="55">
        <f>IF(ROW()-3&gt;MAX(CZ$4:CZ$40),"",INDEX(CY$4:CY$40,MATCH(ROW()-3,CZ$4:CZ$40,0)))</f>
        <v/>
      </c>
      <c r="DB25" s="55">
        <f>IF('Final Calculation Sheet'!$T$25="","",'Final Calculation Sheet'!$T$25)</f>
        <v/>
      </c>
      <c r="DC25">
        <f>IF(DB25="","",COUNTIFS(DB$4:DB$40,"&lt;"&amp;DB25,DB$4:DB$40,"&lt;&gt;"&amp;"")+COUNTIF(DB$4:DB25,DB25))</f>
        <v/>
      </c>
      <c r="DD25" s="55">
        <f>IF(ROW()-3&gt;COUNTIF(DB$4:DB$40,"&lt;&gt;"&amp;""),"",INDEX(DB$4:DB$40,MATCH(ROW()-3,DC$4:DC$40,0)))</f>
        <v/>
      </c>
      <c r="DE25">
        <f>DE24+IF(AND(DD25&lt;&gt;"",COUNTIF(DD$4:DD25,DD25)=1),1,0)</f>
        <v/>
      </c>
      <c r="DF25" s="55">
        <f>IF(ROW()-3&gt;MAX(DE$4:DE$40),"",INDEX(DD$4:DD$40,MATCH(ROW()-3,DE$4:DE$40,0)))</f>
        <v/>
      </c>
      <c r="DG25" s="140">
        <f>IF('Final Calculation Sheet'!$U$25="","",'Final Calculation Sheet'!$U$25)</f>
        <v/>
      </c>
      <c r="DH25">
        <f>IF(DG25="","",COUNTIFS(DG$4:DG$40,"&lt;"&amp;DG25,DG$4:DG$40,"&lt;&gt;"&amp;"")+COUNTIF(DG$4:DG25,DG25))</f>
        <v/>
      </c>
      <c r="DI25" s="140">
        <f>IF(ROW()-3&gt;COUNTIF(DG$4:DG$40,"&lt;&gt;"&amp;""),"",INDEX(DG$4:DG$40,MATCH(ROW()-3,DH$4:DH$40,0)))</f>
        <v/>
      </c>
      <c r="DJ25">
        <f>DJ24+IF(AND(DI25&lt;&gt;"",COUNTIF(DI$4:DI25,DI25)=1),1,0)</f>
        <v/>
      </c>
      <c r="DK25" s="140">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s="55">
        <f>IF('Final Calculation Sheet'!$W$25="","",'Final Calculation Sheet'!$W$25)</f>
        <v/>
      </c>
      <c r="DR25">
        <f>IF(DQ25="","",COUNTIFS(DQ$4:DQ$40,"&lt;"&amp;DQ25,DQ$4:DQ$40,"&lt;&gt;"&amp;"")+COUNTIF(DQ$4:DQ25,DQ25))</f>
        <v/>
      </c>
      <c r="DS25" s="55">
        <f>IF(ROW()-3&gt;COUNTIF(DQ$4:DQ$40,"&lt;&gt;"&amp;""),"",INDEX(DQ$4:DQ$40,MATCH(ROW()-3,DR$4:DR$40,0)))</f>
        <v/>
      </c>
      <c r="DT25">
        <f>DT24+IF(AND(DS25&lt;&gt;"",COUNTIF(DS$4:DS25,DS25)=1),1,0)</f>
        <v/>
      </c>
      <c r="DU25" s="55">
        <f>IF(ROW()-3&gt;MAX(DT$4:DT$40),"",INDEX(DS$4:DS$40,MATCH(ROW()-3,DT$4:DT$40,0)))</f>
        <v/>
      </c>
      <c r="DV25" s="55">
        <f>IF('Final Calculation Sheet'!$X$25="","",'Final Calculation Sheet'!$X$25)</f>
        <v/>
      </c>
      <c r="DW25">
        <f>IF(DV25="","",COUNTIFS(DV$4:DV$40,"&lt;"&amp;DV25,DV$4:DV$40,"&lt;&gt;"&amp;"")+COUNTIF(DV$4:DV25,DV25))</f>
        <v/>
      </c>
      <c r="DX25" s="5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s="55">
        <f>IF('Final Calculation Sheet'!$Z$25="","",'Final Calculation Sheet'!$Z$25)</f>
        <v/>
      </c>
      <c r="EG25">
        <f>IF(EF25="","",COUNTIFS(EF$4:EF$40,"&lt;"&amp;EF25,EF$4:EF$40,"&lt;&gt;"&amp;"")+COUNTIF(EF$4:EF25,EF25))</f>
        <v/>
      </c>
      <c r="EH25" s="5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s="55">
        <f>IF('Final Calculation Sheet'!$AC$25="","",'Final Calculation Sheet'!$AC$25)</f>
        <v/>
      </c>
      <c r="EV25">
        <f>IF(EU25="","",COUNTIFS(EU$4:EU$40,"&lt;"&amp;EU25,EU$4:EU$40,"&lt;&gt;"&amp;"")+COUNTIF(EU$4:EU25,EU25))</f>
        <v/>
      </c>
      <c r="EW25" s="55">
        <f>IF(ROW()-3&gt;COUNTIF(EU$4:EU$40,"&lt;&gt;"&amp;""),"",INDEX(EU$4:EU$40,MATCH(ROW()-3,EV$4:EV$40,0)))</f>
        <v/>
      </c>
      <c r="EX25">
        <f>EX24+IF(AND(EW25&lt;&gt;"",COUNTIF(EW$4:EW25,EW25)=1),1,0)</f>
        <v/>
      </c>
      <c r="EY25" s="55">
        <f>IF(ROW()-3&gt;MAX(EX$4:EX$40),"",INDEX(EW$4:EW$40,MATCH(ROW()-3,EX$4:EX$40,0)))</f>
        <v/>
      </c>
      <c r="EZ25" s="55">
        <f>IF('Final Calculation Sheet'!$AD$25="","",'Final Calculation Sheet'!$AD$25)</f>
        <v/>
      </c>
      <c r="FA25">
        <f>IF(EZ25="","",COUNTIFS(EZ$4:EZ$40,"&lt;"&amp;EZ25,EZ$4:EZ$40,"&lt;&gt;"&amp;"")+COUNTIF(EZ$4:EZ25,EZ25))</f>
        <v/>
      </c>
      <c r="FB25" s="55">
        <f>IF(ROW()-3&gt;COUNTIF(EZ$4:EZ$40,"&lt;&gt;"&amp;""),"",INDEX(EZ$4:EZ$40,MATCH(ROW()-3,FA$4:FA$40,0)))</f>
        <v/>
      </c>
      <c r="FC25">
        <f>FC24+IF(AND(FB25&lt;&gt;"",COUNTIF(FB$4:FB25,FB25)=1),1,0)</f>
        <v/>
      </c>
      <c r="FD25">
        <f>IF(ROW()-3&gt;MAX(FC$4:FC$40),"",INDEX(FB$4:FB$40,MATCH(ROW()-3,FC$4:FC$40,0)))</f>
        <v/>
      </c>
      <c r="FE25">
        <f>IF('Final Calculation Sheet'!$AF$25="","",'Final Calculation Sheet'!$AF$25)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s="141">
        <f>IF('Final Calculation Sheet'!$AG$25="","",'Final Calculation Sheet'!$AG$25)</f>
        <v/>
      </c>
      <c r="FK25">
        <f>IF(FJ25="","",COUNTIFS(FJ$4:FJ$40,"&lt;"&amp;FJ25,FJ$4:FJ$40,"&lt;&gt;"&amp;"")+COUNTIF(FJ$4:FJ25,FJ25))</f>
        <v/>
      </c>
      <c r="FL25" s="141">
        <f>IF(ROW()-3&gt;COUNTIF(FJ$4:FJ$40,"&lt;&gt;"&amp;""),"",INDEX(FJ$4:FJ$40,MATCH(ROW()-3,FK$4:FK$40,0)))</f>
        <v/>
      </c>
      <c r="FM25">
        <f>FM24+IF(AND(FL25&lt;&gt;"",COUNTIF(FL$4:FL25,FL25)=1),1,0)</f>
        <v/>
      </c>
      <c r="FN25">
        <f>IF(ROW()-3&gt;MAX(FM$4:FM$40),"",INDEX(FL$4:FL$40,MATCH(ROW()-3,FM$4:FM$40,0)))</f>
        <v/>
      </c>
      <c r="FO25">
        <f>IF('Final Calculation Sheet'!$AH$25="","",'Final Calculation Sheet'!$AH$25)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c r="FY25">
        <f>IF(COUNTIF('Live Search'!BM$24:BO$24,0)+COUNTIF('Live Search'!BQ$24:CU$24,0)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5">
        <f>IF($Y$25="",FALSE,SUMPRODUCT(('Final Calculation Sheet'!$B$4:$B$40=$Y$25)*($FY$6:$FY$42=1))&gt;0)</f>
        <v/>
      </c>
      <c r="GA25">
        <f>$GA$24+--($FZ$25)</f>
        <v/>
      </c>
      <c r="GB25">
        <f>IF(ROW()-3&gt;MAX($GA$4:$GA$40),"",INDEX($Y$4:$Y$40,MATCH(ROW()-3,$GA$4:$GA$40,0)))</f>
        <v/>
      </c>
      <c r="GC25">
        <f>IF(COUNTIF('Live Search'!BM$24:BM$24,0)+COUNTIF('Live Search'!BO$24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D25">
        <f>IF($O$25="",FALSE,SUMPRODUCT(('Final Calculation Sheet'!$F$4:$F$40=$O$25)*($GC$6:$GC$42=1))&gt;0)</f>
        <v/>
      </c>
      <c r="GE25">
        <f>$GE$24+--($GD25)</f>
        <v/>
      </c>
      <c r="GF25">
        <f>IF(ROW()-3&gt;MAX($GE$4:$GE$40),"",INDEX($O$4:$O$40,MATCH(ROW()-3,$GE$4:$GE$40,0)))</f>
        <v/>
      </c>
      <c r="GG25">
        <f>IF(COUNTIF('Live Search'!BM$24:BN$24,0)+COUNTIF('Live Search'!BP$24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H25">
        <f>IF($T$25="",FALSE,SUMPRODUCT(('Final Calculation Sheet'!$G$4:$G$40=$T$25)*($GG$6:$GG$42=1))&gt;0)</f>
        <v/>
      </c>
      <c r="GI25">
        <f>$GI$24+--($GH25)</f>
        <v/>
      </c>
      <c r="GJ25">
        <f>IF(ROW()-3&gt;MAX($GI$4:$GI$40),"",INDEX($T$4:$T$40,MATCH(ROW()-3,$GI$4:$GI$40,0)))</f>
        <v/>
      </c>
      <c r="GK25">
        <f>IF(COUNTIF('Live Search'!BM$24:BP$24,0)+COUNTIF('Live Search'!BR$24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L25">
        <f>IF($AD$25="",FALSE,SUMPRODUCT(('Final Calculation Sheet'!$D$4:$D$40=$AD$25)*($GK$6:$GK$42=1))&gt;0)</f>
        <v/>
      </c>
      <c r="GM25">
        <f>$GM$24+--($GL25)</f>
        <v/>
      </c>
      <c r="GN25">
        <f>IF(ROW()-3&gt;MAX($GM$4:$GM$40),"",INDEX($AD$4:$AD$40,MATCH(ROW()-3,$GM$4:$GM$40,0)))</f>
        <v/>
      </c>
      <c r="GO25">
        <f>IF(COUNTIF('Live Search'!BM$24:BQ$24,0)+COUNTIF('Live Search'!BS$24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P25">
        <f>IF($AI$25="",FALSE,SUMPRODUCT(('Final Calculation Sheet'!$A$4:$A$40=$AI$25)*($GO$6:$GO$42=1))&gt;0)</f>
        <v/>
      </c>
      <c r="GQ25">
        <f>$GQ$24+--($GP25)</f>
        <v/>
      </c>
      <c r="GR25">
        <f>IF(ROW()-3&gt;MAX($GQ$4:$GQ$40),"",INDEX($AI$4:$AI$40,MATCH(ROW()-3,$GQ$4:$GQ$40,0)))</f>
        <v/>
      </c>
      <c r="GS25">
        <f>IF(COUNTIF('Live Search'!BM$24:BR$24,0)+COUNTIF('Live Search'!BT$24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T25">
        <f>IF($AN$25="",FALSE,SUMPRODUCT(('Final Calculation Sheet'!$E$4:$E$40=$AN$25)*($GS$6:$GS$42=1))&gt;0)</f>
        <v/>
      </c>
      <c r="GU25">
        <f>$GU$24+--($GT25)</f>
        <v/>
      </c>
      <c r="GV25">
        <f>IF(ROW()-3&gt;MAX($GU$4:$GU$40),"",INDEX($AN$4:$AN$40,MATCH(ROW()-3,$GU$4:$GU$40,0)))</f>
        <v/>
      </c>
      <c r="GW25">
        <f>IF(COUNTIF('Live Search'!BM$24:BS$24,0)+COUNTIF('Live Search'!BU$24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GX25">
        <f>IF($AS$25="",FALSE,SUMPRODUCT(('Final Calculation Sheet'!$C$4:$C$40=$AS$25)*($GW$6:$GW$42=1))&gt;0)</f>
        <v/>
      </c>
      <c r="GY25">
        <f>$GY$24+--($GX25)</f>
        <v/>
      </c>
      <c r="GZ25">
        <f>IF(ROW()-3&gt;MAX($GY$4:$GY$40),"",INDEX($AS$4:$AS$40,MATCH(ROW()-3,$GY$4:$GY$40,0)))</f>
        <v/>
      </c>
      <c r="HA25">
        <f>IF(COUNTIF('Live Search'!BM$24:BT$24,0)+COUNTIF('Live Search'!BV$24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B25">
        <f>IF($AX$25="",FALSE,SUMPRODUCT(('Final Calculation Sheet'!$H$4:$H$40=$AX$25)*($HA$6:$HA$42=1))&gt;0)</f>
        <v/>
      </c>
      <c r="HC25">
        <f>$HC$24+--($HB25)</f>
        <v/>
      </c>
      <c r="HD25">
        <f>IF(ROW()-3&gt;MAX($HC$4:$HC$40),"",INDEX($AX$4:$AX$40,MATCH(ROW()-3,$HC$4:$HC$40,0)))</f>
        <v/>
      </c>
      <c r="HE25">
        <f>IF(COUNTIF('Live Search'!BM$24:BU$24,0)+COUNTIF('Live Search'!BW$24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F25">
        <f>IF($BC$25="",FALSE,SUMPRODUCT(('Final Calculation Sheet'!$I$4:$I$40=$BC$25)*($HE$6:$HE$42=1))&gt;0)</f>
        <v/>
      </c>
      <c r="HG25">
        <f>$HG$24+--($HF25)</f>
        <v/>
      </c>
      <c r="HH25">
        <f>IF(ROW()-3&gt;MAX($HG$4:$HG$40),"",INDEX($BC$4:$BC$40,MATCH(ROW()-3,$HG$4:$HG$40,0)))</f>
        <v/>
      </c>
      <c r="HI25">
        <f>IF(COUNTIF('Live Search'!BM$24:BV$24,0)+COUNTIF('Live Search'!BX$24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J25">
        <f>IF($BH$25="",FALSE,SUMPRODUCT(('Final Calculation Sheet'!$J$4:$J$40=$BH$25)*($HI$6:$HI$42=1))&gt;0)</f>
        <v/>
      </c>
      <c r="HK25">
        <f>$HK$24+--($HJ25)</f>
        <v/>
      </c>
      <c r="HL25">
        <f>IF(ROW()-3&gt;MAX($HK$4:$HK$40),"",INDEX($BH$4:$BH$40,MATCH(ROW()-3,$HK$4:$HK$40,0)))</f>
        <v/>
      </c>
      <c r="HM25">
        <f>IF(COUNTIF('Live Search'!BM$24:BW$24,0)+COUNTIF('Live Search'!BY$24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N25">
        <f>IF($BM$25="",FALSE,SUMPRODUCT(('Final Calculation Sheet'!$K$4:$K$40=$BM$25)*($HM$6:$HM$42=1))&gt;0)</f>
        <v/>
      </c>
      <c r="HO25">
        <f>$HO$24+--($HN25)</f>
        <v/>
      </c>
      <c r="HP25">
        <f>IF(ROW()-3&gt;MAX($HO$4:$HO$40),"",INDEX($BM$4:$BM$40,MATCH(ROW()-3,$HO$4:$HO$40,0)))</f>
        <v/>
      </c>
      <c r="HQ25">
        <f>IF(COUNTIF('Live Search'!BM$24:BX$24,0)+COUNTIF('Live Search'!BZ$24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R25">
        <f>IF($BR$25="",FALSE,SUMPRODUCT(('Final Calculation Sheet'!$L$4:$L$40=$BR$25)*($HQ$6:$HQ$42=1))&gt;0)</f>
        <v/>
      </c>
      <c r="HS25">
        <f>$HS$24+--($HR25)</f>
        <v/>
      </c>
      <c r="HT25">
        <f>IF(ROW()-3&gt;MAX($HS$4:$HS$40),"",INDEX($BR$4:$BR$40,MATCH(ROW()-3,$HS$4:$HS$40,0)))</f>
        <v/>
      </c>
      <c r="HU25">
        <f>IF(COUNTIF('Live Search'!BM$24:BY$24,0)+COUNTIF('Live Search'!CA$24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V25">
        <f>IF($BW$25="",FALSE,SUMPRODUCT(('Final Calculation Sheet'!$M$4:$M$40=$BW$25)*($HU$6:$HU$42=1))&gt;0)</f>
        <v/>
      </c>
      <c r="HW25">
        <f>$HW$24+--($HV25)</f>
        <v/>
      </c>
      <c r="HX25">
        <f>IF(ROW()-3&gt;MAX($HW$4:$HW$40),"",INDEX($BW$4:$BW$40,MATCH(ROW()-3,$HW$4:$HW$40,0)))</f>
        <v/>
      </c>
      <c r="HY25">
        <f>IF(COUNTIF('Live Search'!BM$24:BZ$24,0)+COUNTIF('Live Search'!CB$24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HZ25">
        <f>IF($CB$25="",FALSE,SUMPRODUCT(('Final Calculation Sheet'!$N$4:$N$40=$CB$25)*($HY$6:$HY$42=1))&gt;0)</f>
        <v/>
      </c>
      <c r="IA25">
        <f>$IA$24+--($HZ25)</f>
        <v/>
      </c>
      <c r="IB25">
        <f>IF(ROW()-3&gt;MAX($IA$4:$IA$40),"",INDEX($CB$4:$CB$40,MATCH(ROW()-3,$IA$4:$IA$40,0)))</f>
        <v/>
      </c>
      <c r="IC25">
        <f>IF(COUNTIF('Live Search'!BM$24:CA$24,0)+COUNTIF('Live Search'!CC$24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D25">
        <f>IF($CG$25="",FALSE,SUMPRODUCT(('Final Calculation Sheet'!$O$4:$O$40=$CG$25)*($IC$6:$IC$42=1))&gt;0)</f>
        <v/>
      </c>
      <c r="IE25">
        <f>$IE$24+--($ID25)</f>
        <v/>
      </c>
      <c r="IF25">
        <f>IF(ROW()-3&gt;MAX($IE$4:$IE$40),"",INDEX($CG$4:$CG$40,MATCH(ROW()-3,$IE$4:$IE$40,0)))</f>
        <v/>
      </c>
      <c r="IG25">
        <f>IF(COUNTIF('Live Search'!BM$24:CB$24,0)+COUNTIF('Live Search'!CD$24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H25">
        <f>IF($CL$25="",FALSE,SUMPRODUCT(('Final Calculation Sheet'!$P$4:$P$40=$CL$25)*($IG$6:$IG$42=1))&gt;0)</f>
        <v/>
      </c>
      <c r="II25">
        <f>$II$24+--($IH25)</f>
        <v/>
      </c>
      <c r="IJ25">
        <f>IF(ROW()-3&gt;MAX($II$4:$II$40),"",INDEX($CL$4:$CL$40,MATCH(ROW()-3,$II$4:$II$40,0)))</f>
        <v/>
      </c>
      <c r="IK25">
        <f>IF(COUNTIF('Live Search'!BM$24:CC$24,0)+COUNTIF('Live Search'!CE$24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L25">
        <f>IF($CQ$25="",FALSE,SUMPRODUCT(('Final Calculation Sheet'!$Q$4:$Q$40=$CQ$25)*($IK$6:$IK$42=1))&gt;0)</f>
        <v/>
      </c>
      <c r="IM25">
        <f>$IM$24+--($IL25)</f>
        <v/>
      </c>
      <c r="IN25">
        <f>IF(ROW()-3&gt;MAX($IM$4:$IM$40),"",INDEX($CQ$4:$CQ$40,MATCH(ROW()-3,$IM$4:$IM$40,0)))</f>
        <v/>
      </c>
      <c r="IO25">
        <f>IF(COUNTIF('Live Search'!BM$24:CD$24,0)+COUNTIF('Live Search'!CF$24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P25">
        <f>IF($CV$25="",FALSE,SUMPRODUCT(('Final Calculation Sheet'!$R$4:$R$40=$CV$25)*($IO$6:$IO$42=1))&gt;0)</f>
        <v/>
      </c>
      <c r="IQ25">
        <f>$IQ$24+--($IP25)</f>
        <v/>
      </c>
      <c r="IR25">
        <f>IF(ROW()-3&gt;MAX($IQ$4:$IQ$40),"",INDEX($CV$4:$CV$40,MATCH(ROW()-3,$IQ$4:$IQ$40,0)))</f>
        <v/>
      </c>
      <c r="IS25">
        <f>IF(COUNTIF('Live Search'!BM$24:CE$24,0)+COUNTIF('Live Search'!CG$24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T25">
        <f>IF($DA$25="",FALSE,SUMPRODUCT(('Final Calculation Sheet'!$S$4:$S$40=$DA$25)*($IS$6:$IS$42=1))&gt;0)</f>
        <v/>
      </c>
      <c r="IU25">
        <f>$IU$24+--($IT25)</f>
        <v/>
      </c>
      <c r="IV25">
        <f>IF(ROW()-3&gt;MAX($IU$4:$IU$40),"",INDEX($DA$4:$DA$40,MATCH(ROW()-3,$IU$4:$IU$40,0)))</f>
        <v/>
      </c>
      <c r="IW25">
        <f>IF(COUNTIF('Live Search'!BM$24:CF$24,0)+COUNTIF('Live Search'!CH$24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IX25">
        <f>IF($DF$25="",FALSE,SUMPRODUCT(('Final Calculation Sheet'!$T$4:$T$40=$DF$25)*($IW$6:$IW$42=1))&gt;0)</f>
        <v/>
      </c>
      <c r="IY25">
        <f>$IY$24+--($IX25)</f>
        <v/>
      </c>
      <c r="IZ25">
        <f>IF(ROW()-3&gt;MAX($IY$4:$IY$40),"",INDEX($DF$4:$DF$40,MATCH(ROW()-3,$IY$4:$IY$40,0)))</f>
        <v/>
      </c>
      <c r="JA25">
        <f>IF(COUNTIF('Live Search'!BM$24:CG$24,0)+COUNTIF('Live Search'!CI$24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B25">
        <f>IF($DK$25="",FALSE,SUMPRODUCT(('Final Calculation Sheet'!$U$4:$U$40=$DK$25)*($JA$6:$JA$42=1))&gt;0)</f>
        <v/>
      </c>
      <c r="JC25">
        <f>$JC$24+--($JB25)</f>
        <v/>
      </c>
      <c r="JD25">
        <f>IF(ROW()-3&gt;MAX($JC$4:$JC$40),"",INDEX($DK$4:$DK$40,MATCH(ROW()-3,$JC$4:$JC$40,0)))</f>
        <v/>
      </c>
      <c r="JE25">
        <f>IF(COUNTIF('Live Search'!BM$24:CH$24,0)+COUNTIF('Live Search'!CJ$24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F25">
        <f>IF($DP$25="",FALSE,SUMPRODUCT(('Final Calculation Sheet'!$V$4:$V$40=$DP$25)*($JE$6:$JE$42=1))&gt;0)</f>
        <v/>
      </c>
      <c r="JG25">
        <f>$JG$24+--($JF25)</f>
        <v/>
      </c>
      <c r="JH25">
        <f>IF(ROW()-3&gt;MAX($JG$4:$JG$40),"",INDEX($DP$4:$DP$40,MATCH(ROW()-3,$JG$4:$JG$40,0)))</f>
        <v/>
      </c>
      <c r="JI25">
        <f>IF(COUNTIF('Live Search'!BM$24:CI$24,0)+COUNTIF('Live Search'!CK$24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J25">
        <f>IF($DU$25="",FALSE,SUMPRODUCT(('Final Calculation Sheet'!$W$4:$W$40=$DU$25)*($JI$6:$JI$42=1))&gt;0)</f>
        <v/>
      </c>
      <c r="JK25">
        <f>$JK$24+--($JJ25)</f>
        <v/>
      </c>
      <c r="JL25">
        <f>IF(ROW()-3&gt;MAX($JK$4:$JK$40),"",INDEX($DU$4:$DU$40,MATCH(ROW()-3,$JK$4:$JK$40,0)))</f>
        <v/>
      </c>
      <c r="JM25">
        <f>IF(COUNTIF('Live Search'!BM$24:CJ$24,0)+COUNTIF('Live Search'!CL$24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N25">
        <f>IF($DZ$25="",FALSE,SUMPRODUCT(('Final Calculation Sheet'!$X$4:$X$40=$DZ$25)*($JM$6:$JM$42=1))&gt;0)</f>
        <v/>
      </c>
      <c r="JO25">
        <f>$JO$24+--($JN25)</f>
        <v/>
      </c>
      <c r="JP25">
        <f>IF(ROW()-3&gt;MAX($JO$4:$JO$40),"",INDEX($DZ$4:$DZ$40,MATCH(ROW()-3,$JO$4:$JO$40,0)))</f>
        <v/>
      </c>
      <c r="JQ25">
        <f>IF(COUNTIF('Live Search'!BM$24:CK$24,0)+COUNTIF('Live Search'!C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R25">
        <f>IF($EE$25="",FALSE,SUMPRODUCT(('Final Calculation Sheet'!$Y$4:$Y$40=$EE$25)*($JQ$6:$JQ$42=1))&gt;0)</f>
        <v/>
      </c>
      <c r="JS25">
        <f>$JS$24+--($JR25)</f>
        <v/>
      </c>
      <c r="JT25">
        <f>IF(ROW()-3&gt;MAX($JS$4:$JS$40),"",INDEX($EE$4:$EE$40,MATCH(ROW()-3,$JS$4:$JS$40,0)))</f>
        <v/>
      </c>
      <c r="JU25">
        <f>IF(COUNTIF('Live Search'!BM$24:CL$24,0)+COUNTIF('Live Search'!CN$24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V25">
        <f>IF($EJ$25="",FALSE,SUMPRODUCT(('Final Calculation Sheet'!$Z$4:$Z$40=$EJ$25)*($JU$6:$JU$42=1))&gt;0)</f>
        <v/>
      </c>
      <c r="JW25">
        <f>$JW$24+--($JV25)</f>
        <v/>
      </c>
      <c r="JX25">
        <f>IF(ROW()-3&gt;MAX($JW$4:$JW$40),"",INDEX($EJ$4:$EJ$40,MATCH(ROW()-3,$JW$4:$JW$40,0)))</f>
        <v/>
      </c>
      <c r="JY25">
        <f>IF(COUNTIF('Live Search'!BM$24:CM$24,0)+COUNTIF('Live Search'!CO$24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JZ25">
        <f>IF($EO$25="",FALSE,SUMPRODUCT(('Final Calculation Sheet'!$AA$4:$AA$40=$EO$25)*($JY$6:$JY$42=1))&gt;0)</f>
        <v/>
      </c>
      <c r="KA25">
        <f>$KA$24+--($JZ25)</f>
        <v/>
      </c>
      <c r="KB25">
        <f>IF(ROW()-3&gt;MAX($KA$4:$KA$40),"",INDEX($EO$4:$EO$40,MATCH(ROW()-3,$KA$4:$KA$40,0)))</f>
        <v/>
      </c>
      <c r="KC25">
        <f>IF(COUNTIF('Live Search'!BM$24:CN$24,0)+COUNTIF('Live Search'!CP$24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D25">
        <f>IF($ET$25="",FALSE,SUMPRODUCT(('Final Calculation Sheet'!$AB$4:$AB$40=$ET$25)*($KC$6:$KC$42=1))&gt;0)</f>
        <v/>
      </c>
      <c r="KE25">
        <f>$KE$24+--($KD25)</f>
        <v/>
      </c>
      <c r="KF25">
        <f>IF(ROW()-3&gt;MAX($KE$4:$KE$40),"",INDEX($ET$4:$ET$40,MATCH(ROW()-3,$KE$4:$KE$40,0)))</f>
        <v/>
      </c>
      <c r="KG25">
        <f>IF(COUNTIF('Live Search'!BM$24:CO$24,0)+COUNTIF('Live Search'!CQ$24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H25">
        <f>IF($EY$25="",FALSE,SUMPRODUCT(('Final Calculation Sheet'!$AC$4:$AC$40=$EY$25)*($KG$6:$KG$42=1))&gt;0)</f>
        <v/>
      </c>
      <c r="KI25">
        <f>$KI$24+--($KH25)</f>
        <v/>
      </c>
      <c r="KJ25">
        <f>IF(ROW()-3&gt;MAX($KI$4:$KI$40),"",INDEX($EY$4:$EY$40,MATCH(ROW()-3,$KI$4:$KI$40,0)))</f>
        <v/>
      </c>
      <c r="KK25">
        <f>IF(COUNTIF('Live Search'!BM$24:CP$24,0)+COUNTIF('Live Search'!CR$24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L25">
        <f>IF($FD$25="",FALSE,SUMPRODUCT(('Final Calculation Sheet'!$AD$4:$AD$40=$FD$25)*($KK$6:$KK$42=1))&gt;0)</f>
        <v/>
      </c>
      <c r="KM25">
        <f>$KM$24+--($KL25)</f>
        <v/>
      </c>
      <c r="KN25">
        <f>IF(ROW()-3&gt;MAX($KM$4:$KM$40),"",INDEX($FD$4:$FD$40,MATCH(ROW()-3,$KM$4:$KM$40,0)))</f>
        <v/>
      </c>
      <c r="KO25">
        <f>IF(COUNTIF('Live Search'!BM$24:CT$24,0)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P25">
        <f>IF($FX$25="",FALSE,SUMPRODUCT((IF('Final Calculation Sheet'!$AD$4:$AD$40&lt;=5,"SETTLED","OUTSTANDING")=$FX$25)*($KO$6:$KO$42=1))&gt;0)</f>
        <v/>
      </c>
      <c r="KQ25">
        <f>$KQ$24+--($KP25)</f>
        <v/>
      </c>
      <c r="KR25">
        <f>IF(ROW()-3&gt;MAX($KQ$4:$KQ$40),"",INDEX($FX$4:$FX$40,MATCH(ROW()-3,$KQ$4:$KQ$40,0)))</f>
        <v/>
      </c>
      <c r="KS25">
        <f>IF(COUNTIF('Live Search'!BM$24:CQ$24,0)+COUNTIF('Live Search'!CS$24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T25">
        <f>IF($FI$25="",FALSE,SUMPRODUCT(('Final Calculation Sheet'!$AF$4:$AF$40=$FI$25)*($KS$6:$KS$42=1))&gt;0)</f>
        <v/>
      </c>
      <c r="KU25">
        <f>$KU$24+--($KT25)</f>
        <v/>
      </c>
      <c r="KV25">
        <f>IF(ROW()-3&gt;MAX($KU$4:$KU$40),"",INDEX($FI$4:$FI$40,MATCH(ROW()-3,$KU$4:$KU$40,0)))</f>
        <v/>
      </c>
      <c r="KW25">
        <f>IF(COUNTIF('Live Search'!BM$24:CR$24,0)+COUNTIF('Live Search'!CT$24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KX25">
        <f>IF($FN$25="",FALSE,SUMPRODUCT(('Final Calculation Sheet'!$AG$4:$AG$40=$FN$25)*($KW$6:$KW$42=1))&gt;0)</f>
        <v/>
      </c>
      <c r="KY25">
        <f>$KY$24+--($KX25)</f>
        <v/>
      </c>
      <c r="KZ25">
        <f>IF(ROW()-3&gt;MAX($KY$4:$KY$40),"",INDEX($FN$4:$FN$40,MATCH(ROW()-3,$KY$4:$KY$40,0)))</f>
        <v/>
      </c>
      <c r="LA25">
        <f>IF(COUNTIF('Live Search'!BM$24:CS$24,0)+COUNTIF('Live Search'!CU$24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LB25">
        <f>IF($FS$25="",FALSE,SUMPRODUCT(('Final Calculation Sheet'!$AH$4:$AH$40=$FS$25)*($LA$6:$LA$42=1))&gt;0)</f>
        <v/>
      </c>
      <c r="LC25">
        <f>$LC$24+--($LB25)</f>
        <v/>
      </c>
      <c r="LD25">
        <f>IF(ROW()-3&gt;MAX($LC$4:$LC$40),"",INDEX($FS$4:$FS$40,MATCH(ROW()-3,$LC$4:$LC$40,0)))</f>
        <v/>
      </c>
      <c r="LE25">
        <f>IF(COUNTIF('Buyer Groups'!DH78:EN78,0)&gt;0,0,1)</f>
        <v/>
      </c>
      <c r="LF25">
        <f>IF($O$25="",FALSE,SUMPRODUCT(('Final Calculation Sheet'!$F$4:$F$40=$O$25)*($LE$6:$LE$42=1))&gt;0)</f>
        <v/>
      </c>
      <c r="LG25">
        <f>$LG$24+--($LF25)</f>
        <v/>
      </c>
      <c r="LH25">
        <f>IF(ROW()-3&gt;MAX($LG$4:$LG$40),"",INDEX($O$4:$O$40,MATCH(ROW()-3,$LG$4:$LG$40,0)))</f>
        <v/>
      </c>
      <c r="LI25">
        <f>IF(COUNTIF('Buyer Groups'!DG78:DG78,0)+COUNTIF('Buyer Groups'!DI78:EN78,0)&gt;0,0,1)</f>
        <v/>
      </c>
      <c r="LJ25">
        <f>IF($T$25="",FALSE,SUMPRODUCT(('Final Calculation Sheet'!$G$4:$G$40=$T$25)*($LI$6:$LI$42=1))&gt;0)</f>
        <v/>
      </c>
      <c r="LK25">
        <f>$LK$24+--($LJ25)</f>
        <v/>
      </c>
      <c r="LL25">
        <f>IF(ROW()-3&gt;MAX($LK$4:$LK$40),"",INDEX($T$4:$T$40,MATCH(ROW()-3,$LK$4:$LK$40,0)))</f>
        <v/>
      </c>
      <c r="LM25">
        <f>IF(COUNTIF('Buyer Groups'!DG78:DH78,0)+COUNTIF('Buyer Groups'!DJ78:EN78,0)&gt;0,0,1)</f>
        <v/>
      </c>
      <c r="LN25">
        <f>IF($Y$25="",FALSE,SUMPRODUCT(('Final Calculation Sheet'!$B$4:$B$40=$Y$25)*($LM$6:$LM$42=1))&gt;0)</f>
        <v/>
      </c>
      <c r="LO25">
        <f>$LO$24+--($LN25)</f>
        <v/>
      </c>
      <c r="LP25">
        <f>IF(ROW()-3&gt;MAX($LO$4:$LO$40),"",INDEX($Y$4:$Y$40,MATCH(ROW()-3,$LO$4:$LO$40,0)))</f>
        <v/>
      </c>
      <c r="LQ25">
        <f>IF(COUNTIF('Buyer Groups'!DG78:DI78,0)+COUNTIF('Buyer Groups'!DK78:EN78,0)&gt;0,0,1)</f>
        <v/>
      </c>
      <c r="LR25">
        <f>IF($AD$25="",FALSE,SUMPRODUCT(('Final Calculation Sheet'!$D$4:$D$40=$AD$25)*($LQ$6:$LQ$42=1))&gt;0)</f>
        <v/>
      </c>
      <c r="LS25">
        <f>$LS$24+--($LR25)</f>
        <v/>
      </c>
      <c r="LT25">
        <f>IF(ROW()-3&gt;MAX($LS$4:$LS$40),"",INDEX($AD$4:$AD$40,MATCH(ROW()-3,$LS$4:$LS$40,0)))</f>
        <v/>
      </c>
      <c r="LU25">
        <f>IF(COUNTIF('Buyer Groups'!DG78:DJ78,0)+COUNTIF('Buyer Groups'!DL78:EN78,0)&gt;0,0,1)</f>
        <v/>
      </c>
      <c r="LV25">
        <f>IF($AI$25="",FALSE,SUMPRODUCT(('Final Calculation Sheet'!$A$4:$A$40=$AI$25)*($LU$6:$LU$42=1))&gt;0)</f>
        <v/>
      </c>
      <c r="LW25">
        <f>$LW$24+--($LV25)</f>
        <v/>
      </c>
      <c r="LX25">
        <f>IF(ROW()-3&gt;MAX($LW$4:$LW$40),"",INDEX($AI$4:$AI$40,MATCH(ROW()-3,$LW$4:$LW$40,0)))</f>
        <v/>
      </c>
      <c r="LY25">
        <f>IF(COUNTIF('Buyer Groups'!DG78:DK78,0)+COUNTIF('Buyer Groups'!DM78:EN78,0)&gt;0,0,1)</f>
        <v/>
      </c>
      <c r="LZ25">
        <f>IF($AN$25="",FALSE,SUMPRODUCT(('Final Calculation Sheet'!$E$4:$E$40=$AN$25)*($LY$6:$LY$42=1))&gt;0)</f>
        <v/>
      </c>
      <c r="MA25">
        <f>$MA$24+--($LZ25)</f>
        <v/>
      </c>
      <c r="MB25">
        <f>IF(ROW()-3&gt;MAX($MA$4:$MA$40),"",INDEX($AN$4:$AN$40,MATCH(ROW()-3,$MA$4:$MA$40,0)))</f>
        <v/>
      </c>
      <c r="MC25">
        <f>IF(COUNTIF('Buyer Groups'!DG78:DL78,0)+COUNTIF('Buyer Groups'!DN78:EN78,0)&gt;0,0,1)</f>
        <v/>
      </c>
      <c r="MD25">
        <f>IF($AS$25="",FALSE,SUMPRODUCT(('Final Calculation Sheet'!$C$4:$C$40=$AS$25)*($MC$6:$MC$42=1))&gt;0)</f>
        <v/>
      </c>
      <c r="ME25">
        <f>$ME$24+--($MD25)</f>
        <v/>
      </c>
      <c r="MF25">
        <f>IF(ROW()-3&gt;MAX($ME$4:$ME$40),"",INDEX($AS$4:$AS$40,MATCH(ROW()-3,$ME$4:$ME$40,0)))</f>
        <v/>
      </c>
      <c r="MG25">
        <f>IF(COUNTIF('Buyer Groups'!DG78:DM78,0)+COUNTIF('Buyer Groups'!DO78:EN78,0)&gt;0,0,1)</f>
        <v/>
      </c>
      <c r="MH25">
        <f>IF($AX$25="",FALSE,SUMPRODUCT(('Final Calculation Sheet'!$H$4:$H$40=$AX$25)*($MG$6:$MG$42=1))&gt;0)</f>
        <v/>
      </c>
      <c r="MI25">
        <f>$MI$24+--($MH25)</f>
        <v/>
      </c>
      <c r="MJ25">
        <f>IF(ROW()-3&gt;MAX($MI$4:$MI$40),"",INDEX($AX$4:$AX$40,MATCH(ROW()-3,$MI$4:$MI$40,0)))</f>
        <v/>
      </c>
      <c r="MK25">
        <f>IF(COUNTIF('Buyer Groups'!DG78:DN78,0)+COUNTIF('Buyer Groups'!DP78:EN78,0)&gt;0,0,1)</f>
        <v/>
      </c>
      <c r="ML25">
        <f>IF($BC$25="",FALSE,SUMPRODUCT(('Final Calculation Sheet'!$I$4:$I$40=$BC$25)*($MK$6:$MK$42=1))&gt;0)</f>
        <v/>
      </c>
      <c r="MM25">
        <f>$MM$24+--($ML25)</f>
        <v/>
      </c>
      <c r="MN25">
        <f>IF(ROW()-3&gt;MAX($MM$4:$MM$40),"",INDEX($BC$4:$BC$40,MATCH(ROW()-3,$MM$4:$MM$40,0)))</f>
        <v/>
      </c>
      <c r="MO25">
        <f>IF(COUNTIF('Buyer Groups'!DG78:DO78,0)+COUNTIF('Buyer Groups'!DQ78:EN78,0)&gt;0,0,1)</f>
        <v/>
      </c>
      <c r="MP25">
        <f>IF($BH$25="",FALSE,SUMPRODUCT(('Final Calculation Sheet'!$J$4:$J$40=$BH$25)*($MO$6:$MO$42=1))&gt;0)</f>
        <v/>
      </c>
      <c r="MQ25">
        <f>$MQ$24+--($MP25)</f>
        <v/>
      </c>
      <c r="MR25">
        <f>IF(ROW()-3&gt;MAX($MQ$4:$MQ$40),"",INDEX($BH$4:$BH$40,MATCH(ROW()-3,$MQ$4:$MQ$40,0)))</f>
        <v/>
      </c>
      <c r="MS25">
        <f>IF(COUNTIF('Buyer Groups'!DG78:DP78,0)+COUNTIF('Buyer Groups'!DR78:EN78,0)&gt;0,0,1)</f>
        <v/>
      </c>
      <c r="MT25">
        <f>IF($BM$25="",FALSE,SUMPRODUCT(('Final Calculation Sheet'!$K$4:$K$40=$BM$25)*($MS$6:$MS$42=1))&gt;0)</f>
        <v/>
      </c>
      <c r="MU25">
        <f>$MU$24+--($MT25)</f>
        <v/>
      </c>
      <c r="MV25">
        <f>IF(ROW()-3&gt;MAX($MU$4:$MU$40),"",INDEX($BM$4:$BM$40,MATCH(ROW()-3,$MU$4:$MU$40,0)))</f>
        <v/>
      </c>
      <c r="MW25">
        <f>IF(COUNTIF('Buyer Groups'!DG78:DQ78,0)+COUNTIF('Buyer Groups'!DS78:EN78,0)&gt;0,0,1)</f>
        <v/>
      </c>
      <c r="MX25">
        <f>IF($BR$25="",FALSE,SUMPRODUCT(('Final Calculation Sheet'!$L$4:$L$40=$BR$25)*($MW$6:$MW$42=1))&gt;0)</f>
        <v/>
      </c>
      <c r="MY25">
        <f>$MY$24+--($MX25)</f>
        <v/>
      </c>
      <c r="MZ25">
        <f>IF(ROW()-3&gt;MAX($MY$4:$MY$40),"",INDEX($BR$4:$BR$40,MATCH(ROW()-3,$MY$4:$MY$40,0)))</f>
        <v/>
      </c>
      <c r="NA25">
        <f>IF(COUNTIF('Buyer Groups'!DG78:DR78,0)+COUNTIF('Buyer Groups'!DT78:EN78,0)&gt;0,0,1)</f>
        <v/>
      </c>
      <c r="NB25">
        <f>IF($BW$25="",FALSE,SUMPRODUCT(('Final Calculation Sheet'!$M$4:$M$40=$BW$25)*($NA$6:$NA$42=1))&gt;0)</f>
        <v/>
      </c>
      <c r="NC25">
        <f>$NC$24+--($NB25)</f>
        <v/>
      </c>
      <c r="ND25">
        <f>IF(ROW()-3&gt;MAX($NC$4:$NC$40),"",INDEX($BW$4:$BW$40,MATCH(ROW()-3,$NC$4:$NC$40,0)))</f>
        <v/>
      </c>
      <c r="NE25">
        <f>IF(COUNTIF('Buyer Groups'!DG78:DS78,0)+COUNTIF('Buyer Groups'!DU78:EN78,0)&gt;0,0,1)</f>
        <v/>
      </c>
      <c r="NF25">
        <f>IF($CB$25="",FALSE,SUMPRODUCT(('Final Calculation Sheet'!$N$4:$N$40=$CB$25)*($NE$6:$NE$42=1))&gt;0)</f>
        <v/>
      </c>
      <c r="NG25">
        <f>$NG$24+--($NF25)</f>
        <v/>
      </c>
      <c r="NH25">
        <f>IF(ROW()-3&gt;MAX($NG$4:$NG$40),"",INDEX($CB$4:$CB$40,MATCH(ROW()-3,$NG$4:$NG$40,0)))</f>
        <v/>
      </c>
      <c r="NI25">
        <f>IF(COUNTIF('Buyer Groups'!DG78:DT78,0)+COUNTIF('Buyer Groups'!DV78:EN78,0)&gt;0,0,1)</f>
        <v/>
      </c>
      <c r="NJ25">
        <f>IF($CG$25="",FALSE,SUMPRODUCT(('Final Calculation Sheet'!$O$4:$O$40=$CG$25)*($NI$6:$NI$42=1))&gt;0)</f>
        <v/>
      </c>
      <c r="NK25">
        <f>$NK$24+--($NJ25)</f>
        <v/>
      </c>
      <c r="NL25">
        <f>IF(ROW()-3&gt;MAX($NK$4:$NK$40),"",INDEX($CG$4:$CG$40,MATCH(ROW()-3,$NK$4:$NK$40,0)))</f>
        <v/>
      </c>
      <c r="NM25">
        <f>IF(COUNTIF('Buyer Groups'!DG78:DU78,0)+COUNTIF('Buyer Groups'!DW78:EN78,0)&gt;0,0,1)</f>
        <v/>
      </c>
      <c r="NN25">
        <f>IF($CL$25="",FALSE,SUMPRODUCT(('Final Calculation Sheet'!$P$4:$P$40=$CL$25)*($NM$6:$NM$42=1))&gt;0)</f>
        <v/>
      </c>
      <c r="NO25">
        <f>$NO$24+--($NN25)</f>
        <v/>
      </c>
      <c r="NP25">
        <f>IF(ROW()-3&gt;MAX($NO$4:$NO$40),"",INDEX($CL$4:$CL$40,MATCH(ROW()-3,$NO$4:$NO$40,0)))</f>
        <v/>
      </c>
      <c r="NQ25">
        <f>IF(COUNTIF('Buyer Groups'!DG78:DV78,0)+COUNTIF('Buyer Groups'!DX78:EN78,0)&gt;0,0,1)</f>
        <v/>
      </c>
      <c r="NR25">
        <f>IF($CQ$25="",FALSE,SUMPRODUCT(('Final Calculation Sheet'!$Q$4:$Q$40=$CQ$25)*($NQ$6:$NQ$42=1))&gt;0)</f>
        <v/>
      </c>
      <c r="NS25">
        <f>$NS$24+--($NR25)</f>
        <v/>
      </c>
      <c r="NT25">
        <f>IF(ROW()-3&gt;MAX($NS$4:$NS$40),"",INDEX($CQ$4:$CQ$40,MATCH(ROW()-3,$NS$4:$NS$40,0)))</f>
        <v/>
      </c>
      <c r="NU25">
        <f>IF(COUNTIF('Buyer Groups'!DG78:DW78,0)+COUNTIF('Buyer Groups'!DY78:EN78,0)&gt;0,0,1)</f>
        <v/>
      </c>
      <c r="NV25">
        <f>IF($CV$25="",FALSE,SUMPRODUCT(('Final Calculation Sheet'!$R$4:$R$40=$CV$25)*($NU$6:$NU$42=1))&gt;0)</f>
        <v/>
      </c>
      <c r="NW25">
        <f>$NW$24+--($NV25)</f>
        <v/>
      </c>
      <c r="NX25">
        <f>IF(ROW()-3&gt;MAX($NW$4:$NW$40),"",INDEX($CV$4:$CV$40,MATCH(ROW()-3,$NW$4:$NW$40,0)))</f>
        <v/>
      </c>
      <c r="NY25">
        <f>IF(COUNTIF('Buyer Groups'!DG78:DX78,0)+COUNTIF('Buyer Groups'!DZ78:EN78,0)&gt;0,0,1)</f>
        <v/>
      </c>
      <c r="NZ25">
        <f>IF($DA$25="",FALSE,SUMPRODUCT(('Final Calculation Sheet'!$S$4:$S$40=$DA$25)*($NY$6:$NY$42=1))&gt;0)</f>
        <v/>
      </c>
      <c r="OA25">
        <f>$OA$24+--($NZ25)</f>
        <v/>
      </c>
      <c r="OB25">
        <f>IF(ROW()-3&gt;MAX($OA$4:$OA$40),"",INDEX($DA$4:$DA$40,MATCH(ROW()-3,$OA$4:$OA$40,0)))</f>
        <v/>
      </c>
      <c r="OC25">
        <f>IF(COUNTIF('Buyer Groups'!DG78:DY78,0)+COUNTIF('Buyer Groups'!EA78:EN78,0)&gt;0,0,1)</f>
        <v/>
      </c>
      <c r="OD25">
        <f>IF($DF$25="",FALSE,SUMPRODUCT(('Final Calculation Sheet'!$T$4:$T$40=$DF$25)*($OC$6:$OC$42=1))&gt;0)</f>
        <v/>
      </c>
      <c r="OE25">
        <f>$OE$24+--($OD25)</f>
        <v/>
      </c>
      <c r="OF25">
        <f>IF(ROW()-3&gt;MAX($OE$4:$OE$40),"",INDEX($DF$4:$DF$40,MATCH(ROW()-3,$OE$4:$OE$40,0)))</f>
        <v/>
      </c>
      <c r="OG25">
        <f>IF(COUNTIF('Buyer Groups'!DG78:DZ78,0)+COUNTIF('Buyer Groups'!EB78:EN78,0)&gt;0,0,1)</f>
        <v/>
      </c>
      <c r="OH25">
        <f>IF($DK$25="",FALSE,SUMPRODUCT(('Final Calculation Sheet'!$U$4:$U$40=$DK$25)*($OG$6:$OG$42=1))&gt;0)</f>
        <v/>
      </c>
      <c r="OI25">
        <f>$OI$24+--($OH25)</f>
        <v/>
      </c>
      <c r="OJ25">
        <f>IF(ROW()-3&gt;MAX($OI$4:$OI$40),"",INDEX($DK$4:$DK$40,MATCH(ROW()-3,$OI$4:$OI$40,0)))</f>
        <v/>
      </c>
      <c r="OK25">
        <f>IF(COUNTIF('Buyer Groups'!DG78:EA78,0)+COUNTIF('Buyer Groups'!EC78:EN78,0)&gt;0,0,1)</f>
        <v/>
      </c>
      <c r="OL25">
        <f>IF($DP$25="",FALSE,SUMPRODUCT(('Final Calculation Sheet'!$V$4:$V$40=$DP$25)*($OK$6:$OK$42=1))&gt;0)</f>
        <v/>
      </c>
      <c r="OM25">
        <f>$OM$24+--($OL25)</f>
        <v/>
      </c>
      <c r="ON25">
        <f>IF(ROW()-3&gt;MAX($OM$4:$OM$40),"",INDEX($DP$4:$DP$40,MATCH(ROW()-3,$OM$4:$OM$40,0)))</f>
        <v/>
      </c>
      <c r="OO25">
        <f>IF(COUNTIF('Buyer Groups'!DG78:EB78,0)+COUNTIF('Buyer Groups'!ED78:EN78,0)&gt;0,0,1)</f>
        <v/>
      </c>
      <c r="OP25">
        <f>IF($DU$25="",FALSE,SUMPRODUCT(('Final Calculation Sheet'!$W$4:$W$40=$DU$25)*($OO$6:$OO$42=1))&gt;0)</f>
        <v/>
      </c>
      <c r="OQ25">
        <f>$OQ$24+--($OP25)</f>
        <v/>
      </c>
      <c r="OR25">
        <f>IF(ROW()-3&gt;MAX($OQ$4:$OQ$40),"",INDEX($DU$4:$DU$40,MATCH(ROW()-3,$OQ$4:$OQ$40,0)))</f>
        <v/>
      </c>
      <c r="OS25">
        <f>IF(COUNTIF('Buyer Groups'!DG78:EC78,0)+COUNTIF('Buyer Groups'!EE78:EN78,0)&gt;0,0,1)</f>
        <v/>
      </c>
      <c r="OT25">
        <f>IF($DZ$25="",FALSE,SUMPRODUCT(('Final Calculation Sheet'!$X$4:$X$40=$DZ$25)*($OS$6:$OS$42=1))&gt;0)</f>
        <v/>
      </c>
      <c r="OU25">
        <f>$OU$24+--($OT25)</f>
        <v/>
      </c>
      <c r="OV25">
        <f>IF(ROW()-3&gt;MAX($OU$4:$OU$40),"",INDEX($DZ$4:$DZ$40,MATCH(ROW()-3,$OU$4:$OU$40,0)))</f>
        <v/>
      </c>
      <c r="OW25">
        <f>IF(COUNTIF('Buyer Groups'!DG78:ED78,0)+COUNTIF('Buyer Groups'!EF78:EN78,0)&gt;0,0,1)</f>
        <v/>
      </c>
      <c r="OX25">
        <f>IF($EE$25="",FALSE,SUMPRODUCT(('Final Calculation Sheet'!$Y$4:$Y$40=$EE$25)*($OW$6:$OW$42=1))&gt;0)</f>
        <v/>
      </c>
      <c r="OY25">
        <f>$OY$24+--($OX25)</f>
        <v/>
      </c>
      <c r="OZ25">
        <f>IF(ROW()-3&gt;MAX($OY$4:$OY$40),"",INDEX($EE$4:$EE$40,MATCH(ROW()-3,$OY$4:$OY$40,0)))</f>
        <v/>
      </c>
      <c r="PA25">
        <f>IF(COUNTIF('Buyer Groups'!DG78:EE78,0)+COUNTIF('Buyer Groups'!EG78:EN78,0)&gt;0,0,1)</f>
        <v/>
      </c>
      <c r="PB25">
        <f>IF($EJ$25="",FALSE,SUMPRODUCT(('Final Calculation Sheet'!$Z$4:$Z$40=$EJ$25)*($PA$6:$PA$42=1))&gt;0)</f>
        <v/>
      </c>
      <c r="PC25">
        <f>$PC$24+--($PB25)</f>
        <v/>
      </c>
      <c r="PD25">
        <f>IF(ROW()-3&gt;MAX($PC$4:$PC$40),"",INDEX($EJ$4:$EJ$40,MATCH(ROW()-3,$PC$4:$PC$40,0)))</f>
        <v/>
      </c>
      <c r="PE25">
        <f>IF(COUNTIF('Buyer Groups'!DG78:EF78,0)+COUNTIF('Buyer Groups'!EH78:EN78,0)&gt;0,0,1)</f>
        <v/>
      </c>
      <c r="PF25">
        <f>IF($EO$25="",FALSE,SUMPRODUCT(('Final Calculation Sheet'!$AA$4:$AA$40=$EO$25)*($PE$6:$PE$42=1))&gt;0)</f>
        <v/>
      </c>
      <c r="PG25">
        <f>$PG$24+--($PF25)</f>
        <v/>
      </c>
      <c r="PH25">
        <f>IF(ROW()-3&gt;MAX($PG$4:$PG$40),"",INDEX($EO$4:$EO$40,MATCH(ROW()-3,$PG$4:$PG$40,0)))</f>
        <v/>
      </c>
      <c r="PI25">
        <f>IF(COUNTIF('Buyer Groups'!DG78:EG78,0)+COUNTIF('Buyer Groups'!EI78:EN78,0)&gt;0,0,1)</f>
        <v/>
      </c>
      <c r="PJ25">
        <f>IF($ET$25="",FALSE,SUMPRODUCT(('Final Calculation Sheet'!$AB$4:$AB$40=$ET$25)*($PI$6:$PI$42=1))&gt;0)</f>
        <v/>
      </c>
      <c r="PK25">
        <f>$PK$24+--($PJ25)</f>
        <v/>
      </c>
      <c r="PL25">
        <f>IF(ROW()-3&gt;MAX($PK$4:$PK$40),"",INDEX($ET$4:$ET$40,MATCH(ROW()-3,$PK$4:$PK$40,0)))</f>
        <v/>
      </c>
      <c r="PM25">
        <f>IF(COUNTIF('Buyer Groups'!DG78:EH78,0)+COUNTIF('Buyer Groups'!EJ78:EN78,0)&gt;0,0,1)</f>
        <v/>
      </c>
      <c r="PN25">
        <f>IF($EY$25="",FALSE,SUMPRODUCT(('Final Calculation Sheet'!$AC$4:$AC$40=$EY$25)*($PM$6:$PM$42=1))&gt;0)</f>
        <v/>
      </c>
      <c r="PO25">
        <f>$PO$24+--($PN25)</f>
        <v/>
      </c>
      <c r="PP25">
        <f>IF(ROW()-3&gt;MAX($PO$4:$PO$40),"",INDEX($EY$4:$EY$40,MATCH(ROW()-3,$PO$4:$PO$40,0)))</f>
        <v/>
      </c>
      <c r="PQ25">
        <f>IF(COUNTIF('Buyer Groups'!DG78:EI78,0)+COUNTIF('Buyer Groups'!EK78:EN78,0)&gt;0,0,1)</f>
        <v/>
      </c>
      <c r="PR25">
        <f>IF($FD$25="",FALSE,SUMPRODUCT(('Final Calculation Sheet'!$AD$4:$AD$40=$FD$25)*($PQ$6:$PQ$42=1))&gt;0)</f>
        <v/>
      </c>
      <c r="PS25">
        <f>$PS$24+--($PR25)</f>
        <v/>
      </c>
      <c r="PT25">
        <f>IF(ROW()-3&gt;MAX($PS$4:$PS$40),"",INDEX($FD$4:$FD$40,MATCH(ROW()-3,$PS$4:$PS$40,0)))</f>
        <v/>
      </c>
      <c r="PU25">
        <f>IF(COUNTIF('Buyer Groups'!DG78:EJ78,0)+COUNTIF('Buyer Groups'!EL78:EN78,0)&gt;0,0,1)</f>
        <v/>
      </c>
      <c r="PV25">
        <f>IF($FX$25="",FALSE,SUMPRODUCT((IF('Final Calculation Sheet'!$AD$4:$AD$40&lt;=5,"SETTLED","OUTSTANDING")=$FX$25)*($PU$6:$PU$42=1))&gt;0)</f>
        <v/>
      </c>
      <c r="PW25">
        <f>$PW$24+--($PV25)</f>
        <v/>
      </c>
      <c r="PX25">
        <f>IF(ROW()-3&gt;MAX($PW$4:$PW$40),"",INDEX($FX$4:$FX$40,MATCH(ROW()-3,$PW$4:$PW$40,0)))</f>
        <v/>
      </c>
      <c r="PY25">
        <f>IF(COUNTIF('Buyer Groups'!DG78:EK78,0)+COUNTIF('Buyer Groups'!EM78:EN78,0)&gt;0,0,1)</f>
        <v/>
      </c>
      <c r="PZ25">
        <f>IF($FI$25="",FALSE,SUMPRODUCT(('Final Calculation Sheet'!$AF$4:$AF$40=$FI$25)*($PY$6:$PY$42=1))&gt;0)</f>
        <v/>
      </c>
      <c r="QA25">
        <f>$QA$24+--($PZ25)</f>
        <v/>
      </c>
      <c r="QB25">
        <f>IF(ROW()-3&gt;MAX($QA$4:$QA$40),"",INDEX($FI$4:$FI$40,MATCH(ROW()-3,$QA$4:$QA$40,0)))</f>
        <v/>
      </c>
      <c r="QC25">
        <f>IF(COUNTIF('Buyer Groups'!DG78:EL78,0)+COUNTIF('Buyer Groups'!EN78:EN78,0)&gt;0,0,1)</f>
        <v/>
      </c>
      <c r="QD25">
        <f>IF($FN$25="",FALSE,SUMPRODUCT(('Final Calculation Sheet'!$AG$4:$AG$40=$FN$25)*($QC$6:$QC$42=1))&gt;0)</f>
        <v/>
      </c>
      <c r="QE25">
        <f>$QE$24+--($QD25)</f>
        <v/>
      </c>
      <c r="QF25">
        <f>IF(ROW()-3&gt;MAX($QE$4:$QE$40),"",INDEX($FN$4:$FN$40,MATCH(ROW()-3,$QE$4:$QE$40,0)))</f>
        <v/>
      </c>
      <c r="QG25">
        <f>IF(COUNTIF('Buyer Groups'!DG78:EM78,0)&gt;0,0,1)</f>
        <v/>
      </c>
      <c r="QH25">
        <f>IF($FS$25="",FALSE,SUMPRODUCT(('Final Calculation Sheet'!$AH$4:$AH$40=$FS$25)*($QG$6:$QG$42=1))&gt;0)</f>
        <v/>
      </c>
      <c r="QI25">
        <f>$QI$24+--($QH25)</f>
        <v/>
      </c>
      <c r="QJ25">
        <f>IF(ROW()-3&gt;MAX($QI$4:$QI$40),"",INDEX($FS$4:$FS$40,MATCH(ROW()-3,$QI$4:$QI$40,0)))</f>
        <v/>
      </c>
      <c r="QK25" t="str">
        <f>IF('Final Calculation Sheet'!$AH$25="","",'Final Calculation Sheet'!$AH$25)</f>
      </c>
      <c r="QL25" t="str">
        <f>IF(QK25="","",COUNTIFS(QK$4:QK$40,"&lt;"&amp;QK25,QK$4:QK$40,"&lt;&gt;"&amp;"")+COUNTIF(QK$4:QK25,QK25))</f>
      </c>
      <c r="QM25" t="str">
        <f>IF(ROW()-3&gt;COUNTIF(QK$4:QK$40,"&lt;&gt;"&amp;""),"",INDEX(QK$4:QK$40,MATCH(ROW()-3,QL$4:QL$40,0)))</f>
      </c>
      <c r="QN25" t="str">
        <f>=QN24+F(AND(QM25&lt;&gt;"",COUNTIF(QM$4:QM25,QM25)=1),1,0)</f>
      </c>
      <c r="QO25" t="str">
        <f>IF(ROW()-3&gt;MAX(QN$4:QN$40),"",INDEX(QM$4:QM$40,MATCH(ROW()-3,QN$4:QN$40,0)))</f>
      </c>
      <c r="QP25" t="str">
        <f>IF(COUNTIF('Final Calculation Sheet'!$AM25:$BS25,0)&gt;0,0,1)</f>
      </c>
      <c r="QQ25" t="str">
        <f>IF($AI$25="",FALSE,SUMPRODUCT(('Final Calculation Sheet'!$A$4:$A$40=$AI$25)*($QP$4:$QP$40=1))&gt;0)</f>
      </c>
      <c r="QR25" t="str">
        <f>=$QR24+--($QQ25)</f>
      </c>
      <c r="QS25" t="str">
        <f>IF(ROW()-3&gt;MAX($QR$4:$QR$40),"",INDEX($AI$4:$AI$40,MATCH(ROW()-3,$QR$4:$QR$40,0)))</f>
      </c>
      <c r="QT25" t="str">
        <f>IF(COUNTIF('Final Calculation Sheet'!$AL25:$AL25,0)+COUNTIF('Final Calculation Sheet'!$AN25:$BS25,0)&gt;0,0,1)</f>
      </c>
      <c r="QU25" t="str">
        <f>IF($Y$25="",FALSE,SUMPRODUCT(('Final Calculation Sheet'!$B$4:$B$40=$Y$25)*($QT$4:$QT$40=1))&gt;0)</f>
      </c>
      <c r="QV25" t="str">
        <f>=$QV24+--($QU25)</f>
      </c>
      <c r="QW25" t="str">
        <f>IF(ROW()-3&gt;MAX($QV$4:$QV$40),"",INDEX($Y$4:$Y$40,MATCH(ROW()-3,$QV$4:$QV$40,0)))</f>
      </c>
      <c r="QX25" t="str">
        <f>IF(COUNTIF('Final Calculation Sheet'!$AL25:$AM25,0)+COUNTIF('Final Calculation Sheet'!$AO25:$BS25,0)&gt;0,0,1)</f>
      </c>
      <c r="QY25" t="str">
        <f>IF($AS$25="",FALSE,SUMPRODUCT(('Final Calculation Sheet'!$C$4:$C$40=$AS$25)*($QX$4:$QX$40=1))&gt;0)</f>
      </c>
      <c r="QZ25" t="str">
        <f>=$QZ24+--($QY25)</f>
      </c>
      <c r="RA25" t="str">
        <f>IF(ROW()-3&gt;MAX($QZ$4:$QZ$40),"",INDEX($AS$4:$AS$40,MATCH(ROW()-3,$QZ$4:$QZ$40,0)))</f>
      </c>
      <c r="RB25" t="str">
        <f>IF(COUNTIF('Final Calculation Sheet'!$AL25:$AN25,0)+COUNTIF('Final Calculation Sheet'!$AP25:$BS25,0)&gt;0,0,1)</f>
      </c>
      <c r="RC25" t="str">
        <f>IF($AD$25="",FALSE,SUMPRODUCT(('Final Calculation Sheet'!$D$4:$D$40=$AD$25)*($RB$4:$RB$40=1))&gt;0)</f>
      </c>
      <c r="RD25" t="str">
        <f>=$RD24+--($RC25)</f>
      </c>
      <c r="RE25" t="str">
        <f>IF(ROW()-3&gt;MAX($RD$4:$RD$40),"",INDEX($AD$4:$AD$40,MATCH(ROW()-3,$RD$4:$RD$40,0)))</f>
      </c>
      <c r="RF25" t="str">
        <f>IF(COUNTIF('Final Calculation Sheet'!$AL25:$AO25,0)+COUNTIF('Final Calculation Sheet'!$AQ25:$BS25,0)&gt;0,0,1)</f>
      </c>
      <c r="RG25" t="str">
        <f>IF($AN$25="",FALSE,SUMPRODUCT(('Final Calculation Sheet'!$E$4:$E$40=$AN$25)*($RF$4:$RF$40=1))&gt;0)</f>
      </c>
      <c r="RH25" t="str">
        <f>=$RH24+--($RG25)</f>
      </c>
      <c r="RI25" t="str">
        <f>IF(ROW()-3&gt;MAX($RH$4:$RH$40),"",INDEX($AN$4:$AN$40,MATCH(ROW()-3,$RH$4:$RH$40,0)))</f>
      </c>
      <c r="RJ25" t="str">
        <f>IF(COUNTIF('Final Calculation Sheet'!$AL25:$AP25,0)+COUNTIF('Final Calculation Sheet'!$AR25:$BS25,0)&gt;0,0,1)</f>
      </c>
      <c r="RK25" t="str">
        <f>IF($O$25="",FALSE,SUMPRODUCT(('Final Calculation Sheet'!$F$4:$F$40=$O$25)*($RJ$4:$RJ$40=1))&gt;0)</f>
      </c>
      <c r="RL25" t="str">
        <f>=$RL24+--($RK25)</f>
      </c>
      <c r="RM25" t="str">
        <f>IF(ROW()-3&gt;MAX($RL$4:$RL$40),"",INDEX($O$4:$O$40,MATCH(ROW()-3,$RL$4:$RL$40,0)))</f>
      </c>
      <c r="RN25" t="str">
        <f>IF(COUNTIF('Final Calculation Sheet'!$AL25:$AQ25,0)+COUNTIF('Final Calculation Sheet'!$AS25:$BS25,0)&gt;0,0,1)</f>
      </c>
      <c r="RO25" t="str">
        <f>IF($T$25="",FALSE,SUMPRODUCT(('Final Calculation Sheet'!$G$4:$G$40=$T$25)*($RN$4:$RN$40=1))&gt;0)</f>
      </c>
      <c r="RP25" t="str">
        <f>=$RP24+--($RO25)</f>
      </c>
      <c r="RQ25" t="str">
        <f>IF(ROW()-3&gt;MAX($RP$4:$RP$40),"",INDEX($T$4:$T$40,MATCH(ROW()-3,$RP$4:$RP$40,0)))</f>
      </c>
      <c r="RR25" t="str">
        <f>IF(COUNTIF('Final Calculation Sheet'!$AL25:$AR25,0)+COUNTIF('Final Calculation Sheet'!$AT25:$BS25,0)&gt;0,0,1)</f>
      </c>
      <c r="RS25" t="str">
        <f>IF($AX$25="",FALSE,SUMPRODUCT(('Final Calculation Sheet'!$H$4:$H$40=$AX$25)*($RR$4:$RR$40=1))&gt;0)</f>
      </c>
      <c r="RT25" t="str">
        <f>=$RT24+--($RS25)</f>
      </c>
      <c r="RU25" t="str">
        <f>IF(ROW()-3&gt;MAX($RT$4:$RT$40),"",INDEX($AX$4:$AX$40,MATCH(ROW()-3,$RT$4:$RT$40,0)))</f>
      </c>
      <c r="RV25" t="str">
        <f>IF(COUNTIF('Final Calculation Sheet'!$AL25:$AS25,0)+COUNTIF('Final Calculation Sheet'!$AU25:$BS25,0)&gt;0,0,1)</f>
      </c>
      <c r="RW25" t="str">
        <f>IF($BC$25="",FALSE,SUMPRODUCT(('Final Calculation Sheet'!$I$4:$I$40=$BC$25)*($RV$4:$RV$40=1))&gt;0)</f>
      </c>
      <c r="RX25" t="str">
        <f>=$RX24+--($RW25)</f>
      </c>
      <c r="RY25" t="str">
        <f>IF(ROW()-3&gt;MAX($RX$4:$RX$40),"",INDEX($BC$4:$BC$40,MATCH(ROW()-3,$RX$4:$RX$40,0)))</f>
      </c>
      <c r="RZ25" t="str">
        <f>IF(COUNTIF('Final Calculation Sheet'!$AL25:$AT25,0)+COUNTIF('Final Calculation Sheet'!$AV25:$BS25,0)&gt;0,0,1)</f>
      </c>
      <c r="SA25" t="str">
        <f>IF($BH$25="",FALSE,SUMPRODUCT(('Final Calculation Sheet'!$J$4:$J$40=$BH$25)*($RZ$4:$RZ$40=1))&gt;0)</f>
      </c>
      <c r="SB25" t="str">
        <f>=$SB24+--($SA25)</f>
      </c>
      <c r="SC25" t="str">
        <f>IF(ROW()-3&gt;MAX($SB$4:$SB$40),"",INDEX($BH$4:$BH$40,MATCH(ROW()-3,$SB$4:$SB$40,0)))</f>
      </c>
      <c r="SD25" t="str">
        <f>IF(COUNTIF('Final Calculation Sheet'!$AL25:$AU25,0)+COUNTIF('Final Calculation Sheet'!$AW25:$BS25,0)&gt;0,0,1)</f>
      </c>
      <c r="SE25" t="str">
        <f>IF($BM$25="",FALSE,SUMPRODUCT(('Final Calculation Sheet'!$K$4:$K$40=$BM$25)*($SD$4:$SD$40=1))&gt;0)</f>
      </c>
      <c r="SF25" t="str">
        <f>=$SF24+--($SE25)</f>
      </c>
      <c r="SG25" t="str">
        <f>IF(ROW()-3&gt;MAX($SF$4:$SF$40),"",INDEX($BM$4:$BM$40,MATCH(ROW()-3,$SF$4:$SF$40,0)))</f>
      </c>
      <c r="SH25" t="str">
        <f>IF(COUNTIF('Final Calculation Sheet'!$AL25:$AV25,0)+COUNTIF('Final Calculation Sheet'!$AX25:$BS25,0)&gt;0,0,1)</f>
      </c>
      <c r="SI25" t="str">
        <f>IF($BR$25="",FALSE,SUMPRODUCT(('Final Calculation Sheet'!$L$4:$L$40=$BR$25)*($SH$4:$SH$40=1))&gt;0)</f>
      </c>
      <c r="SJ25" t="str">
        <f>=$SJ24+--($SI25)</f>
      </c>
      <c r="SK25" t="str">
        <f>IF(ROW()-3&gt;MAX($SJ$4:$SJ$40),"",INDEX($BR$4:$BR$40,MATCH(ROW()-3,$SJ$4:$SJ$40,0)))</f>
      </c>
      <c r="SL25" t="str">
        <f>IF(COUNTIF('Final Calculation Sheet'!$AL25:$AW25,0)+COUNTIF('Final Calculation Sheet'!$AY25:$BS25,0)&gt;0,0,1)</f>
      </c>
      <c r="SM25" t="str">
        <f>IF($BW$25="",FALSE,SUMPRODUCT(('Final Calculation Sheet'!$M$4:$M$40=$BW$25)*($SL$4:$SL$40=1))&gt;0)</f>
      </c>
      <c r="SN25" t="str">
        <f>=$SN24+--($SM25)</f>
      </c>
      <c r="SO25" t="str">
        <f>IF(ROW()-3&gt;MAX($SN$4:$SN$40),"",INDEX($BW$4:$BW$40,MATCH(ROW()-3,$SN$4:$SN$40,0)))</f>
      </c>
      <c r="SP25" t="str">
        <f>IF(COUNTIF('Final Calculation Sheet'!$AL25:$AX25,0)+COUNTIF('Final Calculation Sheet'!$AZ25:$BS25,0)&gt;0,0,1)</f>
      </c>
      <c r="SQ25" t="str">
        <f>IF($CB$25="",FALSE,SUMPRODUCT(('Final Calculation Sheet'!$N$4:$N$40=$CB$25)*($SP$4:$SP$40=1))&gt;0)</f>
      </c>
      <c r="SR25" t="str">
        <f>=$SR24+--($SQ25)</f>
      </c>
      <c r="SS25" t="str">
        <f>IF(ROW()-3&gt;MAX($SR$4:$SR$40),"",INDEX($CB$4:$CB$40,MATCH(ROW()-3,$SR$4:$SR$40,0)))</f>
      </c>
      <c r="ST25" t="str">
        <f>IF(COUNTIF('Final Calculation Sheet'!$AL25:$AY25,0)+COUNTIF('Final Calculation Sheet'!$BA25:$BS25,0)&gt;0,0,1)</f>
      </c>
      <c r="SU25" t="str">
        <f>IF($CG$25="",FALSE,SUMPRODUCT(('Final Calculation Sheet'!$O$4:$O$40=$CG$25)*($ST$4:$ST$40=1))&gt;0)</f>
      </c>
      <c r="SV25" t="str">
        <f>=$SV24+--($SU25)</f>
      </c>
      <c r="SW25" t="str">
        <f>IF(ROW()-3&gt;MAX($SV$4:$SV$40),"",INDEX($CG$4:$CG$40,MATCH(ROW()-3,$SV$4:$SV$40,0)))</f>
      </c>
      <c r="SX25" t="str">
        <f>IF(COUNTIF('Final Calculation Sheet'!$AL25:$AZ25,0)+COUNTIF('Final Calculation Sheet'!$BB25:$BS25,0)&gt;0,0,1)</f>
      </c>
      <c r="SY25" t="str">
        <f>IF($CL$25="",FALSE,SUMPRODUCT(('Final Calculation Sheet'!$P$4:$P$40=$CL$25)*($SX$4:$SX$40=1))&gt;0)</f>
      </c>
      <c r="SZ25" t="str">
        <f>=$SZ24+--($SY25)</f>
      </c>
      <c r="TA25" t="str">
        <f>IF(ROW()-3&gt;MAX($SZ$4:$SZ$40),"",INDEX($CL$4:$CL$40,MATCH(ROW()-3,$SZ$4:$SZ$40,0)))</f>
      </c>
      <c r="TB25" t="str">
        <f>IF(COUNTIF('Final Calculation Sheet'!$AL25:$BA25,0)+COUNTIF('Final Calculation Sheet'!$BC25:$BS25,0)&gt;0,0,1)</f>
      </c>
      <c r="TC25" t="str">
        <f>IF($CQ$25="",FALSE,SUMPRODUCT(('Final Calculation Sheet'!$Q$4:$Q$40=$CQ$25)*($TB$4:$TB$40=1))&gt;0)</f>
      </c>
      <c r="TD25" t="str">
        <f>=$TD24+--($TC25)</f>
      </c>
      <c r="TE25" t="str">
        <f>IF(ROW()-3&gt;MAX($TD$4:$TD$40),"",INDEX($CQ$4:$CQ$40,MATCH(ROW()-3,$TD$4:$TD$40,0)))</f>
      </c>
      <c r="TF25" t="str">
        <f>IF(COUNTIF('Final Calculation Sheet'!$AL25:$BB25,0)+COUNTIF('Final Calculation Sheet'!$BD25:$BS25,0)&gt;0,0,1)</f>
      </c>
      <c r="TG25" t="str">
        <f>IF($CV$25="",FALSE,SUMPRODUCT(('Final Calculation Sheet'!$R$4:$R$40=$CV$25)*($TF$4:$TF$40=1))&gt;0)</f>
      </c>
      <c r="TH25" t="str">
        <f>=$TH24+--($TG25)</f>
      </c>
      <c r="TI25" t="str">
        <f>IF(ROW()-3&gt;MAX($TH$4:$TH$40),"",INDEX($CV$4:$CV$40,MATCH(ROW()-3,$TH$4:$TH$40,0)))</f>
      </c>
      <c r="TJ25" t="str">
        <f>IF(COUNTIF('Final Calculation Sheet'!$AL25:$BC25,0)+COUNTIF('Final Calculation Sheet'!$BE25:$BS25,0)&gt;0,0,1)</f>
      </c>
      <c r="TK25" t="str">
        <f>IF($DA$25="",FALSE,SUMPRODUCT(('Final Calculation Sheet'!$S$4:$S$40=$DA$25)*($TJ$4:$TJ$40=1))&gt;0)</f>
      </c>
      <c r="TL25" t="str">
        <f>=$TL24+--($TK25)</f>
      </c>
      <c r="TM25" t="str">
        <f>IF(ROW()-3&gt;MAX($TL$4:$TL$40),"",INDEX($DA$4:$DA$40,MATCH(ROW()-3,$TL$4:$TL$40,0)))</f>
      </c>
      <c r="TN25" t="str">
        <f>IF(COUNTIF('Final Calculation Sheet'!$AL25:$BD25,0)+COUNTIF('Final Calculation Sheet'!$BF25:$BS25,0)&gt;0,0,1)</f>
      </c>
      <c r="TO25" t="str">
        <f>IF($DF$25="",FALSE,SUMPRODUCT(('Final Calculation Sheet'!$T$4:$T$40=$DF$25)*($TN$4:$TN$40=1))&gt;0)</f>
      </c>
      <c r="TP25" t="str">
        <f>=$TP24+--($TO25)</f>
      </c>
      <c r="TQ25" t="str">
        <f>IF(ROW()-3&gt;MAX($TP$4:$TP$40),"",INDEX($DF$4:$DF$40,MATCH(ROW()-3,$TP$4:$TP$40,0)))</f>
      </c>
      <c r="TR25" t="str">
        <f>IF(COUNTIF('Final Calculation Sheet'!$AL25:$BE25,0)+COUNTIF('Final Calculation Sheet'!$BG25:$BS25,0)&gt;0,0,1)</f>
      </c>
      <c r="TS25" t="str">
        <f>IF($DK$25="",FALSE,SUMPRODUCT(('Final Calculation Sheet'!$U$4:$U$40=$DK$25)*($TR$4:$TR$40=1))&gt;0)</f>
      </c>
      <c r="TT25" t="str">
        <f>=$TT24+--($TS25)</f>
      </c>
      <c r="TU25" t="str">
        <f>IF(ROW()-3&gt;MAX($TT$4:$TT$40),"",INDEX($DK$4:$DK$40,MATCH(ROW()-3,$TT$4:$TT$40,0)))</f>
      </c>
      <c r="TV25" t="str">
        <f>IF(COUNTIF('Final Calculation Sheet'!$AL25:$BF25,0)+COUNTIF('Final Calculation Sheet'!$BH25:$BS25,0)&gt;0,0,1)</f>
      </c>
      <c r="TW25" t="str">
        <f>IF($DP$25="",FALSE,SUMPRODUCT(('Final Calculation Sheet'!$V$4:$V$40=$DP$25)*($TV$4:$TV$40=1))&gt;0)</f>
      </c>
      <c r="TX25" t="str">
        <f>=$TX24+--($TW25)</f>
      </c>
      <c r="TY25" t="str">
        <f>IF(ROW()-3&gt;MAX($TX$4:$TX$40),"",INDEX($DP$4:$DP$40,MATCH(ROW()-3,$TX$4:$TX$40,0)))</f>
      </c>
      <c r="TZ25" t="str">
        <f>IF(COUNTIF('Final Calculation Sheet'!$AL25:$BG25,0)+COUNTIF('Final Calculation Sheet'!$BI25:$BS25,0)&gt;0,0,1)</f>
      </c>
      <c r="UA25" t="str">
        <f>IF($DU$25="",FALSE,SUMPRODUCT(('Final Calculation Sheet'!$W$4:$W$40=$DU$25)*($TZ$4:$TZ$40=1))&gt;0)</f>
      </c>
      <c r="UB25" t="str">
        <f>=$UB24+--($UA25)</f>
      </c>
      <c r="UC25" t="str">
        <f>IF(ROW()-3&gt;MAX($UB$4:$UB$40),"",INDEX($DU$4:$DU$40,MATCH(ROW()-3,$UB$4:$UB$40,0)))</f>
      </c>
      <c r="UD25" t="str">
        <f>IF(COUNTIF('Final Calculation Sheet'!$AL25:$BH25,0)+COUNTIF('Final Calculation Sheet'!$BJ25:$BS25,0)&gt;0,0,1)</f>
      </c>
      <c r="UE25" t="str">
        <f>IF($DZ$25="",FALSE,SUMPRODUCT(('Final Calculation Sheet'!$X$4:$X$40=$DZ$25)*($UD$4:$UD$40=1))&gt;0)</f>
      </c>
      <c r="UF25" t="str">
        <f>=$UF24+--($UE25)</f>
      </c>
      <c r="UG25" t="str">
        <f>IF(ROW()-3&gt;MAX($UF$4:$UF$40),"",INDEX($DZ$4:$DZ$40,MATCH(ROW()-3,$UF$4:$UF$40,0)))</f>
      </c>
      <c r="UH25" t="str">
        <f>IF(COUNTIF('Final Calculation Sheet'!$AL25:$BI25,0)+COUNTIF('Final Calculation Sheet'!$BK25:$BS25,0)&gt;0,0,1)</f>
      </c>
      <c r="UI25" t="str">
        <f>IF($EE$25="",FALSE,SUMPRODUCT(('Final Calculation Sheet'!$Y$4:$Y$40=$EE$25)*($UH$4:$UH$40=1))&gt;0)</f>
      </c>
      <c r="UJ25" t="str">
        <f>=$UJ24+--($UI25)</f>
      </c>
      <c r="UK25" t="str">
        <f>IF(ROW()-3&gt;MAX($UJ$4:$UJ$40),"",INDEX($EE$4:$EE$40,MATCH(ROW()-3,$UJ$4:$UJ$40,0)))</f>
      </c>
      <c r="UL25" t="str">
        <f>IF(COUNTIF('Final Calculation Sheet'!$AL25:$BJ25,0)+COUNTIF('Final Calculation Sheet'!$BL25:$BS25,0)&gt;0,0,1)</f>
      </c>
      <c r="UM25" t="str">
        <f>IF($EJ$25="",FALSE,SUMPRODUCT(('Final Calculation Sheet'!$Z$4:$Z$40=$EJ$25)*($UL$4:$UL$40=1))&gt;0)</f>
      </c>
      <c r="UN25" t="str">
        <f>=$UN24+--($UM25)</f>
      </c>
      <c r="UO25" t="str">
        <f>IF(ROW()-3&gt;MAX($UN$4:$UN$40),"",INDEX($EJ$4:$EJ$40,MATCH(ROW()-3,$UN$4:$UN$40,0)))</f>
      </c>
      <c r="UP25" t="str">
        <f>IF(COUNTIF('Final Calculation Sheet'!$AL25:$BK25,0)+COUNTIF('Final Calculation Sheet'!$BM25:$BS25,0)&gt;0,0,1)</f>
      </c>
      <c r="UQ25" t="str">
        <f>IF($EO$25="",FALSE,SUMPRODUCT(('Final Calculation Sheet'!$AA$4:$AA$40=$EO$25)*($UP$4:$UP$40=1))&gt;0)</f>
      </c>
      <c r="UR25" t="str">
        <f>=$UR24+--($UQ25)</f>
      </c>
      <c r="US25" t="str">
        <f>IF(ROW()-3&gt;MAX($UR$4:$UR$40),"",INDEX($EO$4:$EO$40,MATCH(ROW()-3,$UR$4:$UR$40,0)))</f>
      </c>
      <c r="UT25" t="str">
        <f>IF(COUNTIF('Final Calculation Sheet'!$AL25:$BL25,0)+COUNTIF('Final Calculation Sheet'!$BN25:$BS25,0)&gt;0,0,1)</f>
      </c>
      <c r="UU25" t="str">
        <f>IF($ET$25="",FALSE,SUMPRODUCT(('Final Calculation Sheet'!$AB$4:$AB$40=$ET$25)*($UT$4:$UT$40=1))&gt;0)</f>
      </c>
      <c r="UV25" t="str">
        <f>=$UV24+--($UU25)</f>
      </c>
      <c r="UW25" t="str">
        <f>IF(ROW()-3&gt;MAX($UV$4:$UV$40),"",INDEX($ET$4:$ET$40,MATCH(ROW()-3,$UV$4:$UV$40,0)))</f>
      </c>
      <c r="UX25" t="str">
        <f>IF(COUNTIF('Final Calculation Sheet'!$AL25:$BM25,0)+COUNTIF('Final Calculation Sheet'!$BO25:$BS25,0)&gt;0,0,1)</f>
      </c>
      <c r="UY25" t="str">
        <f>IF($EY$25="",FALSE,SUMPRODUCT(('Final Calculation Sheet'!$AC$4:$AC$40=$EY$25)*($UX$4:$UX$40=1))&gt;0)</f>
      </c>
      <c r="UZ25" t="str">
        <f>=$UZ24+--($UY25)</f>
      </c>
      <c r="VA25" t="str">
        <f>IF(ROW()-3&gt;MAX($UZ$4:$UZ$40),"",INDEX($EY$4:$EY$40,MATCH(ROW()-3,$UZ$4:$UZ$40,0)))</f>
      </c>
      <c r="VB25" t="str">
        <f>IF(COUNTIF('Final Calculation Sheet'!$AL25:$BN25,0)+COUNTIF('Final Calculation Sheet'!$BP25:$BS25,0)&gt;0,0,1)</f>
      </c>
      <c r="VC25" t="str">
        <f>IF($FD$25="",FALSE,SUMPRODUCT(('Final Calculation Sheet'!$AD$4:$AD$40=$FD$25)*($VB$4:$VB$40=1))&gt;0)</f>
      </c>
      <c r="VD25" t="str">
        <f>=$VD24+--($VC25)</f>
      </c>
      <c r="VE25" t="str">
        <f>IF(ROW()-3&gt;MAX($VD$4:$VD$40),"",INDEX($FD$4:$FD$40,MATCH(ROW()-3,$VD$4:$VD$40,0)))</f>
      </c>
      <c r="VF25" t="str">
        <f>IF(COUNTIF('Final Calculation Sheet'!$AL25:$BO25,0)+COUNTIF('Final Calculation Sheet'!$BQ25:$BS25,0)&gt;0,0,1)</f>
      </c>
      <c r="VG25" t="str">
        <f>IF($FI$25="",FALSE,SUMPRODUCT(('Final Calculation Sheet'!$AE$4:$AE$40=$FI$25)*($VF$4:$VF$40=1))&gt;0)</f>
      </c>
      <c r="VH25" t="str">
        <f>=$VH24+--($VG25)</f>
      </c>
      <c r="VI25" t="str">
        <f>IF(ROW()-3&gt;MAX($VH$4:$VH$40),"",INDEX($FI$4:$FI$40,MATCH(ROW()-3,$VH$4:$VH$40,0)))</f>
      </c>
      <c r="VJ25" t="str">
        <f>IF(COUNTIF('Final Calculation Sheet'!$AL25:$BP25,0)+COUNTIF('Final Calculation Sheet'!$BR25:$BS25,0)&gt;0,0,1)</f>
      </c>
      <c r="VK25" t="str">
        <f>IF($FN$25="",FALSE,SUMPRODUCT(('Final Calculation Sheet'!$AF$4:$AF$40=$FN$25)*($VJ$4:$VJ$40=1))&gt;0)</f>
      </c>
      <c r="VL25" t="str">
        <f>=$VL24+--($VK25)</f>
      </c>
      <c r="VM25" t="str">
        <f>IF(ROW()-3&gt;MAX($VL$4:$VL$40),"",INDEX($FN$4:$FN$40,MATCH(ROW()-3,$VL$4:$VL$40,0)))</f>
      </c>
      <c r="VN25" t="str">
        <f>IF(COUNTIF('Final Calculation Sheet'!$AL25:$BQ25,0)+COUNTIF('Final Calculation Sheet'!$BS25:$BS25,0)&gt;0,0,1)</f>
      </c>
      <c r="VO25" t="str">
        <f>IF($FS$25="",FALSE,SUMPRODUCT(('Final Calculation Sheet'!$AG$4:$AG$40=$FS$25)*($VN$4:$VN$40=1))&gt;0)</f>
      </c>
      <c r="VP25" t="str">
        <f>=$VP24+--($VO25)</f>
      </c>
      <c r="VQ25" t="str">
        <f>IF(ROW()-3&gt;MAX($VP$4:$VP$40),"",INDEX($FS$4:$FS$40,MATCH(ROW()-3,$VP$4:$VP$40,0)))</f>
      </c>
      <c r="VR25" t="str">
        <f>IF(COUNTIF('Final Calculation Sheet'!$AL25:$BR25,0)&gt;0,0,1)</f>
      </c>
      <c r="VS25" t="str">
        <f>IF($QO$25="",FALSE,SUMPRODUCT(('Final Calculation Sheet'!$AH$4:$AH$40=$QO$25)*($VR$4:$VR$40=1))&gt;0)</f>
      </c>
      <c r="VT25" t="str">
        <f>=$VT24+--($VS25)</f>
      </c>
      <c r="VU25" t="str">
        <f>IF(ROW()-3&gt;MAX($VT$4:$VT$40),"",INDEX($QO$4:$QO$40,MATCH(ROW()-3,$VT$4:$VT$40,0)))</f>
      </c>
    </row>
    <row r="26">
      <c r="A26">
        <f>IF(IFERROR('Final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IF(IFERROR('Final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s="55">
        <f>IF('Final Calculation Sheet'!$C$26="","",'Final Calculation Sheet'!$C$26)</f>
        <v/>
      </c>
      <c r="AP26">
        <f>IF(AO26="","",COUNTIFS(AO$4:AO$40,"&lt;"&amp;AO26,AO$4:AO$40,"&lt;&gt;"&amp;"")+COUNTIF(AO$4:AO26,AO26))</f>
        <v/>
      </c>
      <c r="AQ26" s="55">
        <f>IF(ROW()-3&gt;COUNTIF(AO$4:AO$40,"&lt;&gt;"&amp;""),"",INDEX(AO$4:AO$40,MATCH(ROW()-3,AP$4:AP$40,0)))</f>
        <v/>
      </c>
      <c r="AR26">
        <f>AR25+IF(AND(AQ26&lt;&gt;"",COUNTIF(AQ$4:AQ26,AQ26)=1),1,0)</f>
        <v/>
      </c>
      <c r="AS26" s="55">
        <f>IF(ROW()-3&gt;MAX(AR$4:AR$40),"",INDEX(AQ$4:AQ$40,MATCH(ROW()-3,AR$4:AR$40,0)))</f>
        <v/>
      </c>
      <c r="AT26" s="55">
        <f>IF('Final Calculation Sheet'!$H$26="","",'Final Calculation Sheet'!$H$26)</f>
        <v/>
      </c>
      <c r="AU26">
        <f>IF(AT26="","",COUNTIFS(AT$4:AT$40,"&lt;"&amp;AT26,AT$4:AT$40,"&lt;&gt;"&amp;"")+COUNTIF(AT$4:AT26,AT26))</f>
        <v/>
      </c>
      <c r="AV26" s="55">
        <f>IF(ROW()-3&gt;COUNTIF(AT$4:AT$40,"&lt;&gt;"&amp;""),"",INDEX(AT$4:AT$40,MATCH(ROW()-3,AU$4:AU$40,0)))</f>
        <v/>
      </c>
      <c r="AW26">
        <f>AW25+IF(AND(AV26&lt;&gt;"",COUNTIF(AV$4:AV26,AV26)=1),1,0)</f>
        <v/>
      </c>
      <c r="AX26" s="55">
        <f>IF(ROW()-3&gt;MAX(AW$4:AW$40),"",INDEX(AV$4:AV$40,MATCH(ROW()-3,AW$4:AW$40,0)))</f>
        <v/>
      </c>
      <c r="AY26" s="55">
        <f>IF('Final Calculation Sheet'!$I$26="","",'Final Calculation Sheet'!$I$26)</f>
        <v/>
      </c>
      <c r="AZ26">
        <f>IF(AY26="","",COUNTIFS(AY$4:AY$40,"&lt;"&amp;AY26,AY$4:AY$40,"&lt;&gt;"&amp;"")+COUNTIF(AY$4:AY26,AY26))</f>
        <v/>
      </c>
      <c r="BA26" s="55">
        <f>IF(ROW()-3&gt;COUNTIF(AY$4:AY$40,"&lt;&gt;"&amp;""),"",INDEX(AY$4:AY$40,MATCH(ROW()-3,AZ$4:AZ$40,0)))</f>
        <v/>
      </c>
      <c r="BB26">
        <f>BB25+IF(AND(BA26&lt;&gt;"",COUNTIF(BA$4:BA26,BA26)=1),1,0)</f>
        <v/>
      </c>
      <c r="BC26" s="55">
        <f>IF(ROW()-3&gt;MAX(BB$4:BB$40),"",INDEX(BA$4:BA$40,MATCH(ROW()-3,BB$4:BB$40,0)))</f>
        <v/>
      </c>
      <c r="BD26" s="55">
        <f>IF('Final Calculation Sheet'!$J$26="","",'Final Calculation Sheet'!$J$26)</f>
        <v/>
      </c>
      <c r="BE26">
        <f>IF(BD26="","",COUNTIFS(BD$4:BD$40,"&lt;"&amp;BD26,BD$4:BD$40,"&lt;&gt;"&amp;"")+COUNTIF(BD$4:BD26,BD26))</f>
        <v/>
      </c>
      <c r="BF26" s="55">
        <f>IF(ROW()-3&gt;COUNTIF(BD$4:BD$40,"&lt;&gt;"&amp;""),"",INDEX(BD$4:BD$40,MATCH(ROW()-3,BE$4:BE$40,0)))</f>
        <v/>
      </c>
      <c r="BG26">
        <f>BG25+IF(AND(BF26&lt;&gt;"",COUNTIF(BF$4:BF26,BF26)=1),1,0)</f>
        <v/>
      </c>
      <c r="BH26" s="55">
        <f>IF(ROW()-3&gt;MAX(BG$4:BG$40),"",INDEX(BF$4:BF$40,MATCH(ROW()-3,BG$4:BG$40,0)))</f>
        <v/>
      </c>
      <c r="BI26" s="55">
        <f>IF('Final Calculation Sheet'!$K$26="","",'Final Calculation Sheet'!$K$26)</f>
        <v/>
      </c>
      <c r="BJ26">
        <f>IF(BI26="","",COUNTIFS(BI$4:BI$40,"&lt;"&amp;BI26,BI$4:BI$40,"&lt;&gt;"&amp;"")+COUNTIF(BI$4:BI26,BI26))</f>
        <v/>
      </c>
      <c r="BK26" s="55">
        <f>IF(ROW()-3&gt;COUNTIF(BI$4:BI$40,"&lt;&gt;"&amp;""),"",INDEX(BI$4:BI$40,MATCH(ROW()-3,BJ$4:BJ$40,0)))</f>
        <v/>
      </c>
      <c r="BL26">
        <f>BL25+IF(AND(BK26&lt;&gt;"",COUNTIF(BK$4:BK26,BK26)=1),1,0)</f>
        <v/>
      </c>
      <c r="BM26" s="55">
        <f>IF(ROW()-3&gt;MAX(BL$4:BL$40),"",INDEX(BK$4:BK$40,MATCH(ROW()-3,BL$4:BL$40,0)))</f>
        <v/>
      </c>
      <c r="BN26" s="55">
        <f>IF('Final Calculation Sheet'!$L$26="","",'Final Calculation Sheet'!$L$26)</f>
        <v/>
      </c>
      <c r="BO26">
        <f>IF(BN26="","",COUNTIFS(BN$4:BN$40,"&lt;"&amp;BN26,BN$4:BN$40,"&lt;&gt;"&amp;"")+COUNTIF(BN$4:BN26,BN26))</f>
        <v/>
      </c>
      <c r="BP26" s="55">
        <f>IF(ROW()-3&gt;COUNTIF(BN$4:BN$40,"&lt;&gt;"&amp;""),"",INDEX(BN$4:BN$40,MATCH(ROW()-3,BO$4:BO$40,0)))</f>
        <v/>
      </c>
      <c r="BQ26">
        <f>BQ25+IF(AND(BP26&lt;&gt;"",COUNTIF(BP$4:BP26,BP26)=1),1,0)</f>
        <v/>
      </c>
      <c r="BR26" s="55">
        <f>IF(ROW()-3&gt;MAX(BQ$4:BQ$40),"",INDEX(BP$4:BP$40,MATCH(ROW()-3,BQ$4:BQ$40,0)))</f>
        <v/>
      </c>
      <c r="BS26" s="55">
        <f>IF('Final Calculation Sheet'!$M$26="","",'Final Calculation Sheet'!$M$26)</f>
        <v/>
      </c>
      <c r="BT26">
        <f>IF(BS26="","",COUNTIFS(BS$4:BS$40,"&lt;"&amp;BS26,BS$4:BS$40,"&lt;&gt;"&amp;"")+COUNTIF(BS$4:BS26,BS26))</f>
        <v/>
      </c>
      <c r="BU26" s="55">
        <f>IF(ROW()-3&gt;COUNTIF(BS$4:BS$40,"&lt;&gt;"&amp;""),"",INDEX(BS$4:BS$40,MATCH(ROW()-3,BT$4:BT$40,0)))</f>
        <v/>
      </c>
      <c r="BV26">
        <f>BV25+IF(AND(BU26&lt;&gt;"",COUNTIF(BU$4:BU26,BU26)=1),1,0)</f>
        <v/>
      </c>
      <c r="BW26" s="55">
        <f>IF(ROW()-3&gt;MAX(BV$4:BV$40),"",INDEX(BU$4:BU$40,MATCH(ROW()-3,BV$4:BV$40,0)))</f>
        <v/>
      </c>
      <c r="BX26" s="138">
        <f>IF('Final Calculation Sheet'!$N$26="","",'Final Calculation Sheet'!$N$26)</f>
        <v/>
      </c>
      <c r="BY26">
        <f>IF(BX26="","",COUNTIFS(BX$4:BX$40,"&lt;"&amp;BX26,BX$4:BX$40,"&lt;&gt;"&amp;"")+COUNTIF(BX$4:BX26,BX26))</f>
        <v/>
      </c>
      <c r="BZ26" s="138">
        <f>IF(ROW()-3&gt;COUNTIF(BX$4:BX$40,"&lt;&gt;"&amp;""),"",INDEX(BX$4:BX$40,MATCH(ROW()-3,BY$4:BY$40,0)))</f>
        <v/>
      </c>
      <c r="CA26">
        <f>CA25+IF(AND(BZ26&lt;&gt;"",COUNTIF(BZ$4:BZ26,BZ26)=1),1,0)</f>
        <v/>
      </c>
      <c r="CB26" s="138">
        <f>IF(ROW()-3&gt;MAX(CA$4:CA$40),"",INDEX(BZ$4:BZ$40,MATCH(ROW()-3,CA$4:CA$40,0)))</f>
        <v/>
      </c>
      <c r="CC26" s="55">
        <f>IF('Final Calculation Sheet'!$O$26="","",'Final Calculation Sheet'!$O$26)</f>
        <v/>
      </c>
      <c r="CD26">
        <f>IF(CC26="","",COUNTIFS(CC$4:CC$40,"&lt;"&amp;CC26,CC$4:CC$40,"&lt;&gt;"&amp;"")+COUNTIF(CC$4:CC26,CC26))</f>
        <v/>
      </c>
      <c r="CE26" s="55">
        <f>IF(ROW()-3&gt;COUNTIF(CC$4:CC$40,"&lt;&gt;"&amp;""),"",INDEX(CC$4:CC$40,MATCH(ROW()-3,CD$4:CD$40,0)))</f>
        <v/>
      </c>
      <c r="CF26">
        <f>CF25+IF(AND(CE26&lt;&gt;"",COUNTIF(CE$4:CE26,CE26)=1),1,0)</f>
        <v/>
      </c>
      <c r="CG26" s="55">
        <f>IF(ROW()-3&gt;MAX(CF$4:CF$40),"",INDEX(CE$4:CE$40,MATCH(ROW()-3,CF$4:CF$40,0)))</f>
        <v/>
      </c>
      <c r="CH26" s="55">
        <f>IF('Final Calculation Sheet'!$P$26="","",'Final Calculation Sheet'!$P$26)</f>
        <v/>
      </c>
      <c r="CI26">
        <f>IF(CH26="","",COUNTIFS(CH$4:CH$40,"&lt;"&amp;CH26,CH$4:CH$40,"&lt;&gt;"&amp;"")+COUNTIF(CH$4:CH26,CH26))</f>
        <v/>
      </c>
      <c r="CJ26" s="55">
        <f>IF(ROW()-3&gt;COUNTIF(CH$4:CH$40,"&lt;&gt;"&amp;""),"",INDEX(CH$4:CH$40,MATCH(ROW()-3,CI$4:CI$40,0)))</f>
        <v/>
      </c>
      <c r="CK26">
        <f>CK25+IF(AND(CJ26&lt;&gt;"",COUNTIF(CJ$4:CJ26,CJ26)=1),1,0)</f>
        <v/>
      </c>
      <c r="CL26" s="55">
        <f>IF(ROW()-3&gt;MAX(CK$4:CK$40),"",INDEX(CJ$4:CJ$40,MATCH(ROW()-3,CK$4:CK$40,0)))</f>
        <v/>
      </c>
      <c r="CM26" s="139">
        <f>IF('Final Calculation Sheet'!$Q$26="","",'Final Calculation Sheet'!$Q$26)</f>
        <v/>
      </c>
      <c r="CN26">
        <f>IF(CM26="","",COUNTIFS(CM$4:CM$40,"&lt;"&amp;CM26,CM$4:CM$40,"&lt;&gt;"&amp;"")+COUNTIF(CM$4:CM26,CM26))</f>
        <v/>
      </c>
      <c r="CO26" s="139">
        <f>IF(ROW()-3&gt;COUNTIF(CM$4:CM$40,"&lt;&gt;"&amp;""),"",INDEX(CM$4:CM$40,MATCH(ROW()-3,CN$4:CN$40,0)))</f>
        <v/>
      </c>
      <c r="CP26">
        <f>CP25+IF(AND(CO26&lt;&gt;"",COUNTIF(CO$4:CO26,CO26)=1),1,0)</f>
        <v/>
      </c>
      <c r="CQ26">
        <f>IF(ROW()-3&gt;MAX(CP$4:CP$40),"",INDEX(CO$4:CO$40,MATCH(ROW()-3,CP$4:CP$40,0)))</f>
        <v/>
      </c>
      <c r="CR26" s="55">
        <f>IF('Final Calculation Sheet'!$R$26="","",'Final Calculation Sheet'!$R$26)</f>
        <v/>
      </c>
      <c r="CS26">
        <f>IF(CR26="","",COUNTIFS(CR$4:CR$40,"&lt;"&amp;CR26,CR$4:CR$40,"&lt;&gt;"&amp;"")+COUNTIF(CR$4:CR26,CR26))</f>
        <v/>
      </c>
      <c r="CT26" s="55">
        <f>IF(ROW()-3&gt;COUNTIF(CR$4:CR$40,"&lt;&gt;"&amp;""),"",INDEX(CR$4:CR$40,MATCH(ROW()-3,CS$4:CS$40,0)))</f>
        <v/>
      </c>
      <c r="CU26">
        <f>CU25+IF(AND(CT26&lt;&gt;"",COUNTIF(CT$4:CT26,CT26)=1),1,0)</f>
        <v/>
      </c>
      <c r="CV26">
        <f>IF(ROW()-3&gt;MAX(CU$4:CU$40),"",INDEX(CT$4:CT$40,MATCH(ROW()-3,CU$4:CU$40,0)))</f>
        <v/>
      </c>
      <c r="CW26" s="55">
        <f>IF('Final Calculation Sheet'!$S$26="","",'Final Calculation Sheet'!$S$26)</f>
        <v/>
      </c>
      <c r="CX26">
        <f>IF(CW26="","",COUNTIFS(CW$4:CW$40,"&lt;"&amp;CW26,CW$4:CW$40,"&lt;&gt;"&amp;"")+COUNTIF(CW$4:CW26,CW26))</f>
        <v/>
      </c>
      <c r="CY26" s="55">
        <f>IF(ROW()-3&gt;COUNTIF(CW$4:CW$40,"&lt;&gt;"&amp;""),"",INDEX(CW$4:CW$40,MATCH(ROW()-3,CX$4:CX$40,0)))</f>
        <v/>
      </c>
      <c r="CZ26">
        <f>CZ25+IF(AND(CY26&lt;&gt;"",COUNTIF(CY$4:CY26,CY26)=1),1,0)</f>
        <v/>
      </c>
      <c r="DA26" s="55">
        <f>IF(ROW()-3&gt;MAX(CZ$4:CZ$40),"",INDEX(CY$4:CY$40,MATCH(ROW()-3,CZ$4:CZ$40,0)))</f>
        <v/>
      </c>
      <c r="DB26" s="55">
        <f>IF('Final Calculation Sheet'!$T$26="","",'Final Calculation Sheet'!$T$26)</f>
        <v/>
      </c>
      <c r="DC26">
        <f>IF(DB26="","",COUNTIFS(DB$4:DB$40,"&lt;"&amp;DB26,DB$4:DB$40,"&lt;&gt;"&amp;"")+COUNTIF(DB$4:DB26,DB26))</f>
        <v/>
      </c>
      <c r="DD26" s="55">
        <f>IF(ROW()-3&gt;COUNTIF(DB$4:DB$40,"&lt;&gt;"&amp;""),"",INDEX(DB$4:DB$40,MATCH(ROW()-3,DC$4:DC$40,0)))</f>
        <v/>
      </c>
      <c r="DE26">
        <f>DE25+IF(AND(DD26&lt;&gt;"",COUNTIF(DD$4:DD26,DD26)=1),1,0)</f>
        <v/>
      </c>
      <c r="DF26" s="55">
        <f>IF(ROW()-3&gt;MAX(DE$4:DE$40),"",INDEX(DD$4:DD$40,MATCH(ROW()-3,DE$4:DE$40,0)))</f>
        <v/>
      </c>
      <c r="DG26" s="140">
        <f>IF('Final Calculation Sheet'!$U$26="","",'Final Calculation Sheet'!$U$26)</f>
        <v/>
      </c>
      <c r="DH26">
        <f>IF(DG26="","",COUNTIFS(DG$4:DG$40,"&lt;"&amp;DG26,DG$4:DG$40,"&lt;&gt;"&amp;"")+COUNTIF(DG$4:DG26,DG26))</f>
        <v/>
      </c>
      <c r="DI26" s="140">
        <f>IF(ROW()-3&gt;COUNTIF(DG$4:DG$40,"&lt;&gt;"&amp;""),"",INDEX(DG$4:DG$40,MATCH(ROW()-3,DH$4:DH$40,0)))</f>
        <v/>
      </c>
      <c r="DJ26">
        <f>DJ25+IF(AND(DI26&lt;&gt;"",COUNTIF(DI$4:DI26,DI26)=1),1,0)</f>
        <v/>
      </c>
      <c r="DK26" s="140">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s="55">
        <f>IF('Final Calculation Sheet'!$W$26="","",'Final Calculation Sheet'!$W$26)</f>
        <v/>
      </c>
      <c r="DR26">
        <f>IF(DQ26="","",COUNTIFS(DQ$4:DQ$40,"&lt;"&amp;DQ26,DQ$4:DQ$40,"&lt;&gt;"&amp;"")+COUNTIF(DQ$4:DQ26,DQ26))</f>
        <v/>
      </c>
      <c r="DS26" s="55">
        <f>IF(ROW()-3&gt;COUNTIF(DQ$4:DQ$40,"&lt;&gt;"&amp;""),"",INDEX(DQ$4:DQ$40,MATCH(ROW()-3,DR$4:DR$40,0)))</f>
        <v/>
      </c>
      <c r="DT26">
        <f>DT25+IF(AND(DS26&lt;&gt;"",COUNTIF(DS$4:DS26,DS26)=1),1,0)</f>
        <v/>
      </c>
      <c r="DU26" s="55">
        <f>IF(ROW()-3&gt;MAX(DT$4:DT$40),"",INDEX(DS$4:DS$40,MATCH(ROW()-3,DT$4:DT$40,0)))</f>
        <v/>
      </c>
      <c r="DV26" s="55">
        <f>IF('Final Calculation Sheet'!$X$26="","",'Final Calculation Sheet'!$X$26)</f>
        <v/>
      </c>
      <c r="DW26">
        <f>IF(DV26="","",COUNTIFS(DV$4:DV$40,"&lt;"&amp;DV26,DV$4:DV$40,"&lt;&gt;"&amp;"")+COUNTIF(DV$4:DV26,DV26))</f>
        <v/>
      </c>
      <c r="DX26" s="55">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s="55">
        <f>IF('Final Calculation Sheet'!$Z$26="","",'Final Calculation Sheet'!$Z$26)</f>
        <v/>
      </c>
      <c r="EG26">
        <f>IF(EF26="","",COUNTIFS(EF$4:EF$40,"&lt;"&amp;EF26,EF$4:EF$40,"&lt;&gt;"&amp;"")+COUNTIF(EF$4:EF26,EF26))</f>
        <v/>
      </c>
      <c r="EH26" s="55">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s="55">
        <f>IF('Final Calculation Sheet'!$AC$26="","",'Final Calculation Sheet'!$AC$26)</f>
        <v/>
      </c>
      <c r="EV26">
        <f>IF(EU26="","",COUNTIFS(EU$4:EU$40,"&lt;"&amp;EU26,EU$4:EU$40,"&lt;&gt;"&amp;"")+COUNTIF(EU$4:EU26,EU26))</f>
        <v/>
      </c>
      <c r="EW26" s="55">
        <f>IF(ROW()-3&gt;COUNTIF(EU$4:EU$40,"&lt;&gt;"&amp;""),"",INDEX(EU$4:EU$40,MATCH(ROW()-3,EV$4:EV$40,0)))</f>
        <v/>
      </c>
      <c r="EX26">
        <f>EX25+IF(AND(EW26&lt;&gt;"",COUNTIF(EW$4:EW26,EW26)=1),1,0)</f>
        <v/>
      </c>
      <c r="EY26" s="55">
        <f>IF(ROW()-3&gt;MAX(EX$4:EX$40),"",INDEX(EW$4:EW$40,MATCH(ROW()-3,EX$4:EX$40,0)))</f>
        <v/>
      </c>
      <c r="EZ26" s="55">
        <f>IF('Final Calculation Sheet'!$AD$26="","",'Final Calculation Sheet'!$AD$26)</f>
        <v/>
      </c>
      <c r="FA26">
        <f>IF(EZ26="","",COUNTIFS(EZ$4:EZ$40,"&lt;"&amp;EZ26,EZ$4:EZ$40,"&lt;&gt;"&amp;"")+COUNTIF(EZ$4:EZ26,EZ26))</f>
        <v/>
      </c>
      <c r="FB26" s="55">
        <f>IF(ROW()-3&gt;COUNTIF(EZ$4:EZ$40,"&lt;&gt;"&amp;""),"",INDEX(EZ$4:EZ$40,MATCH(ROW()-3,FA$4:FA$40,0)))</f>
        <v/>
      </c>
      <c r="FC26">
        <f>FC25+IF(AND(FB26&lt;&gt;"",COUNTIF(FB$4:FB26,FB26)=1),1,0)</f>
        <v/>
      </c>
      <c r="FD26">
        <f>IF(ROW()-3&gt;MAX(FC$4:FC$40),"",INDEX(FB$4:FB$40,MATCH(ROW()-3,FC$4:FC$40,0)))</f>
        <v/>
      </c>
      <c r="FE26">
        <f>IF('Final Calculation Sheet'!$AF$26="","",'Final Calculation Sheet'!$AF$26)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s="141">
        <f>IF('Final Calculation Sheet'!$AG$26="","",'Final Calculation Sheet'!$AG$26)</f>
        <v/>
      </c>
      <c r="FK26">
        <f>IF(FJ26="","",COUNTIFS(FJ$4:FJ$40,"&lt;"&amp;FJ26,FJ$4:FJ$40,"&lt;&gt;"&amp;"")+COUNTIF(FJ$4:FJ26,FJ26))</f>
        <v/>
      </c>
      <c r="FL26" s="141">
        <f>IF(ROW()-3&gt;COUNTIF(FJ$4:FJ$40,"&lt;&gt;"&amp;""),"",INDEX(FJ$4:FJ$40,MATCH(ROW()-3,FK$4:FK$40,0)))</f>
        <v/>
      </c>
      <c r="FM26">
        <f>FM25+IF(AND(FL26&lt;&gt;"",COUNTIF(FL$4:FL26,FL26)=1),1,0)</f>
        <v/>
      </c>
      <c r="FN26">
        <f>IF(ROW()-3&gt;MAX(FM$4:FM$40),"",INDEX(FL$4:FL$40,MATCH(ROW()-3,FM$4:FM$40,0)))</f>
        <v/>
      </c>
      <c r="FO26">
        <f>IF('Final Calculation Sheet'!$AH$26="","",'Final Calculation Sheet'!$AH$26)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c r="FY26">
        <f>IF(COUNTIF('Live Search'!BM$25:BO$25,0)+COUNTIF('Live Search'!BQ$25:CU$25,0)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6">
        <f>IF($Y$26="",FALSE,SUMPRODUCT(('Final Calculation Sheet'!$B$4:$B$40=$Y$26)*($FY$6:$FY$42=1))&gt;0)</f>
        <v/>
      </c>
      <c r="GA26">
        <f>$GA$25+--($FZ$26)</f>
        <v/>
      </c>
      <c r="GB26">
        <f>IF(ROW()-3&gt;MAX($GA$4:$GA$40),"",INDEX($Y$4:$Y$40,MATCH(ROW()-3,$GA$4:$GA$40,0)))</f>
        <v/>
      </c>
      <c r="GC26">
        <f>IF(COUNTIF('Live Search'!BM$25:BM$25,0)+COUNTIF('Live Search'!BO$25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D26">
        <f>IF($O$26="",FALSE,SUMPRODUCT(('Final Calculation Sheet'!$F$4:$F$40=$O$26)*($GC$6:$GC$42=1))&gt;0)</f>
        <v/>
      </c>
      <c r="GE26">
        <f>$GE$25+--($GD26)</f>
        <v/>
      </c>
      <c r="GF26">
        <f>IF(ROW()-3&gt;MAX($GE$4:$GE$40),"",INDEX($O$4:$O$40,MATCH(ROW()-3,$GE$4:$GE$40,0)))</f>
        <v/>
      </c>
      <c r="GG26">
        <f>IF(COUNTIF('Live Search'!BM$25:BN$25,0)+COUNTIF('Live Search'!BP$25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H26">
        <f>IF($T$26="",FALSE,SUMPRODUCT(('Final Calculation Sheet'!$G$4:$G$40=$T$26)*($GG$6:$GG$42=1))&gt;0)</f>
        <v/>
      </c>
      <c r="GI26">
        <f>$GI$25+--($GH26)</f>
        <v/>
      </c>
      <c r="GJ26">
        <f>IF(ROW()-3&gt;MAX($GI$4:$GI$40),"",INDEX($T$4:$T$40,MATCH(ROW()-3,$GI$4:$GI$40,0)))</f>
        <v/>
      </c>
      <c r="GK26">
        <f>IF(COUNTIF('Live Search'!BM$25:BP$25,0)+COUNTIF('Live Search'!BR$25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L26">
        <f>IF($AD$26="",FALSE,SUMPRODUCT(('Final Calculation Sheet'!$D$4:$D$40=$AD$26)*($GK$6:$GK$42=1))&gt;0)</f>
        <v/>
      </c>
      <c r="GM26">
        <f>$GM$25+--($GL26)</f>
        <v/>
      </c>
      <c r="GN26">
        <f>IF(ROW()-3&gt;MAX($GM$4:$GM$40),"",INDEX($AD$4:$AD$40,MATCH(ROW()-3,$GM$4:$GM$40,0)))</f>
        <v/>
      </c>
      <c r="GO26">
        <f>IF(COUNTIF('Live Search'!BM$25:BQ$25,0)+COUNTIF('Live Search'!BS$25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P26">
        <f>IF($AI$26="",FALSE,SUMPRODUCT(('Final Calculation Sheet'!$A$4:$A$40=$AI$26)*($GO$6:$GO$42=1))&gt;0)</f>
        <v/>
      </c>
      <c r="GQ26">
        <f>$GQ$25+--($GP26)</f>
        <v/>
      </c>
      <c r="GR26">
        <f>IF(ROW()-3&gt;MAX($GQ$4:$GQ$40),"",INDEX($AI$4:$AI$40,MATCH(ROW()-3,$GQ$4:$GQ$40,0)))</f>
        <v/>
      </c>
      <c r="GS26">
        <f>IF(COUNTIF('Live Search'!BM$25:BR$25,0)+COUNTIF('Live Search'!BT$25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T26">
        <f>IF($AN$26="",FALSE,SUMPRODUCT(('Final Calculation Sheet'!$E$4:$E$40=$AN$26)*($GS$6:$GS$42=1))&gt;0)</f>
        <v/>
      </c>
      <c r="GU26">
        <f>$GU$25+--($GT26)</f>
        <v/>
      </c>
      <c r="GV26">
        <f>IF(ROW()-3&gt;MAX($GU$4:$GU$40),"",INDEX($AN$4:$AN$40,MATCH(ROW()-3,$GU$4:$GU$40,0)))</f>
        <v/>
      </c>
      <c r="GW26">
        <f>IF(COUNTIF('Live Search'!BM$25:BS$25,0)+COUNTIF('Live Search'!BU$25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GX26">
        <f>IF($AS$26="",FALSE,SUMPRODUCT(('Final Calculation Sheet'!$C$4:$C$40=$AS$26)*($GW$6:$GW$42=1))&gt;0)</f>
        <v/>
      </c>
      <c r="GY26">
        <f>$GY$25+--($GX26)</f>
        <v/>
      </c>
      <c r="GZ26">
        <f>IF(ROW()-3&gt;MAX($GY$4:$GY$40),"",INDEX($AS$4:$AS$40,MATCH(ROW()-3,$GY$4:$GY$40,0)))</f>
        <v/>
      </c>
      <c r="HA26">
        <f>IF(COUNTIF('Live Search'!BM$25:BT$25,0)+COUNTIF('Live Search'!BV$25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B26">
        <f>IF($AX$26="",FALSE,SUMPRODUCT(('Final Calculation Sheet'!$H$4:$H$40=$AX$26)*($HA$6:$HA$42=1))&gt;0)</f>
        <v/>
      </c>
      <c r="HC26">
        <f>$HC$25+--($HB26)</f>
        <v/>
      </c>
      <c r="HD26">
        <f>IF(ROW()-3&gt;MAX($HC$4:$HC$40),"",INDEX($AX$4:$AX$40,MATCH(ROW()-3,$HC$4:$HC$40,0)))</f>
        <v/>
      </c>
      <c r="HE26">
        <f>IF(COUNTIF('Live Search'!BM$25:BU$25,0)+COUNTIF('Live Search'!BW$25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F26">
        <f>IF($BC$26="",FALSE,SUMPRODUCT(('Final Calculation Sheet'!$I$4:$I$40=$BC$26)*($HE$6:$HE$42=1))&gt;0)</f>
        <v/>
      </c>
      <c r="HG26">
        <f>$HG$25+--($HF26)</f>
        <v/>
      </c>
      <c r="HH26">
        <f>IF(ROW()-3&gt;MAX($HG$4:$HG$40),"",INDEX($BC$4:$BC$40,MATCH(ROW()-3,$HG$4:$HG$40,0)))</f>
        <v/>
      </c>
      <c r="HI26">
        <f>IF(COUNTIF('Live Search'!BM$25:BV$25,0)+COUNTIF('Live Search'!BX$25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J26">
        <f>IF($BH$26="",FALSE,SUMPRODUCT(('Final Calculation Sheet'!$J$4:$J$40=$BH$26)*($HI$6:$HI$42=1))&gt;0)</f>
        <v/>
      </c>
      <c r="HK26">
        <f>$HK$25+--($HJ26)</f>
        <v/>
      </c>
      <c r="HL26">
        <f>IF(ROW()-3&gt;MAX($HK$4:$HK$40),"",INDEX($BH$4:$BH$40,MATCH(ROW()-3,$HK$4:$HK$40,0)))</f>
        <v/>
      </c>
      <c r="HM26">
        <f>IF(COUNTIF('Live Search'!BM$25:BW$25,0)+COUNTIF('Live Search'!BY$25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N26">
        <f>IF($BM$26="",FALSE,SUMPRODUCT(('Final Calculation Sheet'!$K$4:$K$40=$BM$26)*($HM$6:$HM$42=1))&gt;0)</f>
        <v/>
      </c>
      <c r="HO26">
        <f>$HO$25+--($HN26)</f>
        <v/>
      </c>
      <c r="HP26">
        <f>IF(ROW()-3&gt;MAX($HO$4:$HO$40),"",INDEX($BM$4:$BM$40,MATCH(ROW()-3,$HO$4:$HO$40,0)))</f>
        <v/>
      </c>
      <c r="HQ26">
        <f>IF(COUNTIF('Live Search'!BM$25:BX$25,0)+COUNTIF('Live Search'!BZ$25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R26">
        <f>IF($BR$26="",FALSE,SUMPRODUCT(('Final Calculation Sheet'!$L$4:$L$40=$BR$26)*($HQ$6:$HQ$42=1))&gt;0)</f>
        <v/>
      </c>
      <c r="HS26">
        <f>$HS$25+--($HR26)</f>
        <v/>
      </c>
      <c r="HT26">
        <f>IF(ROW()-3&gt;MAX($HS$4:$HS$40),"",INDEX($BR$4:$BR$40,MATCH(ROW()-3,$HS$4:$HS$40,0)))</f>
        <v/>
      </c>
      <c r="HU26">
        <f>IF(COUNTIF('Live Search'!BM$25:BY$25,0)+COUNTIF('Live Search'!CA$25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V26">
        <f>IF($BW$26="",FALSE,SUMPRODUCT(('Final Calculation Sheet'!$M$4:$M$40=$BW$26)*($HU$6:$HU$42=1))&gt;0)</f>
        <v/>
      </c>
      <c r="HW26">
        <f>$HW$25+--($HV26)</f>
        <v/>
      </c>
      <c r="HX26">
        <f>IF(ROW()-3&gt;MAX($HW$4:$HW$40),"",INDEX($BW$4:$BW$40,MATCH(ROW()-3,$HW$4:$HW$40,0)))</f>
        <v/>
      </c>
      <c r="HY26">
        <f>IF(COUNTIF('Live Search'!BM$25:BZ$25,0)+COUNTIF('Live Search'!CB$25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HZ26">
        <f>IF($CB$26="",FALSE,SUMPRODUCT(('Final Calculation Sheet'!$N$4:$N$40=$CB$26)*($HY$6:$HY$42=1))&gt;0)</f>
        <v/>
      </c>
      <c r="IA26">
        <f>$IA$25+--($HZ26)</f>
        <v/>
      </c>
      <c r="IB26">
        <f>IF(ROW()-3&gt;MAX($IA$4:$IA$40),"",INDEX($CB$4:$CB$40,MATCH(ROW()-3,$IA$4:$IA$40,0)))</f>
        <v/>
      </c>
      <c r="IC26">
        <f>IF(COUNTIF('Live Search'!BM$25:CA$25,0)+COUNTIF('Live Search'!CC$25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D26">
        <f>IF($CG$26="",FALSE,SUMPRODUCT(('Final Calculation Sheet'!$O$4:$O$40=$CG$26)*($IC$6:$IC$42=1))&gt;0)</f>
        <v/>
      </c>
      <c r="IE26">
        <f>$IE$25+--($ID26)</f>
        <v/>
      </c>
      <c r="IF26">
        <f>IF(ROW()-3&gt;MAX($IE$4:$IE$40),"",INDEX($CG$4:$CG$40,MATCH(ROW()-3,$IE$4:$IE$40,0)))</f>
        <v/>
      </c>
      <c r="IG26">
        <f>IF(COUNTIF('Live Search'!BM$25:CB$25,0)+COUNTIF('Live Search'!CD$25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H26">
        <f>IF($CL$26="",FALSE,SUMPRODUCT(('Final Calculation Sheet'!$P$4:$P$40=$CL$26)*($IG$6:$IG$42=1))&gt;0)</f>
        <v/>
      </c>
      <c r="II26">
        <f>$II$25+--($IH26)</f>
        <v/>
      </c>
      <c r="IJ26">
        <f>IF(ROW()-3&gt;MAX($II$4:$II$40),"",INDEX($CL$4:$CL$40,MATCH(ROW()-3,$II$4:$II$40,0)))</f>
        <v/>
      </c>
      <c r="IK26">
        <f>IF(COUNTIF('Live Search'!BM$25:CC$25,0)+COUNTIF('Live Search'!CE$25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L26">
        <f>IF($CQ$26="",FALSE,SUMPRODUCT(('Final Calculation Sheet'!$Q$4:$Q$40=$CQ$26)*($IK$6:$IK$42=1))&gt;0)</f>
        <v/>
      </c>
      <c r="IM26">
        <f>$IM$25+--($IL26)</f>
        <v/>
      </c>
      <c r="IN26">
        <f>IF(ROW()-3&gt;MAX($IM$4:$IM$40),"",INDEX($CQ$4:$CQ$40,MATCH(ROW()-3,$IM$4:$IM$40,0)))</f>
        <v/>
      </c>
      <c r="IO26">
        <f>IF(COUNTIF('Live Search'!BM$25:CD$25,0)+COUNTIF('Live Search'!CF$25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P26">
        <f>IF($CV$26="",FALSE,SUMPRODUCT(('Final Calculation Sheet'!$R$4:$R$40=$CV$26)*($IO$6:$IO$42=1))&gt;0)</f>
        <v/>
      </c>
      <c r="IQ26">
        <f>$IQ$25+--($IP26)</f>
        <v/>
      </c>
      <c r="IR26">
        <f>IF(ROW()-3&gt;MAX($IQ$4:$IQ$40),"",INDEX($CV$4:$CV$40,MATCH(ROW()-3,$IQ$4:$IQ$40,0)))</f>
        <v/>
      </c>
      <c r="IS26">
        <f>IF(COUNTIF('Live Search'!BM$25:CE$25,0)+COUNTIF('Live Search'!CG$25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T26">
        <f>IF($DA$26="",FALSE,SUMPRODUCT(('Final Calculation Sheet'!$S$4:$S$40=$DA$26)*($IS$6:$IS$42=1))&gt;0)</f>
        <v/>
      </c>
      <c r="IU26">
        <f>$IU$25+--($IT26)</f>
        <v/>
      </c>
      <c r="IV26">
        <f>IF(ROW()-3&gt;MAX($IU$4:$IU$40),"",INDEX($DA$4:$DA$40,MATCH(ROW()-3,$IU$4:$IU$40,0)))</f>
        <v/>
      </c>
      <c r="IW26">
        <f>IF(COUNTIF('Live Search'!BM$25:CF$25,0)+COUNTIF('Live Search'!CH$25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IX26">
        <f>IF($DF$26="",FALSE,SUMPRODUCT(('Final Calculation Sheet'!$T$4:$T$40=$DF$26)*($IW$6:$IW$42=1))&gt;0)</f>
        <v/>
      </c>
      <c r="IY26">
        <f>$IY$25+--($IX26)</f>
        <v/>
      </c>
      <c r="IZ26">
        <f>IF(ROW()-3&gt;MAX($IY$4:$IY$40),"",INDEX($DF$4:$DF$40,MATCH(ROW()-3,$IY$4:$IY$40,0)))</f>
        <v/>
      </c>
      <c r="JA26">
        <f>IF(COUNTIF('Live Search'!BM$25:CG$25,0)+COUNTIF('Live Search'!CI$25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B26">
        <f>IF($DK$26="",FALSE,SUMPRODUCT(('Final Calculation Sheet'!$U$4:$U$40=$DK$26)*($JA$6:$JA$42=1))&gt;0)</f>
        <v/>
      </c>
      <c r="JC26">
        <f>$JC$25+--($JB26)</f>
        <v/>
      </c>
      <c r="JD26">
        <f>IF(ROW()-3&gt;MAX($JC$4:$JC$40),"",INDEX($DK$4:$DK$40,MATCH(ROW()-3,$JC$4:$JC$40,0)))</f>
        <v/>
      </c>
      <c r="JE26">
        <f>IF(COUNTIF('Live Search'!BM$25:CH$25,0)+COUNTIF('Live Search'!CJ$25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F26">
        <f>IF($DP$26="",FALSE,SUMPRODUCT(('Final Calculation Sheet'!$V$4:$V$40=$DP$26)*($JE$6:$JE$42=1))&gt;0)</f>
        <v/>
      </c>
      <c r="JG26">
        <f>$JG$25+--($JF26)</f>
        <v/>
      </c>
      <c r="JH26">
        <f>IF(ROW()-3&gt;MAX($JG$4:$JG$40),"",INDEX($DP$4:$DP$40,MATCH(ROW()-3,$JG$4:$JG$40,0)))</f>
        <v/>
      </c>
      <c r="JI26">
        <f>IF(COUNTIF('Live Search'!BM$25:CI$25,0)+COUNTIF('Live Search'!CK$25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J26">
        <f>IF($DU$26="",FALSE,SUMPRODUCT(('Final Calculation Sheet'!$W$4:$W$40=$DU$26)*($JI$6:$JI$42=1))&gt;0)</f>
        <v/>
      </c>
      <c r="JK26">
        <f>$JK$25+--($JJ26)</f>
        <v/>
      </c>
      <c r="JL26">
        <f>IF(ROW()-3&gt;MAX($JK$4:$JK$40),"",INDEX($DU$4:$DU$40,MATCH(ROW()-3,$JK$4:$JK$40,0)))</f>
        <v/>
      </c>
      <c r="JM26">
        <f>IF(COUNTIF('Live Search'!BM$25:CJ$25,0)+COUNTIF('Live Search'!CL$25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N26">
        <f>IF($DZ$26="",FALSE,SUMPRODUCT(('Final Calculation Sheet'!$X$4:$X$40=$DZ$26)*($JM$6:$JM$42=1))&gt;0)</f>
        <v/>
      </c>
      <c r="JO26">
        <f>$JO$25+--($JN26)</f>
        <v/>
      </c>
      <c r="JP26">
        <f>IF(ROW()-3&gt;MAX($JO$4:$JO$40),"",INDEX($DZ$4:$DZ$40,MATCH(ROW()-3,$JO$4:$JO$40,0)))</f>
        <v/>
      </c>
      <c r="JQ26">
        <f>IF(COUNTIF('Live Search'!BM$25:CK$25,0)+COUNTIF('Live Search'!C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R26">
        <f>IF($EE$26="",FALSE,SUMPRODUCT(('Final Calculation Sheet'!$Y$4:$Y$40=$EE$26)*($JQ$6:$JQ$42=1))&gt;0)</f>
        <v/>
      </c>
      <c r="JS26">
        <f>$JS$25+--($JR26)</f>
        <v/>
      </c>
      <c r="JT26">
        <f>IF(ROW()-3&gt;MAX($JS$4:$JS$40),"",INDEX($EE$4:$EE$40,MATCH(ROW()-3,$JS$4:$JS$40,0)))</f>
        <v/>
      </c>
      <c r="JU26">
        <f>IF(COUNTIF('Live Search'!BM$25:CL$25,0)+COUNTIF('Live Search'!CN$25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V26">
        <f>IF($EJ$26="",FALSE,SUMPRODUCT(('Final Calculation Sheet'!$Z$4:$Z$40=$EJ$26)*($JU$6:$JU$42=1))&gt;0)</f>
        <v/>
      </c>
      <c r="JW26">
        <f>$JW$25+--($JV26)</f>
        <v/>
      </c>
      <c r="JX26">
        <f>IF(ROW()-3&gt;MAX($JW$4:$JW$40),"",INDEX($EJ$4:$EJ$40,MATCH(ROW()-3,$JW$4:$JW$40,0)))</f>
        <v/>
      </c>
      <c r="JY26">
        <f>IF(COUNTIF('Live Search'!BM$25:CM$25,0)+COUNTIF('Live Search'!CO$25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JZ26">
        <f>IF($EO$26="",FALSE,SUMPRODUCT(('Final Calculation Sheet'!$AA$4:$AA$40=$EO$26)*($JY$6:$JY$42=1))&gt;0)</f>
        <v/>
      </c>
      <c r="KA26">
        <f>$KA$25+--($JZ26)</f>
        <v/>
      </c>
      <c r="KB26">
        <f>IF(ROW()-3&gt;MAX($KA$4:$KA$40),"",INDEX($EO$4:$EO$40,MATCH(ROW()-3,$KA$4:$KA$40,0)))</f>
        <v/>
      </c>
      <c r="KC26">
        <f>IF(COUNTIF('Live Search'!BM$25:CN$25,0)+COUNTIF('Live Search'!CP$25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D26">
        <f>IF($ET$26="",FALSE,SUMPRODUCT(('Final Calculation Sheet'!$AB$4:$AB$40=$ET$26)*($KC$6:$KC$42=1))&gt;0)</f>
        <v/>
      </c>
      <c r="KE26">
        <f>$KE$25+--($KD26)</f>
        <v/>
      </c>
      <c r="KF26">
        <f>IF(ROW()-3&gt;MAX($KE$4:$KE$40),"",INDEX($ET$4:$ET$40,MATCH(ROW()-3,$KE$4:$KE$40,0)))</f>
        <v/>
      </c>
      <c r="KG26">
        <f>IF(COUNTIF('Live Search'!BM$25:CO$25,0)+COUNTIF('Live Search'!CQ$25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H26">
        <f>IF($EY$26="",FALSE,SUMPRODUCT(('Final Calculation Sheet'!$AC$4:$AC$40=$EY$26)*($KG$6:$KG$42=1))&gt;0)</f>
        <v/>
      </c>
      <c r="KI26">
        <f>$KI$25+--($KH26)</f>
        <v/>
      </c>
      <c r="KJ26">
        <f>IF(ROW()-3&gt;MAX($KI$4:$KI$40),"",INDEX($EY$4:$EY$40,MATCH(ROW()-3,$KI$4:$KI$40,0)))</f>
        <v/>
      </c>
      <c r="KK26">
        <f>IF(COUNTIF('Live Search'!BM$25:CP$25,0)+COUNTIF('Live Search'!CR$25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L26">
        <f>IF($FD$26="",FALSE,SUMPRODUCT(('Final Calculation Sheet'!$AD$4:$AD$40=$FD$26)*($KK$6:$KK$42=1))&gt;0)</f>
        <v/>
      </c>
      <c r="KM26">
        <f>$KM$25+--($KL26)</f>
        <v/>
      </c>
      <c r="KN26">
        <f>IF(ROW()-3&gt;MAX($KM$4:$KM$40),"",INDEX($FD$4:$FD$40,MATCH(ROW()-3,$KM$4:$KM$40,0)))</f>
        <v/>
      </c>
      <c r="KO26">
        <f>IF(COUNTIF('Live Search'!BM$25:CT$25,0)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P26">
        <f>IF($FX$26="",FALSE,SUMPRODUCT((IF('Final Calculation Sheet'!$AD$4:$AD$40&lt;=5,"SETTLED","OUTSTANDING")=$FX$26)*($KO$6:$KO$42=1))&gt;0)</f>
        <v/>
      </c>
      <c r="KQ26">
        <f>$KQ$25+--($KP26)</f>
        <v/>
      </c>
      <c r="KR26">
        <f>IF(ROW()-3&gt;MAX($KQ$4:$KQ$40),"",INDEX($FX$4:$FX$40,MATCH(ROW()-3,$KQ$4:$KQ$40,0)))</f>
        <v/>
      </c>
      <c r="KS26">
        <f>IF(COUNTIF('Live Search'!BM$25:CQ$25,0)+COUNTIF('Live Search'!CS$25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T26">
        <f>IF($FI$26="",FALSE,SUMPRODUCT(('Final Calculation Sheet'!$AF$4:$AF$40=$FI$26)*($KS$6:$KS$42=1))&gt;0)</f>
        <v/>
      </c>
      <c r="KU26">
        <f>$KU$25+--($KT26)</f>
        <v/>
      </c>
      <c r="KV26">
        <f>IF(ROW()-3&gt;MAX($KU$4:$KU$40),"",INDEX($FI$4:$FI$40,MATCH(ROW()-3,$KU$4:$KU$40,0)))</f>
        <v/>
      </c>
      <c r="KW26">
        <f>IF(COUNTIF('Live Search'!BM$25:CR$25,0)+COUNTIF('Live Search'!CT$25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KX26">
        <f>IF($FN$26="",FALSE,SUMPRODUCT(('Final Calculation Sheet'!$AG$4:$AG$40=$FN$26)*($KW$6:$KW$42=1))&gt;0)</f>
        <v/>
      </c>
      <c r="KY26">
        <f>$KY$25+--($KX26)</f>
        <v/>
      </c>
      <c r="KZ26">
        <f>IF(ROW()-3&gt;MAX($KY$4:$KY$40),"",INDEX($FN$4:$FN$40,MATCH(ROW()-3,$KY$4:$KY$40,0)))</f>
        <v/>
      </c>
      <c r="LA26">
        <f>IF(COUNTIF('Live Search'!BM$25:CS$25,0)+COUNTIF('Live Search'!CU$25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LB26">
        <f>IF($FS$26="",FALSE,SUMPRODUCT(('Final Calculation Sheet'!$AH$4:$AH$40=$FS$26)*($LA$6:$LA$42=1))&gt;0)</f>
        <v/>
      </c>
      <c r="LC26">
        <f>$LC$25+--($LB26)</f>
        <v/>
      </c>
      <c r="LD26">
        <f>IF(ROW()-3&gt;MAX($LC$4:$LC$40),"",INDEX($FS$4:$FS$40,MATCH(ROW()-3,$LC$4:$LC$40,0)))</f>
        <v/>
      </c>
      <c r="LE26">
        <f>IF(COUNTIF('Buyer Groups'!DH79:EN79,0)&gt;0,0,1)</f>
        <v/>
      </c>
      <c r="LF26">
        <f>IF($O$26="",FALSE,SUMPRODUCT(('Final Calculation Sheet'!$F$4:$F$40=$O$26)*($LE$6:$LE$42=1))&gt;0)</f>
        <v/>
      </c>
      <c r="LG26">
        <f>$LG$25+--($LF26)</f>
        <v/>
      </c>
      <c r="LH26">
        <f>IF(ROW()-3&gt;MAX($LG$4:$LG$40),"",INDEX($O$4:$O$40,MATCH(ROW()-3,$LG$4:$LG$40,0)))</f>
        <v/>
      </c>
      <c r="LI26">
        <f>IF(COUNTIF('Buyer Groups'!DG79:DG79,0)+COUNTIF('Buyer Groups'!DI79:EN79,0)&gt;0,0,1)</f>
        <v/>
      </c>
      <c r="LJ26">
        <f>IF($T$26="",FALSE,SUMPRODUCT(('Final Calculation Sheet'!$G$4:$G$40=$T$26)*($LI$6:$LI$42=1))&gt;0)</f>
        <v/>
      </c>
      <c r="LK26">
        <f>$LK$25+--($LJ26)</f>
        <v/>
      </c>
      <c r="LL26">
        <f>IF(ROW()-3&gt;MAX($LK$4:$LK$40),"",INDEX($T$4:$T$40,MATCH(ROW()-3,$LK$4:$LK$40,0)))</f>
        <v/>
      </c>
      <c r="LM26">
        <f>IF(COUNTIF('Buyer Groups'!DG79:DH79,0)+COUNTIF('Buyer Groups'!DJ79:EN79,0)&gt;0,0,1)</f>
        <v/>
      </c>
      <c r="LN26">
        <f>IF($Y$26="",FALSE,SUMPRODUCT(('Final Calculation Sheet'!$B$4:$B$40=$Y$26)*($LM$6:$LM$42=1))&gt;0)</f>
        <v/>
      </c>
      <c r="LO26">
        <f>$LO$25+--($LN26)</f>
        <v/>
      </c>
      <c r="LP26">
        <f>IF(ROW()-3&gt;MAX($LO$4:$LO$40),"",INDEX($Y$4:$Y$40,MATCH(ROW()-3,$LO$4:$LO$40,0)))</f>
        <v/>
      </c>
      <c r="LQ26">
        <f>IF(COUNTIF('Buyer Groups'!DG79:DI79,0)+COUNTIF('Buyer Groups'!DK79:EN79,0)&gt;0,0,1)</f>
        <v/>
      </c>
      <c r="LR26">
        <f>IF($AD$26="",FALSE,SUMPRODUCT(('Final Calculation Sheet'!$D$4:$D$40=$AD$26)*($LQ$6:$LQ$42=1))&gt;0)</f>
        <v/>
      </c>
      <c r="LS26">
        <f>$LS$25+--($LR26)</f>
        <v/>
      </c>
      <c r="LT26">
        <f>IF(ROW()-3&gt;MAX($LS$4:$LS$40),"",INDEX($AD$4:$AD$40,MATCH(ROW()-3,$LS$4:$LS$40,0)))</f>
        <v/>
      </c>
      <c r="LU26">
        <f>IF(COUNTIF('Buyer Groups'!DG79:DJ79,0)+COUNTIF('Buyer Groups'!DL79:EN79,0)&gt;0,0,1)</f>
        <v/>
      </c>
      <c r="LV26">
        <f>IF($AI$26="",FALSE,SUMPRODUCT(('Final Calculation Sheet'!$A$4:$A$40=$AI$26)*($LU$6:$LU$42=1))&gt;0)</f>
        <v/>
      </c>
      <c r="LW26">
        <f>$LW$25+--($LV26)</f>
        <v/>
      </c>
      <c r="LX26">
        <f>IF(ROW()-3&gt;MAX($LW$4:$LW$40),"",INDEX($AI$4:$AI$40,MATCH(ROW()-3,$LW$4:$LW$40,0)))</f>
        <v/>
      </c>
      <c r="LY26">
        <f>IF(COUNTIF('Buyer Groups'!DG79:DK79,0)+COUNTIF('Buyer Groups'!DM79:EN79,0)&gt;0,0,1)</f>
        <v/>
      </c>
      <c r="LZ26">
        <f>IF($AN$26="",FALSE,SUMPRODUCT(('Final Calculation Sheet'!$E$4:$E$40=$AN$26)*($LY$6:$LY$42=1))&gt;0)</f>
        <v/>
      </c>
      <c r="MA26">
        <f>$MA$25+--($LZ26)</f>
        <v/>
      </c>
      <c r="MB26">
        <f>IF(ROW()-3&gt;MAX($MA$4:$MA$40),"",INDEX($AN$4:$AN$40,MATCH(ROW()-3,$MA$4:$MA$40,0)))</f>
        <v/>
      </c>
      <c r="MC26">
        <f>IF(COUNTIF('Buyer Groups'!DG79:DL79,0)+COUNTIF('Buyer Groups'!DN79:EN79,0)&gt;0,0,1)</f>
        <v/>
      </c>
      <c r="MD26">
        <f>IF($AS$26="",FALSE,SUMPRODUCT(('Final Calculation Sheet'!$C$4:$C$40=$AS$26)*($MC$6:$MC$42=1))&gt;0)</f>
        <v/>
      </c>
      <c r="ME26">
        <f>$ME$25+--($MD26)</f>
        <v/>
      </c>
      <c r="MF26">
        <f>IF(ROW()-3&gt;MAX($ME$4:$ME$40),"",INDEX($AS$4:$AS$40,MATCH(ROW()-3,$ME$4:$ME$40,0)))</f>
        <v/>
      </c>
      <c r="MG26">
        <f>IF(COUNTIF('Buyer Groups'!DG79:DM79,0)+COUNTIF('Buyer Groups'!DO79:EN79,0)&gt;0,0,1)</f>
        <v/>
      </c>
      <c r="MH26">
        <f>IF($AX$26="",FALSE,SUMPRODUCT(('Final Calculation Sheet'!$H$4:$H$40=$AX$26)*($MG$6:$MG$42=1))&gt;0)</f>
        <v/>
      </c>
      <c r="MI26">
        <f>$MI$25+--($MH26)</f>
        <v/>
      </c>
      <c r="MJ26">
        <f>IF(ROW()-3&gt;MAX($MI$4:$MI$40),"",INDEX($AX$4:$AX$40,MATCH(ROW()-3,$MI$4:$MI$40,0)))</f>
        <v/>
      </c>
      <c r="MK26">
        <f>IF(COUNTIF('Buyer Groups'!DG79:DN79,0)+COUNTIF('Buyer Groups'!DP79:EN79,0)&gt;0,0,1)</f>
        <v/>
      </c>
      <c r="ML26">
        <f>IF($BC$26="",FALSE,SUMPRODUCT(('Final Calculation Sheet'!$I$4:$I$40=$BC$26)*($MK$6:$MK$42=1))&gt;0)</f>
        <v/>
      </c>
      <c r="MM26">
        <f>$MM$25+--($ML26)</f>
        <v/>
      </c>
      <c r="MN26">
        <f>IF(ROW()-3&gt;MAX($MM$4:$MM$40),"",INDEX($BC$4:$BC$40,MATCH(ROW()-3,$MM$4:$MM$40,0)))</f>
        <v/>
      </c>
      <c r="MO26">
        <f>IF(COUNTIF('Buyer Groups'!DG79:DO79,0)+COUNTIF('Buyer Groups'!DQ79:EN79,0)&gt;0,0,1)</f>
        <v/>
      </c>
      <c r="MP26">
        <f>IF($BH$26="",FALSE,SUMPRODUCT(('Final Calculation Sheet'!$J$4:$J$40=$BH$26)*($MO$6:$MO$42=1))&gt;0)</f>
        <v/>
      </c>
      <c r="MQ26">
        <f>$MQ$25+--($MP26)</f>
        <v/>
      </c>
      <c r="MR26">
        <f>IF(ROW()-3&gt;MAX($MQ$4:$MQ$40),"",INDEX($BH$4:$BH$40,MATCH(ROW()-3,$MQ$4:$MQ$40,0)))</f>
        <v/>
      </c>
      <c r="MS26">
        <f>IF(COUNTIF('Buyer Groups'!DG79:DP79,0)+COUNTIF('Buyer Groups'!DR79:EN79,0)&gt;0,0,1)</f>
        <v/>
      </c>
      <c r="MT26">
        <f>IF($BM$26="",FALSE,SUMPRODUCT(('Final Calculation Sheet'!$K$4:$K$40=$BM$26)*($MS$6:$MS$42=1))&gt;0)</f>
        <v/>
      </c>
      <c r="MU26">
        <f>$MU$25+--($MT26)</f>
        <v/>
      </c>
      <c r="MV26">
        <f>IF(ROW()-3&gt;MAX($MU$4:$MU$40),"",INDEX($BM$4:$BM$40,MATCH(ROW()-3,$MU$4:$MU$40,0)))</f>
        <v/>
      </c>
      <c r="MW26">
        <f>IF(COUNTIF('Buyer Groups'!DG79:DQ79,0)+COUNTIF('Buyer Groups'!DS79:EN79,0)&gt;0,0,1)</f>
        <v/>
      </c>
      <c r="MX26">
        <f>IF($BR$26="",FALSE,SUMPRODUCT(('Final Calculation Sheet'!$L$4:$L$40=$BR$26)*($MW$6:$MW$42=1))&gt;0)</f>
        <v/>
      </c>
      <c r="MY26">
        <f>$MY$25+--($MX26)</f>
        <v/>
      </c>
      <c r="MZ26">
        <f>IF(ROW()-3&gt;MAX($MY$4:$MY$40),"",INDEX($BR$4:$BR$40,MATCH(ROW()-3,$MY$4:$MY$40,0)))</f>
        <v/>
      </c>
      <c r="NA26">
        <f>IF(COUNTIF('Buyer Groups'!DG79:DR79,0)+COUNTIF('Buyer Groups'!DT79:EN79,0)&gt;0,0,1)</f>
        <v/>
      </c>
      <c r="NB26">
        <f>IF($BW$26="",FALSE,SUMPRODUCT(('Final Calculation Sheet'!$M$4:$M$40=$BW$26)*($NA$6:$NA$42=1))&gt;0)</f>
        <v/>
      </c>
      <c r="NC26">
        <f>$NC$25+--($NB26)</f>
        <v/>
      </c>
      <c r="ND26">
        <f>IF(ROW()-3&gt;MAX($NC$4:$NC$40),"",INDEX($BW$4:$BW$40,MATCH(ROW()-3,$NC$4:$NC$40,0)))</f>
        <v/>
      </c>
      <c r="NE26">
        <f>IF(COUNTIF('Buyer Groups'!DG79:DS79,0)+COUNTIF('Buyer Groups'!DU79:EN79,0)&gt;0,0,1)</f>
        <v/>
      </c>
      <c r="NF26">
        <f>IF($CB$26="",FALSE,SUMPRODUCT(('Final Calculation Sheet'!$N$4:$N$40=$CB$26)*($NE$6:$NE$42=1))&gt;0)</f>
        <v/>
      </c>
      <c r="NG26">
        <f>$NG$25+--($NF26)</f>
        <v/>
      </c>
      <c r="NH26">
        <f>IF(ROW()-3&gt;MAX($NG$4:$NG$40),"",INDEX($CB$4:$CB$40,MATCH(ROW()-3,$NG$4:$NG$40,0)))</f>
        <v/>
      </c>
      <c r="NI26">
        <f>IF(COUNTIF('Buyer Groups'!DG79:DT79,0)+COUNTIF('Buyer Groups'!DV79:EN79,0)&gt;0,0,1)</f>
        <v/>
      </c>
      <c r="NJ26">
        <f>IF($CG$26="",FALSE,SUMPRODUCT(('Final Calculation Sheet'!$O$4:$O$40=$CG$26)*($NI$6:$NI$42=1))&gt;0)</f>
        <v/>
      </c>
      <c r="NK26">
        <f>$NK$25+--($NJ26)</f>
        <v/>
      </c>
      <c r="NL26">
        <f>IF(ROW()-3&gt;MAX($NK$4:$NK$40),"",INDEX($CG$4:$CG$40,MATCH(ROW()-3,$NK$4:$NK$40,0)))</f>
        <v/>
      </c>
      <c r="NM26">
        <f>IF(COUNTIF('Buyer Groups'!DG79:DU79,0)+COUNTIF('Buyer Groups'!DW79:EN79,0)&gt;0,0,1)</f>
        <v/>
      </c>
      <c r="NN26">
        <f>IF($CL$26="",FALSE,SUMPRODUCT(('Final Calculation Sheet'!$P$4:$P$40=$CL$26)*($NM$6:$NM$42=1))&gt;0)</f>
        <v/>
      </c>
      <c r="NO26">
        <f>$NO$25+--($NN26)</f>
        <v/>
      </c>
      <c r="NP26">
        <f>IF(ROW()-3&gt;MAX($NO$4:$NO$40),"",INDEX($CL$4:$CL$40,MATCH(ROW()-3,$NO$4:$NO$40,0)))</f>
        <v/>
      </c>
      <c r="NQ26">
        <f>IF(COUNTIF('Buyer Groups'!DG79:DV79,0)+COUNTIF('Buyer Groups'!DX79:EN79,0)&gt;0,0,1)</f>
        <v/>
      </c>
      <c r="NR26">
        <f>IF($CQ$26="",FALSE,SUMPRODUCT(('Final Calculation Sheet'!$Q$4:$Q$40=$CQ$26)*($NQ$6:$NQ$42=1))&gt;0)</f>
        <v/>
      </c>
      <c r="NS26">
        <f>$NS$25+--($NR26)</f>
        <v/>
      </c>
      <c r="NT26">
        <f>IF(ROW()-3&gt;MAX($NS$4:$NS$40),"",INDEX($CQ$4:$CQ$40,MATCH(ROW()-3,$NS$4:$NS$40,0)))</f>
        <v/>
      </c>
      <c r="NU26">
        <f>IF(COUNTIF('Buyer Groups'!DG79:DW79,0)+COUNTIF('Buyer Groups'!DY79:EN79,0)&gt;0,0,1)</f>
        <v/>
      </c>
      <c r="NV26">
        <f>IF($CV$26="",FALSE,SUMPRODUCT(('Final Calculation Sheet'!$R$4:$R$40=$CV$26)*($NU$6:$NU$42=1))&gt;0)</f>
        <v/>
      </c>
      <c r="NW26">
        <f>$NW$25+--($NV26)</f>
        <v/>
      </c>
      <c r="NX26">
        <f>IF(ROW()-3&gt;MAX($NW$4:$NW$40),"",INDEX($CV$4:$CV$40,MATCH(ROW()-3,$NW$4:$NW$40,0)))</f>
        <v/>
      </c>
      <c r="NY26">
        <f>IF(COUNTIF('Buyer Groups'!DG79:DX79,0)+COUNTIF('Buyer Groups'!DZ79:EN79,0)&gt;0,0,1)</f>
        <v/>
      </c>
      <c r="NZ26">
        <f>IF($DA$26="",FALSE,SUMPRODUCT(('Final Calculation Sheet'!$S$4:$S$40=$DA$26)*($NY$6:$NY$42=1))&gt;0)</f>
        <v/>
      </c>
      <c r="OA26">
        <f>$OA$25+--($NZ26)</f>
        <v/>
      </c>
      <c r="OB26">
        <f>IF(ROW()-3&gt;MAX($OA$4:$OA$40),"",INDEX($DA$4:$DA$40,MATCH(ROW()-3,$OA$4:$OA$40,0)))</f>
        <v/>
      </c>
      <c r="OC26">
        <f>IF(COUNTIF('Buyer Groups'!DG79:DY79,0)+COUNTIF('Buyer Groups'!EA79:EN79,0)&gt;0,0,1)</f>
        <v/>
      </c>
      <c r="OD26">
        <f>IF($DF$26="",FALSE,SUMPRODUCT(('Final Calculation Sheet'!$T$4:$T$40=$DF$26)*($OC$6:$OC$42=1))&gt;0)</f>
        <v/>
      </c>
      <c r="OE26">
        <f>$OE$25+--($OD26)</f>
        <v/>
      </c>
      <c r="OF26">
        <f>IF(ROW()-3&gt;MAX($OE$4:$OE$40),"",INDEX($DF$4:$DF$40,MATCH(ROW()-3,$OE$4:$OE$40,0)))</f>
        <v/>
      </c>
      <c r="OG26">
        <f>IF(COUNTIF('Buyer Groups'!DG79:DZ79,0)+COUNTIF('Buyer Groups'!EB79:EN79,0)&gt;0,0,1)</f>
        <v/>
      </c>
      <c r="OH26">
        <f>IF($DK$26="",FALSE,SUMPRODUCT(('Final Calculation Sheet'!$U$4:$U$40=$DK$26)*($OG$6:$OG$42=1))&gt;0)</f>
        <v/>
      </c>
      <c r="OI26">
        <f>$OI$25+--($OH26)</f>
        <v/>
      </c>
      <c r="OJ26">
        <f>IF(ROW()-3&gt;MAX($OI$4:$OI$40),"",INDEX($DK$4:$DK$40,MATCH(ROW()-3,$OI$4:$OI$40,0)))</f>
        <v/>
      </c>
      <c r="OK26">
        <f>IF(COUNTIF('Buyer Groups'!DG79:EA79,0)+COUNTIF('Buyer Groups'!EC79:EN79,0)&gt;0,0,1)</f>
        <v/>
      </c>
      <c r="OL26">
        <f>IF($DP$26="",FALSE,SUMPRODUCT(('Final Calculation Sheet'!$V$4:$V$40=$DP$26)*($OK$6:$OK$42=1))&gt;0)</f>
        <v/>
      </c>
      <c r="OM26">
        <f>$OM$25+--($OL26)</f>
        <v/>
      </c>
      <c r="ON26">
        <f>IF(ROW()-3&gt;MAX($OM$4:$OM$40),"",INDEX($DP$4:$DP$40,MATCH(ROW()-3,$OM$4:$OM$40,0)))</f>
        <v/>
      </c>
      <c r="OO26">
        <f>IF(COUNTIF('Buyer Groups'!DG79:EB79,0)+COUNTIF('Buyer Groups'!ED79:EN79,0)&gt;0,0,1)</f>
        <v/>
      </c>
      <c r="OP26">
        <f>IF($DU$26="",FALSE,SUMPRODUCT(('Final Calculation Sheet'!$W$4:$W$40=$DU$26)*($OO$6:$OO$42=1))&gt;0)</f>
        <v/>
      </c>
      <c r="OQ26">
        <f>$OQ$25+--($OP26)</f>
        <v/>
      </c>
      <c r="OR26">
        <f>IF(ROW()-3&gt;MAX($OQ$4:$OQ$40),"",INDEX($DU$4:$DU$40,MATCH(ROW()-3,$OQ$4:$OQ$40,0)))</f>
        <v/>
      </c>
      <c r="OS26">
        <f>IF(COUNTIF('Buyer Groups'!DG79:EC79,0)+COUNTIF('Buyer Groups'!EE79:EN79,0)&gt;0,0,1)</f>
        <v/>
      </c>
      <c r="OT26">
        <f>IF($DZ$26="",FALSE,SUMPRODUCT(('Final Calculation Sheet'!$X$4:$X$40=$DZ$26)*($OS$6:$OS$42=1))&gt;0)</f>
        <v/>
      </c>
      <c r="OU26">
        <f>$OU$25+--($OT26)</f>
        <v/>
      </c>
      <c r="OV26">
        <f>IF(ROW()-3&gt;MAX($OU$4:$OU$40),"",INDEX($DZ$4:$DZ$40,MATCH(ROW()-3,$OU$4:$OU$40,0)))</f>
        <v/>
      </c>
      <c r="OW26">
        <f>IF(COUNTIF('Buyer Groups'!DG79:ED79,0)+COUNTIF('Buyer Groups'!EF79:EN79,0)&gt;0,0,1)</f>
        <v/>
      </c>
      <c r="OX26">
        <f>IF($EE$26="",FALSE,SUMPRODUCT(('Final Calculation Sheet'!$Y$4:$Y$40=$EE$26)*($OW$6:$OW$42=1))&gt;0)</f>
        <v/>
      </c>
      <c r="OY26">
        <f>$OY$25+--($OX26)</f>
        <v/>
      </c>
      <c r="OZ26">
        <f>IF(ROW()-3&gt;MAX($OY$4:$OY$40),"",INDEX($EE$4:$EE$40,MATCH(ROW()-3,$OY$4:$OY$40,0)))</f>
        <v/>
      </c>
      <c r="PA26">
        <f>IF(COUNTIF('Buyer Groups'!DG79:EE79,0)+COUNTIF('Buyer Groups'!EG79:EN79,0)&gt;0,0,1)</f>
        <v/>
      </c>
      <c r="PB26">
        <f>IF($EJ$26="",FALSE,SUMPRODUCT(('Final Calculation Sheet'!$Z$4:$Z$40=$EJ$26)*($PA$6:$PA$42=1))&gt;0)</f>
        <v/>
      </c>
      <c r="PC26">
        <f>$PC$25+--($PB26)</f>
        <v/>
      </c>
      <c r="PD26">
        <f>IF(ROW()-3&gt;MAX($PC$4:$PC$40),"",INDEX($EJ$4:$EJ$40,MATCH(ROW()-3,$PC$4:$PC$40,0)))</f>
        <v/>
      </c>
      <c r="PE26">
        <f>IF(COUNTIF('Buyer Groups'!DG79:EF79,0)+COUNTIF('Buyer Groups'!EH79:EN79,0)&gt;0,0,1)</f>
        <v/>
      </c>
      <c r="PF26">
        <f>IF($EO$26="",FALSE,SUMPRODUCT(('Final Calculation Sheet'!$AA$4:$AA$40=$EO$26)*($PE$6:$PE$42=1))&gt;0)</f>
        <v/>
      </c>
      <c r="PG26">
        <f>$PG$25+--($PF26)</f>
        <v/>
      </c>
      <c r="PH26">
        <f>IF(ROW()-3&gt;MAX($PG$4:$PG$40),"",INDEX($EO$4:$EO$40,MATCH(ROW()-3,$PG$4:$PG$40,0)))</f>
        <v/>
      </c>
      <c r="PI26">
        <f>IF(COUNTIF('Buyer Groups'!DG79:EG79,0)+COUNTIF('Buyer Groups'!EI79:EN79,0)&gt;0,0,1)</f>
        <v/>
      </c>
      <c r="PJ26">
        <f>IF($ET$26="",FALSE,SUMPRODUCT(('Final Calculation Sheet'!$AB$4:$AB$40=$ET$26)*($PI$6:$PI$42=1))&gt;0)</f>
        <v/>
      </c>
      <c r="PK26">
        <f>$PK$25+--($PJ26)</f>
        <v/>
      </c>
      <c r="PL26">
        <f>IF(ROW()-3&gt;MAX($PK$4:$PK$40),"",INDEX($ET$4:$ET$40,MATCH(ROW()-3,$PK$4:$PK$40,0)))</f>
        <v/>
      </c>
      <c r="PM26">
        <f>IF(COUNTIF('Buyer Groups'!DG79:EH79,0)+COUNTIF('Buyer Groups'!EJ79:EN79,0)&gt;0,0,1)</f>
        <v/>
      </c>
      <c r="PN26">
        <f>IF($EY$26="",FALSE,SUMPRODUCT(('Final Calculation Sheet'!$AC$4:$AC$40=$EY$26)*($PM$6:$PM$42=1))&gt;0)</f>
        <v/>
      </c>
      <c r="PO26">
        <f>$PO$25+--($PN26)</f>
        <v/>
      </c>
      <c r="PP26">
        <f>IF(ROW()-3&gt;MAX($PO$4:$PO$40),"",INDEX($EY$4:$EY$40,MATCH(ROW()-3,$PO$4:$PO$40,0)))</f>
        <v/>
      </c>
      <c r="PQ26">
        <f>IF(COUNTIF('Buyer Groups'!DG79:EI79,0)+COUNTIF('Buyer Groups'!EK79:EN79,0)&gt;0,0,1)</f>
        <v/>
      </c>
      <c r="PR26">
        <f>IF($FD$26="",FALSE,SUMPRODUCT(('Final Calculation Sheet'!$AD$4:$AD$40=$FD$26)*($PQ$6:$PQ$42=1))&gt;0)</f>
        <v/>
      </c>
      <c r="PS26">
        <f>$PS$25+--($PR26)</f>
        <v/>
      </c>
      <c r="PT26">
        <f>IF(ROW()-3&gt;MAX($PS$4:$PS$40),"",INDEX($FD$4:$FD$40,MATCH(ROW()-3,$PS$4:$PS$40,0)))</f>
        <v/>
      </c>
      <c r="PU26">
        <f>IF(COUNTIF('Buyer Groups'!DG79:EJ79,0)+COUNTIF('Buyer Groups'!EL79:EN79,0)&gt;0,0,1)</f>
        <v/>
      </c>
      <c r="PV26">
        <f>IF($FX$26="",FALSE,SUMPRODUCT((IF('Final Calculation Sheet'!$AD$4:$AD$40&lt;=5,"SETTLED","OUTSTANDING")=$FX$26)*($PU$6:$PU$42=1))&gt;0)</f>
        <v/>
      </c>
      <c r="PW26">
        <f>$PW$25+--($PV26)</f>
        <v/>
      </c>
      <c r="PX26">
        <f>IF(ROW()-3&gt;MAX($PW$4:$PW$40),"",INDEX($FX$4:$FX$40,MATCH(ROW()-3,$PW$4:$PW$40,0)))</f>
        <v/>
      </c>
      <c r="PY26">
        <f>IF(COUNTIF('Buyer Groups'!DG79:EK79,0)+COUNTIF('Buyer Groups'!EM79:EN79,0)&gt;0,0,1)</f>
        <v/>
      </c>
      <c r="PZ26">
        <f>IF($FI$26="",FALSE,SUMPRODUCT(('Final Calculation Sheet'!$AF$4:$AF$40=$FI$26)*($PY$6:$PY$42=1))&gt;0)</f>
        <v/>
      </c>
      <c r="QA26">
        <f>$QA$25+--($PZ26)</f>
        <v/>
      </c>
      <c r="QB26">
        <f>IF(ROW()-3&gt;MAX($QA$4:$QA$40),"",INDEX($FI$4:$FI$40,MATCH(ROW()-3,$QA$4:$QA$40,0)))</f>
        <v/>
      </c>
      <c r="QC26">
        <f>IF(COUNTIF('Buyer Groups'!DG79:EL79,0)+COUNTIF('Buyer Groups'!EN79:EN79,0)&gt;0,0,1)</f>
        <v/>
      </c>
      <c r="QD26">
        <f>IF($FN$26="",FALSE,SUMPRODUCT(('Final Calculation Sheet'!$AG$4:$AG$40=$FN$26)*($QC$6:$QC$42=1))&gt;0)</f>
        <v/>
      </c>
      <c r="QE26">
        <f>$QE$25+--($QD26)</f>
        <v/>
      </c>
      <c r="QF26">
        <f>IF(ROW()-3&gt;MAX($QE$4:$QE$40),"",INDEX($FN$4:$FN$40,MATCH(ROW()-3,$QE$4:$QE$40,0)))</f>
        <v/>
      </c>
      <c r="QG26">
        <f>IF(COUNTIF('Buyer Groups'!DG79:EM79,0)&gt;0,0,1)</f>
        <v/>
      </c>
      <c r="QH26">
        <f>IF($FS$26="",FALSE,SUMPRODUCT(('Final Calculation Sheet'!$AH$4:$AH$40=$FS$26)*($QG$6:$QG$42=1))&gt;0)</f>
        <v/>
      </c>
      <c r="QI26">
        <f>$QI$25+--($QH26)</f>
        <v/>
      </c>
      <c r="QJ26">
        <f>IF(ROW()-3&gt;MAX($QI$4:$QI$40),"",INDEX($FS$4:$FS$40,MATCH(ROW()-3,$QI$4:$QI$40,0)))</f>
        <v/>
      </c>
      <c r="QK26" t="str">
        <f>IF('Final Calculation Sheet'!$AH$26="","",'Final Calculation Sheet'!$AH$26)</f>
      </c>
      <c r="QL26" t="str">
        <f>IF(QK26="","",COUNTIFS(QK$4:QK$40,"&lt;"&amp;QK26,QK$4:QK$40,"&lt;&gt;"&amp;"")+COUNTIF(QK$4:QK26,QK26))</f>
      </c>
      <c r="QM26" t="str">
        <f>IF(ROW()-3&gt;COUNTIF(QK$4:QK$40,"&lt;&gt;"&amp;""),"",INDEX(QK$4:QK$40,MATCH(ROW()-3,QL$4:QL$40,0)))</f>
      </c>
      <c r="QN26" t="str">
        <f>=QN25+F(AND(QM26&lt;&gt;"",COUNTIF(QM$4:QM26,QM26)=1),1,0)</f>
      </c>
      <c r="QO26" t="str">
        <f>IF(ROW()-3&gt;MAX(QN$4:QN$40),"",INDEX(QM$4:QM$40,MATCH(ROW()-3,QN$4:QN$40,0)))</f>
      </c>
      <c r="QP26" t="str">
        <f>IF(COUNTIF('Final Calculation Sheet'!$AM26:$BS26,0)&gt;0,0,1)</f>
      </c>
      <c r="QQ26" t="str">
        <f>IF($AI$26="",FALSE,SUMPRODUCT(('Final Calculation Sheet'!$A$4:$A$40=$AI$26)*($QP$4:$QP$40=1))&gt;0)</f>
      </c>
      <c r="QR26" t="str">
        <f>=$QR25+--($QQ26)</f>
      </c>
      <c r="QS26" t="str">
        <f>IF(ROW()-3&gt;MAX($QR$4:$QR$40),"",INDEX($AI$4:$AI$40,MATCH(ROW()-3,$QR$4:$QR$40,0)))</f>
      </c>
      <c r="QT26" t="str">
        <f>IF(COUNTIF('Final Calculation Sheet'!$AL26:$AL26,0)+COUNTIF('Final Calculation Sheet'!$AN26:$BS26,0)&gt;0,0,1)</f>
      </c>
      <c r="QU26" t="str">
        <f>IF($Y$26="",FALSE,SUMPRODUCT(('Final Calculation Sheet'!$B$4:$B$40=$Y$26)*($QT$4:$QT$40=1))&gt;0)</f>
      </c>
      <c r="QV26" t="str">
        <f>=$QV25+--($QU26)</f>
      </c>
      <c r="QW26" t="str">
        <f>IF(ROW()-3&gt;MAX($QV$4:$QV$40),"",INDEX($Y$4:$Y$40,MATCH(ROW()-3,$QV$4:$QV$40,0)))</f>
      </c>
      <c r="QX26" t="str">
        <f>IF(COUNTIF('Final Calculation Sheet'!$AL26:$AM26,0)+COUNTIF('Final Calculation Sheet'!$AO26:$BS26,0)&gt;0,0,1)</f>
      </c>
      <c r="QY26" t="str">
        <f>IF($AS$26="",FALSE,SUMPRODUCT(('Final Calculation Sheet'!$C$4:$C$40=$AS$26)*($QX$4:$QX$40=1))&gt;0)</f>
      </c>
      <c r="QZ26" t="str">
        <f>=$QZ25+--($QY26)</f>
      </c>
      <c r="RA26" t="str">
        <f>IF(ROW()-3&gt;MAX($QZ$4:$QZ$40),"",INDEX($AS$4:$AS$40,MATCH(ROW()-3,$QZ$4:$QZ$40,0)))</f>
      </c>
      <c r="RB26" t="str">
        <f>IF(COUNTIF('Final Calculation Sheet'!$AL26:$AN26,0)+COUNTIF('Final Calculation Sheet'!$AP26:$BS26,0)&gt;0,0,1)</f>
      </c>
      <c r="RC26" t="str">
        <f>IF($AD$26="",FALSE,SUMPRODUCT(('Final Calculation Sheet'!$D$4:$D$40=$AD$26)*($RB$4:$RB$40=1))&gt;0)</f>
      </c>
      <c r="RD26" t="str">
        <f>=$RD25+--($RC26)</f>
      </c>
      <c r="RE26" t="str">
        <f>IF(ROW()-3&gt;MAX($RD$4:$RD$40),"",INDEX($AD$4:$AD$40,MATCH(ROW()-3,$RD$4:$RD$40,0)))</f>
      </c>
      <c r="RF26" t="str">
        <f>IF(COUNTIF('Final Calculation Sheet'!$AL26:$AO26,0)+COUNTIF('Final Calculation Sheet'!$AQ26:$BS26,0)&gt;0,0,1)</f>
      </c>
      <c r="RG26" t="str">
        <f>IF($AN$26="",FALSE,SUMPRODUCT(('Final Calculation Sheet'!$E$4:$E$40=$AN$26)*($RF$4:$RF$40=1))&gt;0)</f>
      </c>
      <c r="RH26" t="str">
        <f>=$RH25+--($RG26)</f>
      </c>
      <c r="RI26" t="str">
        <f>IF(ROW()-3&gt;MAX($RH$4:$RH$40),"",INDEX($AN$4:$AN$40,MATCH(ROW()-3,$RH$4:$RH$40,0)))</f>
      </c>
      <c r="RJ26" t="str">
        <f>IF(COUNTIF('Final Calculation Sheet'!$AL26:$AP26,0)+COUNTIF('Final Calculation Sheet'!$AR26:$BS26,0)&gt;0,0,1)</f>
      </c>
      <c r="RK26" t="str">
        <f>IF($O$26="",FALSE,SUMPRODUCT(('Final Calculation Sheet'!$F$4:$F$40=$O$26)*($RJ$4:$RJ$40=1))&gt;0)</f>
      </c>
      <c r="RL26" t="str">
        <f>=$RL25+--($RK26)</f>
      </c>
      <c r="RM26" t="str">
        <f>IF(ROW()-3&gt;MAX($RL$4:$RL$40),"",INDEX($O$4:$O$40,MATCH(ROW()-3,$RL$4:$RL$40,0)))</f>
      </c>
      <c r="RN26" t="str">
        <f>IF(COUNTIF('Final Calculation Sheet'!$AL26:$AQ26,0)+COUNTIF('Final Calculation Sheet'!$AS26:$BS26,0)&gt;0,0,1)</f>
      </c>
      <c r="RO26" t="str">
        <f>IF($T$26="",FALSE,SUMPRODUCT(('Final Calculation Sheet'!$G$4:$G$40=$T$26)*($RN$4:$RN$40=1))&gt;0)</f>
      </c>
      <c r="RP26" t="str">
        <f>=$RP25+--($RO26)</f>
      </c>
      <c r="RQ26" t="str">
        <f>IF(ROW()-3&gt;MAX($RP$4:$RP$40),"",INDEX($T$4:$T$40,MATCH(ROW()-3,$RP$4:$RP$40,0)))</f>
      </c>
      <c r="RR26" t="str">
        <f>IF(COUNTIF('Final Calculation Sheet'!$AL26:$AR26,0)+COUNTIF('Final Calculation Sheet'!$AT26:$BS26,0)&gt;0,0,1)</f>
      </c>
      <c r="RS26" t="str">
        <f>IF($AX$26="",FALSE,SUMPRODUCT(('Final Calculation Sheet'!$H$4:$H$40=$AX$26)*($RR$4:$RR$40=1))&gt;0)</f>
      </c>
      <c r="RT26" t="str">
        <f>=$RT25+--($RS26)</f>
      </c>
      <c r="RU26" t="str">
        <f>IF(ROW()-3&gt;MAX($RT$4:$RT$40),"",INDEX($AX$4:$AX$40,MATCH(ROW()-3,$RT$4:$RT$40,0)))</f>
      </c>
      <c r="RV26" t="str">
        <f>IF(COUNTIF('Final Calculation Sheet'!$AL26:$AS26,0)+COUNTIF('Final Calculation Sheet'!$AU26:$BS26,0)&gt;0,0,1)</f>
      </c>
      <c r="RW26" t="str">
        <f>IF($BC$26="",FALSE,SUMPRODUCT(('Final Calculation Sheet'!$I$4:$I$40=$BC$26)*($RV$4:$RV$40=1))&gt;0)</f>
      </c>
      <c r="RX26" t="str">
        <f>=$RX25+--($RW26)</f>
      </c>
      <c r="RY26" t="str">
        <f>IF(ROW()-3&gt;MAX($RX$4:$RX$40),"",INDEX($BC$4:$BC$40,MATCH(ROW()-3,$RX$4:$RX$40,0)))</f>
      </c>
      <c r="RZ26" t="str">
        <f>IF(COUNTIF('Final Calculation Sheet'!$AL26:$AT26,0)+COUNTIF('Final Calculation Sheet'!$AV26:$BS26,0)&gt;0,0,1)</f>
      </c>
      <c r="SA26" t="str">
        <f>IF($BH$26="",FALSE,SUMPRODUCT(('Final Calculation Sheet'!$J$4:$J$40=$BH$26)*($RZ$4:$RZ$40=1))&gt;0)</f>
      </c>
      <c r="SB26" t="str">
        <f>=$SB25+--($SA26)</f>
      </c>
      <c r="SC26" t="str">
        <f>IF(ROW()-3&gt;MAX($SB$4:$SB$40),"",INDEX($BH$4:$BH$40,MATCH(ROW()-3,$SB$4:$SB$40,0)))</f>
      </c>
      <c r="SD26" t="str">
        <f>IF(COUNTIF('Final Calculation Sheet'!$AL26:$AU26,0)+COUNTIF('Final Calculation Sheet'!$AW26:$BS26,0)&gt;0,0,1)</f>
      </c>
      <c r="SE26" t="str">
        <f>IF($BM$26="",FALSE,SUMPRODUCT(('Final Calculation Sheet'!$K$4:$K$40=$BM$26)*($SD$4:$SD$40=1))&gt;0)</f>
      </c>
      <c r="SF26" t="str">
        <f>=$SF25+--($SE26)</f>
      </c>
      <c r="SG26" t="str">
        <f>IF(ROW()-3&gt;MAX($SF$4:$SF$40),"",INDEX($BM$4:$BM$40,MATCH(ROW()-3,$SF$4:$SF$40,0)))</f>
      </c>
      <c r="SH26" t="str">
        <f>IF(COUNTIF('Final Calculation Sheet'!$AL26:$AV26,0)+COUNTIF('Final Calculation Sheet'!$AX26:$BS26,0)&gt;0,0,1)</f>
      </c>
      <c r="SI26" t="str">
        <f>IF($BR$26="",FALSE,SUMPRODUCT(('Final Calculation Sheet'!$L$4:$L$40=$BR$26)*($SH$4:$SH$40=1))&gt;0)</f>
      </c>
      <c r="SJ26" t="str">
        <f>=$SJ25+--($SI26)</f>
      </c>
      <c r="SK26" t="str">
        <f>IF(ROW()-3&gt;MAX($SJ$4:$SJ$40),"",INDEX($BR$4:$BR$40,MATCH(ROW()-3,$SJ$4:$SJ$40,0)))</f>
      </c>
      <c r="SL26" t="str">
        <f>IF(COUNTIF('Final Calculation Sheet'!$AL26:$AW26,0)+COUNTIF('Final Calculation Sheet'!$AY26:$BS26,0)&gt;0,0,1)</f>
      </c>
      <c r="SM26" t="str">
        <f>IF($BW$26="",FALSE,SUMPRODUCT(('Final Calculation Sheet'!$M$4:$M$40=$BW$26)*($SL$4:$SL$40=1))&gt;0)</f>
      </c>
      <c r="SN26" t="str">
        <f>=$SN25+--($SM26)</f>
      </c>
      <c r="SO26" t="str">
        <f>IF(ROW()-3&gt;MAX($SN$4:$SN$40),"",INDEX($BW$4:$BW$40,MATCH(ROW()-3,$SN$4:$SN$40,0)))</f>
      </c>
      <c r="SP26" t="str">
        <f>IF(COUNTIF('Final Calculation Sheet'!$AL26:$AX26,0)+COUNTIF('Final Calculation Sheet'!$AZ26:$BS26,0)&gt;0,0,1)</f>
      </c>
      <c r="SQ26" t="str">
        <f>IF($CB$26="",FALSE,SUMPRODUCT(('Final Calculation Sheet'!$N$4:$N$40=$CB$26)*($SP$4:$SP$40=1))&gt;0)</f>
      </c>
      <c r="SR26" t="str">
        <f>=$SR25+--($SQ26)</f>
      </c>
      <c r="SS26" t="str">
        <f>IF(ROW()-3&gt;MAX($SR$4:$SR$40),"",INDEX($CB$4:$CB$40,MATCH(ROW()-3,$SR$4:$SR$40,0)))</f>
      </c>
      <c r="ST26" t="str">
        <f>IF(COUNTIF('Final Calculation Sheet'!$AL26:$AY26,0)+COUNTIF('Final Calculation Sheet'!$BA26:$BS26,0)&gt;0,0,1)</f>
      </c>
      <c r="SU26" t="str">
        <f>IF($CG$26="",FALSE,SUMPRODUCT(('Final Calculation Sheet'!$O$4:$O$40=$CG$26)*($ST$4:$ST$40=1))&gt;0)</f>
      </c>
      <c r="SV26" t="str">
        <f>=$SV25+--($SU26)</f>
      </c>
      <c r="SW26" t="str">
        <f>IF(ROW()-3&gt;MAX($SV$4:$SV$40),"",INDEX($CG$4:$CG$40,MATCH(ROW()-3,$SV$4:$SV$40,0)))</f>
      </c>
      <c r="SX26" t="str">
        <f>IF(COUNTIF('Final Calculation Sheet'!$AL26:$AZ26,0)+COUNTIF('Final Calculation Sheet'!$BB26:$BS26,0)&gt;0,0,1)</f>
      </c>
      <c r="SY26" t="str">
        <f>IF($CL$26="",FALSE,SUMPRODUCT(('Final Calculation Sheet'!$P$4:$P$40=$CL$26)*($SX$4:$SX$40=1))&gt;0)</f>
      </c>
      <c r="SZ26" t="str">
        <f>=$SZ25+--($SY26)</f>
      </c>
      <c r="TA26" t="str">
        <f>IF(ROW()-3&gt;MAX($SZ$4:$SZ$40),"",INDEX($CL$4:$CL$40,MATCH(ROW()-3,$SZ$4:$SZ$40,0)))</f>
      </c>
      <c r="TB26" t="str">
        <f>IF(COUNTIF('Final Calculation Sheet'!$AL26:$BA26,0)+COUNTIF('Final Calculation Sheet'!$BC26:$BS26,0)&gt;0,0,1)</f>
      </c>
      <c r="TC26" t="str">
        <f>IF($CQ$26="",FALSE,SUMPRODUCT(('Final Calculation Sheet'!$Q$4:$Q$40=$CQ$26)*($TB$4:$TB$40=1))&gt;0)</f>
      </c>
      <c r="TD26" t="str">
        <f>=$TD25+--($TC26)</f>
      </c>
      <c r="TE26" t="str">
        <f>IF(ROW()-3&gt;MAX($TD$4:$TD$40),"",INDEX($CQ$4:$CQ$40,MATCH(ROW()-3,$TD$4:$TD$40,0)))</f>
      </c>
      <c r="TF26" t="str">
        <f>IF(COUNTIF('Final Calculation Sheet'!$AL26:$BB26,0)+COUNTIF('Final Calculation Sheet'!$BD26:$BS26,0)&gt;0,0,1)</f>
      </c>
      <c r="TG26" t="str">
        <f>IF($CV$26="",FALSE,SUMPRODUCT(('Final Calculation Sheet'!$R$4:$R$40=$CV$26)*($TF$4:$TF$40=1))&gt;0)</f>
      </c>
      <c r="TH26" t="str">
        <f>=$TH25+--($TG26)</f>
      </c>
      <c r="TI26" t="str">
        <f>IF(ROW()-3&gt;MAX($TH$4:$TH$40),"",INDEX($CV$4:$CV$40,MATCH(ROW()-3,$TH$4:$TH$40,0)))</f>
      </c>
      <c r="TJ26" t="str">
        <f>IF(COUNTIF('Final Calculation Sheet'!$AL26:$BC26,0)+COUNTIF('Final Calculation Sheet'!$BE26:$BS26,0)&gt;0,0,1)</f>
      </c>
      <c r="TK26" t="str">
        <f>IF($DA$26="",FALSE,SUMPRODUCT(('Final Calculation Sheet'!$S$4:$S$40=$DA$26)*($TJ$4:$TJ$40=1))&gt;0)</f>
      </c>
      <c r="TL26" t="str">
        <f>=$TL25+--($TK26)</f>
      </c>
      <c r="TM26" t="str">
        <f>IF(ROW()-3&gt;MAX($TL$4:$TL$40),"",INDEX($DA$4:$DA$40,MATCH(ROW()-3,$TL$4:$TL$40,0)))</f>
      </c>
      <c r="TN26" t="str">
        <f>IF(COUNTIF('Final Calculation Sheet'!$AL26:$BD26,0)+COUNTIF('Final Calculation Sheet'!$BF26:$BS26,0)&gt;0,0,1)</f>
      </c>
      <c r="TO26" t="str">
        <f>IF($DF$26="",FALSE,SUMPRODUCT(('Final Calculation Sheet'!$T$4:$T$40=$DF$26)*($TN$4:$TN$40=1))&gt;0)</f>
      </c>
      <c r="TP26" t="str">
        <f>=$TP25+--($TO26)</f>
      </c>
      <c r="TQ26" t="str">
        <f>IF(ROW()-3&gt;MAX($TP$4:$TP$40),"",INDEX($DF$4:$DF$40,MATCH(ROW()-3,$TP$4:$TP$40,0)))</f>
      </c>
      <c r="TR26" t="str">
        <f>IF(COUNTIF('Final Calculation Sheet'!$AL26:$BE26,0)+COUNTIF('Final Calculation Sheet'!$BG26:$BS26,0)&gt;0,0,1)</f>
      </c>
      <c r="TS26" t="str">
        <f>IF($DK$26="",FALSE,SUMPRODUCT(('Final Calculation Sheet'!$U$4:$U$40=$DK$26)*($TR$4:$TR$40=1))&gt;0)</f>
      </c>
      <c r="TT26" t="str">
        <f>=$TT25+--($TS26)</f>
      </c>
      <c r="TU26" t="str">
        <f>IF(ROW()-3&gt;MAX($TT$4:$TT$40),"",INDEX($DK$4:$DK$40,MATCH(ROW()-3,$TT$4:$TT$40,0)))</f>
      </c>
      <c r="TV26" t="str">
        <f>IF(COUNTIF('Final Calculation Sheet'!$AL26:$BF26,0)+COUNTIF('Final Calculation Sheet'!$BH26:$BS26,0)&gt;0,0,1)</f>
      </c>
      <c r="TW26" t="str">
        <f>IF($DP$26="",FALSE,SUMPRODUCT(('Final Calculation Sheet'!$V$4:$V$40=$DP$26)*($TV$4:$TV$40=1))&gt;0)</f>
      </c>
      <c r="TX26" t="str">
        <f>=$TX25+--($TW26)</f>
      </c>
      <c r="TY26" t="str">
        <f>IF(ROW()-3&gt;MAX($TX$4:$TX$40),"",INDEX($DP$4:$DP$40,MATCH(ROW()-3,$TX$4:$TX$40,0)))</f>
      </c>
      <c r="TZ26" t="str">
        <f>IF(COUNTIF('Final Calculation Sheet'!$AL26:$BG26,0)+COUNTIF('Final Calculation Sheet'!$BI26:$BS26,0)&gt;0,0,1)</f>
      </c>
      <c r="UA26" t="str">
        <f>IF($DU$26="",FALSE,SUMPRODUCT(('Final Calculation Sheet'!$W$4:$W$40=$DU$26)*($TZ$4:$TZ$40=1))&gt;0)</f>
      </c>
      <c r="UB26" t="str">
        <f>=$UB25+--($UA26)</f>
      </c>
      <c r="UC26" t="str">
        <f>IF(ROW()-3&gt;MAX($UB$4:$UB$40),"",INDEX($DU$4:$DU$40,MATCH(ROW()-3,$UB$4:$UB$40,0)))</f>
      </c>
      <c r="UD26" t="str">
        <f>IF(COUNTIF('Final Calculation Sheet'!$AL26:$BH26,0)+COUNTIF('Final Calculation Sheet'!$BJ26:$BS26,0)&gt;0,0,1)</f>
      </c>
      <c r="UE26" t="str">
        <f>IF($DZ$26="",FALSE,SUMPRODUCT(('Final Calculation Sheet'!$X$4:$X$40=$DZ$26)*($UD$4:$UD$40=1))&gt;0)</f>
      </c>
      <c r="UF26" t="str">
        <f>=$UF25+--($UE26)</f>
      </c>
      <c r="UG26" t="str">
        <f>IF(ROW()-3&gt;MAX($UF$4:$UF$40),"",INDEX($DZ$4:$DZ$40,MATCH(ROW()-3,$UF$4:$UF$40,0)))</f>
      </c>
      <c r="UH26" t="str">
        <f>IF(COUNTIF('Final Calculation Sheet'!$AL26:$BI26,0)+COUNTIF('Final Calculation Sheet'!$BK26:$BS26,0)&gt;0,0,1)</f>
      </c>
      <c r="UI26" t="str">
        <f>IF($EE$26="",FALSE,SUMPRODUCT(('Final Calculation Sheet'!$Y$4:$Y$40=$EE$26)*($UH$4:$UH$40=1))&gt;0)</f>
      </c>
      <c r="UJ26" t="str">
        <f>=$UJ25+--($UI26)</f>
      </c>
      <c r="UK26" t="str">
        <f>IF(ROW()-3&gt;MAX($UJ$4:$UJ$40),"",INDEX($EE$4:$EE$40,MATCH(ROW()-3,$UJ$4:$UJ$40,0)))</f>
      </c>
      <c r="UL26" t="str">
        <f>IF(COUNTIF('Final Calculation Sheet'!$AL26:$BJ26,0)+COUNTIF('Final Calculation Sheet'!$BL26:$BS26,0)&gt;0,0,1)</f>
      </c>
      <c r="UM26" t="str">
        <f>IF($EJ$26="",FALSE,SUMPRODUCT(('Final Calculation Sheet'!$Z$4:$Z$40=$EJ$26)*($UL$4:$UL$40=1))&gt;0)</f>
      </c>
      <c r="UN26" t="str">
        <f>=$UN25+--($UM26)</f>
      </c>
      <c r="UO26" t="str">
        <f>IF(ROW()-3&gt;MAX($UN$4:$UN$40),"",INDEX($EJ$4:$EJ$40,MATCH(ROW()-3,$UN$4:$UN$40,0)))</f>
      </c>
      <c r="UP26" t="str">
        <f>IF(COUNTIF('Final Calculation Sheet'!$AL26:$BK26,0)+COUNTIF('Final Calculation Sheet'!$BM26:$BS26,0)&gt;0,0,1)</f>
      </c>
      <c r="UQ26" t="str">
        <f>IF($EO$26="",FALSE,SUMPRODUCT(('Final Calculation Sheet'!$AA$4:$AA$40=$EO$26)*($UP$4:$UP$40=1))&gt;0)</f>
      </c>
      <c r="UR26" t="str">
        <f>=$UR25+--($UQ26)</f>
      </c>
      <c r="US26" t="str">
        <f>IF(ROW()-3&gt;MAX($UR$4:$UR$40),"",INDEX($EO$4:$EO$40,MATCH(ROW()-3,$UR$4:$UR$40,0)))</f>
      </c>
      <c r="UT26" t="str">
        <f>IF(COUNTIF('Final Calculation Sheet'!$AL26:$BL26,0)+COUNTIF('Final Calculation Sheet'!$BN26:$BS26,0)&gt;0,0,1)</f>
      </c>
      <c r="UU26" t="str">
        <f>IF($ET$26="",FALSE,SUMPRODUCT(('Final Calculation Sheet'!$AB$4:$AB$40=$ET$26)*($UT$4:$UT$40=1))&gt;0)</f>
      </c>
      <c r="UV26" t="str">
        <f>=$UV25+--($UU26)</f>
      </c>
      <c r="UW26" t="str">
        <f>IF(ROW()-3&gt;MAX($UV$4:$UV$40),"",INDEX($ET$4:$ET$40,MATCH(ROW()-3,$UV$4:$UV$40,0)))</f>
      </c>
      <c r="UX26" t="str">
        <f>IF(COUNTIF('Final Calculation Sheet'!$AL26:$BM26,0)+COUNTIF('Final Calculation Sheet'!$BO26:$BS26,0)&gt;0,0,1)</f>
      </c>
      <c r="UY26" t="str">
        <f>IF($EY$26="",FALSE,SUMPRODUCT(('Final Calculation Sheet'!$AC$4:$AC$40=$EY$26)*($UX$4:$UX$40=1))&gt;0)</f>
      </c>
      <c r="UZ26" t="str">
        <f>=$UZ25+--($UY26)</f>
      </c>
      <c r="VA26" t="str">
        <f>IF(ROW()-3&gt;MAX($UZ$4:$UZ$40),"",INDEX($EY$4:$EY$40,MATCH(ROW()-3,$UZ$4:$UZ$40,0)))</f>
      </c>
      <c r="VB26" t="str">
        <f>IF(COUNTIF('Final Calculation Sheet'!$AL26:$BN26,0)+COUNTIF('Final Calculation Sheet'!$BP26:$BS26,0)&gt;0,0,1)</f>
      </c>
      <c r="VC26" t="str">
        <f>IF($FD$26="",FALSE,SUMPRODUCT(('Final Calculation Sheet'!$AD$4:$AD$40=$FD$26)*($VB$4:$VB$40=1))&gt;0)</f>
      </c>
      <c r="VD26" t="str">
        <f>=$VD25+--($VC26)</f>
      </c>
      <c r="VE26" t="str">
        <f>IF(ROW()-3&gt;MAX($VD$4:$VD$40),"",INDEX($FD$4:$FD$40,MATCH(ROW()-3,$VD$4:$VD$40,0)))</f>
      </c>
      <c r="VF26" t="str">
        <f>IF(COUNTIF('Final Calculation Sheet'!$AL26:$BO26,0)+COUNTIF('Final Calculation Sheet'!$BQ26:$BS26,0)&gt;0,0,1)</f>
      </c>
      <c r="VG26" t="str">
        <f>IF($FI$26="",FALSE,SUMPRODUCT(('Final Calculation Sheet'!$AE$4:$AE$40=$FI$26)*($VF$4:$VF$40=1))&gt;0)</f>
      </c>
      <c r="VH26" t="str">
        <f>=$VH25+--($VG26)</f>
      </c>
      <c r="VI26" t="str">
        <f>IF(ROW()-3&gt;MAX($VH$4:$VH$40),"",INDEX($FI$4:$FI$40,MATCH(ROW()-3,$VH$4:$VH$40,0)))</f>
      </c>
      <c r="VJ26" t="str">
        <f>IF(COUNTIF('Final Calculation Sheet'!$AL26:$BP26,0)+COUNTIF('Final Calculation Sheet'!$BR26:$BS26,0)&gt;0,0,1)</f>
      </c>
      <c r="VK26" t="str">
        <f>IF($FN$26="",FALSE,SUMPRODUCT(('Final Calculation Sheet'!$AF$4:$AF$40=$FN$26)*($VJ$4:$VJ$40=1))&gt;0)</f>
      </c>
      <c r="VL26" t="str">
        <f>=$VL25+--($VK26)</f>
      </c>
      <c r="VM26" t="str">
        <f>IF(ROW()-3&gt;MAX($VL$4:$VL$40),"",INDEX($FN$4:$FN$40,MATCH(ROW()-3,$VL$4:$VL$40,0)))</f>
      </c>
      <c r="VN26" t="str">
        <f>IF(COUNTIF('Final Calculation Sheet'!$AL26:$BQ26,0)+COUNTIF('Final Calculation Sheet'!$BS26:$BS26,0)&gt;0,0,1)</f>
      </c>
      <c r="VO26" t="str">
        <f>IF($FS$26="",FALSE,SUMPRODUCT(('Final Calculation Sheet'!$AG$4:$AG$40=$FS$26)*($VN$4:$VN$40=1))&gt;0)</f>
      </c>
      <c r="VP26" t="str">
        <f>=$VP25+--($VO26)</f>
      </c>
      <c r="VQ26" t="str">
        <f>IF(ROW()-3&gt;MAX($VP$4:$VP$40),"",INDEX($FS$4:$FS$40,MATCH(ROW()-3,$VP$4:$VP$40,0)))</f>
      </c>
      <c r="VR26" t="str">
        <f>IF(COUNTIF('Final Calculation Sheet'!$AL26:$BR26,0)&gt;0,0,1)</f>
      </c>
      <c r="VS26" t="str">
        <f>IF($QO$26="",FALSE,SUMPRODUCT(('Final Calculation Sheet'!$AH$4:$AH$40=$QO$26)*($VR$4:$VR$40=1))&gt;0)</f>
      </c>
      <c r="VT26" t="str">
        <f>=$VT25+--($VS26)</f>
      </c>
      <c r="VU26" t="str">
        <f>IF(ROW()-3&gt;MAX($VT$4:$VT$40),"",INDEX($QO$4:$QO$40,MATCH(ROW()-3,$VT$4:$VT$40,0)))</f>
      </c>
    </row>
    <row r="27">
      <c r="A27">
        <f>IF(IFERROR('Final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IF(IFERROR('Final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s="55">
        <f>IF('Final Calculation Sheet'!$C$27="","",'Final Calculation Sheet'!$C$27)</f>
        <v/>
      </c>
      <c r="AP27">
        <f>IF(AO27="","",COUNTIFS(AO$4:AO$40,"&lt;"&amp;AO27,AO$4:AO$40,"&lt;&gt;"&amp;"")+COUNTIF(AO$4:AO27,AO27))</f>
        <v/>
      </c>
      <c r="AQ27" s="55">
        <f>IF(ROW()-3&gt;COUNTIF(AO$4:AO$40,"&lt;&gt;"&amp;""),"",INDEX(AO$4:AO$40,MATCH(ROW()-3,AP$4:AP$40,0)))</f>
        <v/>
      </c>
      <c r="AR27">
        <f>AR26+IF(AND(AQ27&lt;&gt;"",COUNTIF(AQ$4:AQ27,AQ27)=1),1,0)</f>
        <v/>
      </c>
      <c r="AS27" s="55">
        <f>IF(ROW()-3&gt;MAX(AR$4:AR$40),"",INDEX(AQ$4:AQ$40,MATCH(ROW()-3,AR$4:AR$40,0)))</f>
        <v/>
      </c>
      <c r="AT27" s="55">
        <f>IF('Final Calculation Sheet'!$H$27="","",'Final Calculation Sheet'!$H$27)</f>
        <v/>
      </c>
      <c r="AU27">
        <f>IF(AT27="","",COUNTIFS(AT$4:AT$40,"&lt;"&amp;AT27,AT$4:AT$40,"&lt;&gt;"&amp;"")+COUNTIF(AT$4:AT27,AT27))</f>
        <v/>
      </c>
      <c r="AV27" s="55">
        <f>IF(ROW()-3&gt;COUNTIF(AT$4:AT$40,"&lt;&gt;"&amp;""),"",INDEX(AT$4:AT$40,MATCH(ROW()-3,AU$4:AU$40,0)))</f>
        <v/>
      </c>
      <c r="AW27">
        <f>AW26+IF(AND(AV27&lt;&gt;"",COUNTIF(AV$4:AV27,AV27)=1),1,0)</f>
        <v/>
      </c>
      <c r="AX27" s="55">
        <f>IF(ROW()-3&gt;MAX(AW$4:AW$40),"",INDEX(AV$4:AV$40,MATCH(ROW()-3,AW$4:AW$40,0)))</f>
        <v/>
      </c>
      <c r="AY27" s="55">
        <f>IF('Final Calculation Sheet'!$I$27="","",'Final Calculation Sheet'!$I$27)</f>
        <v/>
      </c>
      <c r="AZ27">
        <f>IF(AY27="","",COUNTIFS(AY$4:AY$40,"&lt;"&amp;AY27,AY$4:AY$40,"&lt;&gt;"&amp;"")+COUNTIF(AY$4:AY27,AY27))</f>
        <v/>
      </c>
      <c r="BA27" s="55">
        <f>IF(ROW()-3&gt;COUNTIF(AY$4:AY$40,"&lt;&gt;"&amp;""),"",INDEX(AY$4:AY$40,MATCH(ROW()-3,AZ$4:AZ$40,0)))</f>
        <v/>
      </c>
      <c r="BB27">
        <f>BB26+IF(AND(BA27&lt;&gt;"",COUNTIF(BA$4:BA27,BA27)=1),1,0)</f>
        <v/>
      </c>
      <c r="BC27" s="55">
        <f>IF(ROW()-3&gt;MAX(BB$4:BB$40),"",INDEX(BA$4:BA$40,MATCH(ROW()-3,BB$4:BB$40,0)))</f>
        <v/>
      </c>
      <c r="BD27" s="55">
        <f>IF('Final Calculation Sheet'!$J$27="","",'Final Calculation Sheet'!$J$27)</f>
        <v/>
      </c>
      <c r="BE27">
        <f>IF(BD27="","",COUNTIFS(BD$4:BD$40,"&lt;"&amp;BD27,BD$4:BD$40,"&lt;&gt;"&amp;"")+COUNTIF(BD$4:BD27,BD27))</f>
        <v/>
      </c>
      <c r="BF27" s="55">
        <f>IF(ROW()-3&gt;COUNTIF(BD$4:BD$40,"&lt;&gt;"&amp;""),"",INDEX(BD$4:BD$40,MATCH(ROW()-3,BE$4:BE$40,0)))</f>
        <v/>
      </c>
      <c r="BG27">
        <f>BG26+IF(AND(BF27&lt;&gt;"",COUNTIF(BF$4:BF27,BF27)=1),1,0)</f>
        <v/>
      </c>
      <c r="BH27" s="55">
        <f>IF(ROW()-3&gt;MAX(BG$4:BG$40),"",INDEX(BF$4:BF$40,MATCH(ROW()-3,BG$4:BG$40,0)))</f>
        <v/>
      </c>
      <c r="BI27" s="55">
        <f>IF('Final Calculation Sheet'!$K$27="","",'Final Calculation Sheet'!$K$27)</f>
        <v/>
      </c>
      <c r="BJ27">
        <f>IF(BI27="","",COUNTIFS(BI$4:BI$40,"&lt;"&amp;BI27,BI$4:BI$40,"&lt;&gt;"&amp;"")+COUNTIF(BI$4:BI27,BI27))</f>
        <v/>
      </c>
      <c r="BK27" s="55">
        <f>IF(ROW()-3&gt;COUNTIF(BI$4:BI$40,"&lt;&gt;"&amp;""),"",INDEX(BI$4:BI$40,MATCH(ROW()-3,BJ$4:BJ$40,0)))</f>
        <v/>
      </c>
      <c r="BL27">
        <f>BL26+IF(AND(BK27&lt;&gt;"",COUNTIF(BK$4:BK27,BK27)=1),1,0)</f>
        <v/>
      </c>
      <c r="BM27" s="55">
        <f>IF(ROW()-3&gt;MAX(BL$4:BL$40),"",INDEX(BK$4:BK$40,MATCH(ROW()-3,BL$4:BL$40,0)))</f>
        <v/>
      </c>
      <c r="BN27" s="55">
        <f>IF('Final Calculation Sheet'!$L$27="","",'Final Calculation Sheet'!$L$27)</f>
        <v/>
      </c>
      <c r="BO27">
        <f>IF(BN27="","",COUNTIFS(BN$4:BN$40,"&lt;"&amp;BN27,BN$4:BN$40,"&lt;&gt;"&amp;"")+COUNTIF(BN$4:BN27,BN27))</f>
        <v/>
      </c>
      <c r="BP27" s="55">
        <f>IF(ROW()-3&gt;COUNTIF(BN$4:BN$40,"&lt;&gt;"&amp;""),"",INDEX(BN$4:BN$40,MATCH(ROW()-3,BO$4:BO$40,0)))</f>
        <v/>
      </c>
      <c r="BQ27">
        <f>BQ26+IF(AND(BP27&lt;&gt;"",COUNTIF(BP$4:BP27,BP27)=1),1,0)</f>
        <v/>
      </c>
      <c r="BR27" s="55">
        <f>IF(ROW()-3&gt;MAX(BQ$4:BQ$40),"",INDEX(BP$4:BP$40,MATCH(ROW()-3,BQ$4:BQ$40,0)))</f>
        <v/>
      </c>
      <c r="BS27" s="55">
        <f>IF('Final Calculation Sheet'!$M$27="","",'Final Calculation Sheet'!$M$27)</f>
        <v/>
      </c>
      <c r="BT27">
        <f>IF(BS27="","",COUNTIFS(BS$4:BS$40,"&lt;"&amp;BS27,BS$4:BS$40,"&lt;&gt;"&amp;"")+COUNTIF(BS$4:BS27,BS27))</f>
        <v/>
      </c>
      <c r="BU27" s="55">
        <f>IF(ROW()-3&gt;COUNTIF(BS$4:BS$40,"&lt;&gt;"&amp;""),"",INDEX(BS$4:BS$40,MATCH(ROW()-3,BT$4:BT$40,0)))</f>
        <v/>
      </c>
      <c r="BV27">
        <f>BV26+IF(AND(BU27&lt;&gt;"",COUNTIF(BU$4:BU27,BU27)=1),1,0)</f>
        <v/>
      </c>
      <c r="BW27" s="55">
        <f>IF(ROW()-3&gt;MAX(BV$4:BV$40),"",INDEX(BU$4:BU$40,MATCH(ROW()-3,BV$4:BV$40,0)))</f>
        <v/>
      </c>
      <c r="BX27" s="138">
        <f>IF('Final Calculation Sheet'!$N$27="","",'Final Calculation Sheet'!$N$27)</f>
        <v/>
      </c>
      <c r="BY27">
        <f>IF(BX27="","",COUNTIFS(BX$4:BX$40,"&lt;"&amp;BX27,BX$4:BX$40,"&lt;&gt;"&amp;"")+COUNTIF(BX$4:BX27,BX27))</f>
        <v/>
      </c>
      <c r="BZ27" s="138">
        <f>IF(ROW()-3&gt;COUNTIF(BX$4:BX$40,"&lt;&gt;"&amp;""),"",INDEX(BX$4:BX$40,MATCH(ROW()-3,BY$4:BY$40,0)))</f>
        <v/>
      </c>
      <c r="CA27">
        <f>CA26+IF(AND(BZ27&lt;&gt;"",COUNTIF(BZ$4:BZ27,BZ27)=1),1,0)</f>
        <v/>
      </c>
      <c r="CB27" s="138">
        <f>IF(ROW()-3&gt;MAX(CA$4:CA$40),"",INDEX(BZ$4:BZ$40,MATCH(ROW()-3,CA$4:CA$40,0)))</f>
        <v/>
      </c>
      <c r="CC27" s="55">
        <f>IF('Final Calculation Sheet'!$O$27="","",'Final Calculation Sheet'!$O$27)</f>
        <v/>
      </c>
      <c r="CD27">
        <f>IF(CC27="","",COUNTIFS(CC$4:CC$40,"&lt;"&amp;CC27,CC$4:CC$40,"&lt;&gt;"&amp;"")+COUNTIF(CC$4:CC27,CC27))</f>
        <v/>
      </c>
      <c r="CE27" s="55">
        <f>IF(ROW()-3&gt;COUNTIF(CC$4:CC$40,"&lt;&gt;"&amp;""),"",INDEX(CC$4:CC$40,MATCH(ROW()-3,CD$4:CD$40,0)))</f>
        <v/>
      </c>
      <c r="CF27">
        <f>CF26+IF(AND(CE27&lt;&gt;"",COUNTIF(CE$4:CE27,CE27)=1),1,0)</f>
        <v/>
      </c>
      <c r="CG27" s="55">
        <f>IF(ROW()-3&gt;MAX(CF$4:CF$40),"",INDEX(CE$4:CE$40,MATCH(ROW()-3,CF$4:CF$40,0)))</f>
        <v/>
      </c>
      <c r="CH27" s="55">
        <f>IF('Final Calculation Sheet'!$P$27="","",'Final Calculation Sheet'!$P$27)</f>
        <v/>
      </c>
      <c r="CI27">
        <f>IF(CH27="","",COUNTIFS(CH$4:CH$40,"&lt;"&amp;CH27,CH$4:CH$40,"&lt;&gt;"&amp;"")+COUNTIF(CH$4:CH27,CH27))</f>
        <v/>
      </c>
      <c r="CJ27" s="55">
        <f>IF(ROW()-3&gt;COUNTIF(CH$4:CH$40,"&lt;&gt;"&amp;""),"",INDEX(CH$4:CH$40,MATCH(ROW()-3,CI$4:CI$40,0)))</f>
        <v/>
      </c>
      <c r="CK27">
        <f>CK26+IF(AND(CJ27&lt;&gt;"",COUNTIF(CJ$4:CJ27,CJ27)=1),1,0)</f>
        <v/>
      </c>
      <c r="CL27" s="55">
        <f>IF(ROW()-3&gt;MAX(CK$4:CK$40),"",INDEX(CJ$4:CJ$40,MATCH(ROW()-3,CK$4:CK$40,0)))</f>
        <v/>
      </c>
      <c r="CM27" s="139">
        <f>IF('Final Calculation Sheet'!$Q$27="","",'Final Calculation Sheet'!$Q$27)</f>
        <v/>
      </c>
      <c r="CN27">
        <f>IF(CM27="","",COUNTIFS(CM$4:CM$40,"&lt;"&amp;CM27,CM$4:CM$40,"&lt;&gt;"&amp;"")+COUNTIF(CM$4:CM27,CM27))</f>
        <v/>
      </c>
      <c r="CO27" s="139">
        <f>IF(ROW()-3&gt;COUNTIF(CM$4:CM$40,"&lt;&gt;"&amp;""),"",INDEX(CM$4:CM$40,MATCH(ROW()-3,CN$4:CN$40,0)))</f>
        <v/>
      </c>
      <c r="CP27">
        <f>CP26+IF(AND(CO27&lt;&gt;"",COUNTIF(CO$4:CO27,CO27)=1),1,0)</f>
        <v/>
      </c>
      <c r="CQ27">
        <f>IF(ROW()-3&gt;MAX(CP$4:CP$40),"",INDEX(CO$4:CO$40,MATCH(ROW()-3,CP$4:CP$40,0)))</f>
        <v/>
      </c>
      <c r="CR27" s="55">
        <f>IF('Final Calculation Sheet'!$R$27="","",'Final Calculation Sheet'!$R$27)</f>
        <v/>
      </c>
      <c r="CS27">
        <f>IF(CR27="","",COUNTIFS(CR$4:CR$40,"&lt;"&amp;CR27,CR$4:CR$40,"&lt;&gt;"&amp;"")+COUNTIF(CR$4:CR27,CR27))</f>
        <v/>
      </c>
      <c r="CT27" s="55">
        <f>IF(ROW()-3&gt;COUNTIF(CR$4:CR$40,"&lt;&gt;"&amp;""),"",INDEX(CR$4:CR$40,MATCH(ROW()-3,CS$4:CS$40,0)))</f>
        <v/>
      </c>
      <c r="CU27">
        <f>CU26+IF(AND(CT27&lt;&gt;"",COUNTIF(CT$4:CT27,CT27)=1),1,0)</f>
        <v/>
      </c>
      <c r="CV27">
        <f>IF(ROW()-3&gt;MAX(CU$4:CU$40),"",INDEX(CT$4:CT$40,MATCH(ROW()-3,CU$4:CU$40,0)))</f>
        <v/>
      </c>
      <c r="CW27" s="55">
        <f>IF('Final Calculation Sheet'!$S$27="","",'Final Calculation Sheet'!$S$27)</f>
        <v/>
      </c>
      <c r="CX27">
        <f>IF(CW27="","",COUNTIFS(CW$4:CW$40,"&lt;"&amp;CW27,CW$4:CW$40,"&lt;&gt;"&amp;"")+COUNTIF(CW$4:CW27,CW27))</f>
        <v/>
      </c>
      <c r="CY27" s="55">
        <f>IF(ROW()-3&gt;COUNTIF(CW$4:CW$40,"&lt;&gt;"&amp;""),"",INDEX(CW$4:CW$40,MATCH(ROW()-3,CX$4:CX$40,0)))</f>
        <v/>
      </c>
      <c r="CZ27">
        <f>CZ26+IF(AND(CY27&lt;&gt;"",COUNTIF(CY$4:CY27,CY27)=1),1,0)</f>
        <v/>
      </c>
      <c r="DA27" s="55">
        <f>IF(ROW()-3&gt;MAX(CZ$4:CZ$40),"",INDEX(CY$4:CY$40,MATCH(ROW()-3,CZ$4:CZ$40,0)))</f>
        <v/>
      </c>
      <c r="DB27" s="55">
        <f>IF('Final Calculation Sheet'!$T$27="","",'Final Calculation Sheet'!$T$27)</f>
        <v/>
      </c>
      <c r="DC27">
        <f>IF(DB27="","",COUNTIFS(DB$4:DB$40,"&lt;"&amp;DB27,DB$4:DB$40,"&lt;&gt;"&amp;"")+COUNTIF(DB$4:DB27,DB27))</f>
        <v/>
      </c>
      <c r="DD27" s="55">
        <f>IF(ROW()-3&gt;COUNTIF(DB$4:DB$40,"&lt;&gt;"&amp;""),"",INDEX(DB$4:DB$40,MATCH(ROW()-3,DC$4:DC$40,0)))</f>
        <v/>
      </c>
      <c r="DE27">
        <f>DE26+IF(AND(DD27&lt;&gt;"",COUNTIF(DD$4:DD27,DD27)=1),1,0)</f>
        <v/>
      </c>
      <c r="DF27" s="55">
        <f>IF(ROW()-3&gt;MAX(DE$4:DE$40),"",INDEX(DD$4:DD$40,MATCH(ROW()-3,DE$4:DE$40,0)))</f>
        <v/>
      </c>
      <c r="DG27" s="140">
        <f>IF('Final Calculation Sheet'!$U$27="","",'Final Calculation Sheet'!$U$27)</f>
        <v/>
      </c>
      <c r="DH27">
        <f>IF(DG27="","",COUNTIFS(DG$4:DG$40,"&lt;"&amp;DG27,DG$4:DG$40,"&lt;&gt;"&amp;"")+COUNTIF(DG$4:DG27,DG27))</f>
        <v/>
      </c>
      <c r="DI27" s="140">
        <f>IF(ROW()-3&gt;COUNTIF(DG$4:DG$40,"&lt;&gt;"&amp;""),"",INDEX(DG$4:DG$40,MATCH(ROW()-3,DH$4:DH$40,0)))</f>
        <v/>
      </c>
      <c r="DJ27">
        <f>DJ26+IF(AND(DI27&lt;&gt;"",COUNTIF(DI$4:DI27,DI27)=1),1,0)</f>
        <v/>
      </c>
      <c r="DK27" s="140">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s="55">
        <f>IF('Final Calculation Sheet'!$W$27="","",'Final Calculation Sheet'!$W$27)</f>
        <v/>
      </c>
      <c r="DR27">
        <f>IF(DQ27="","",COUNTIFS(DQ$4:DQ$40,"&lt;"&amp;DQ27,DQ$4:DQ$40,"&lt;&gt;"&amp;"")+COUNTIF(DQ$4:DQ27,DQ27))</f>
        <v/>
      </c>
      <c r="DS27" s="55">
        <f>IF(ROW()-3&gt;COUNTIF(DQ$4:DQ$40,"&lt;&gt;"&amp;""),"",INDEX(DQ$4:DQ$40,MATCH(ROW()-3,DR$4:DR$40,0)))</f>
        <v/>
      </c>
      <c r="DT27">
        <f>DT26+IF(AND(DS27&lt;&gt;"",COUNTIF(DS$4:DS27,DS27)=1),1,0)</f>
        <v/>
      </c>
      <c r="DU27" s="55">
        <f>IF(ROW()-3&gt;MAX(DT$4:DT$40),"",INDEX(DS$4:DS$40,MATCH(ROW()-3,DT$4:DT$40,0)))</f>
        <v/>
      </c>
      <c r="DV27">
        <f>IF('Final Calculation Sheet'!$X$27="","",'Final Calculation Sheet'!$X$27)</f>
        <v/>
      </c>
      <c r="DW27">
        <f>IF(DV27="","",COUNTIFS(DV$4:DV$40,"&lt;"&amp;DV27,DV$4:DV$40,"&lt;&gt;"&amp;"")+COUNTIF(DV$4:DV27,DV27))</f>
        <v/>
      </c>
      <c r="DX27" s="55">
        <f>IF(ROW()-3&gt;COUNTIF(DV$4:DV$40,"&lt;&gt;"&amp;""),"",INDEX(DV$4:DV$40,MATCH(ROW()-3,DW$4:DW$40,0)))</f>
        <v/>
      </c>
      <c r="DY27">
        <f>DY26+IF(AND(DX27&lt;&gt;"",COUNTIF(DX$4:DX27,DX27)=1),1,0)</f>
        <v/>
      </c>
      <c r="DZ27">
        <f>IF(ROW()-3&gt;MAX(DY$4:DY$40),"",INDEX(DX$4:DX$40,MATCH(ROW()-3,DY$4:DY$40,0)))</f>
        <v/>
      </c>
      <c r="EA27" s="55">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s="55">
        <f>IF('Final Calculation Sheet'!$Z$27="","",'Final Calculation Sheet'!$Z$27)</f>
        <v/>
      </c>
      <c r="EG27">
        <f>IF(EF27="","",COUNTIFS(EF$4:EF$40,"&lt;"&amp;EF27,EF$4:EF$40,"&lt;&gt;"&amp;"")+COUNTIF(EF$4:EF27,EF27))</f>
        <v/>
      </c>
      <c r="EH27" s="55">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s="55">
        <f>IF('Final Calculation Sheet'!$AC$27="","",'Final Calculation Sheet'!$AC$27)</f>
        <v/>
      </c>
      <c r="EV27">
        <f>IF(EU27="","",COUNTIFS(EU$4:EU$40,"&lt;"&amp;EU27,EU$4:EU$40,"&lt;&gt;"&amp;"")+COUNTIF(EU$4:EU27,EU27))</f>
        <v/>
      </c>
      <c r="EW27" s="55">
        <f>IF(ROW()-3&gt;COUNTIF(EU$4:EU$40,"&lt;&gt;"&amp;""),"",INDEX(EU$4:EU$40,MATCH(ROW()-3,EV$4:EV$40,0)))</f>
        <v/>
      </c>
      <c r="EX27">
        <f>EX26+IF(AND(EW27&lt;&gt;"",COUNTIF(EW$4:EW27,EW27)=1),1,0)</f>
        <v/>
      </c>
      <c r="EY27" s="55">
        <f>IF(ROW()-3&gt;MAX(EX$4:EX$40),"",INDEX(EW$4:EW$40,MATCH(ROW()-3,EX$4:EX$40,0)))</f>
        <v/>
      </c>
      <c r="EZ27" s="55">
        <f>IF('Final Calculation Sheet'!$AD$27="","",'Final Calculation Sheet'!$AD$27)</f>
        <v/>
      </c>
      <c r="FA27">
        <f>IF(EZ27="","",COUNTIFS(EZ$4:EZ$40,"&lt;"&amp;EZ27,EZ$4:EZ$40,"&lt;&gt;"&amp;"")+COUNTIF(EZ$4:EZ27,EZ27))</f>
        <v/>
      </c>
      <c r="FB27" s="55">
        <f>IF(ROW()-3&gt;COUNTIF(EZ$4:EZ$40,"&lt;&gt;"&amp;""),"",INDEX(EZ$4:EZ$40,MATCH(ROW()-3,FA$4:FA$40,0)))</f>
        <v/>
      </c>
      <c r="FC27">
        <f>FC26+IF(AND(FB27&lt;&gt;"",COUNTIF(FB$4:FB27,FB27)=1),1,0)</f>
        <v/>
      </c>
      <c r="FD27">
        <f>IF(ROW()-3&gt;MAX(FC$4:FC$40),"",INDEX(FB$4:FB$40,MATCH(ROW()-3,FC$4:FC$40,0)))</f>
        <v/>
      </c>
      <c r="FE27">
        <f>IF('Final Calculation Sheet'!$AF$27="","",'Final Calculation Sheet'!$AF$27)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Sheet'!$AG$27="","",'Final Calculation Sheet'!$AG$27)</f>
        <v/>
      </c>
      <c r="FK27">
        <f>IF(FJ27="","",COUNTIFS(FJ$4:FJ$40,"&lt;"&amp;FJ27,FJ$4:FJ$40,"&lt;&gt;"&amp;"")+COUNTIF(FJ$4:FJ27,FJ27))</f>
        <v/>
      </c>
      <c r="FL27" s="141">
        <f>IF(ROW()-3&gt;COUNTIF(FJ$4:FJ$40,"&lt;&gt;"&amp;""),"",INDEX(FJ$4:FJ$40,MATCH(ROW()-3,FK$4:FK$40,0)))</f>
        <v/>
      </c>
      <c r="FM27">
        <f>FM26+IF(AND(FL27&lt;&gt;"",COUNTIF(FL$4:FL27,FL27)=1),1,0)</f>
        <v/>
      </c>
      <c r="FN27">
        <f>IF(ROW()-3&gt;MAX(FM$4:FM$40),"",INDEX(FL$4:FL$40,MATCH(ROW()-3,FM$4:FM$40,0)))</f>
        <v/>
      </c>
      <c r="FO27">
        <f>IF('Final Calculation Sheet'!$AH$27="","",'Final Calculation Sheet'!$AH$27)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c r="FY27">
        <f>IF(COUNTIF('Live Search'!BM$26:BO$26,0)+COUNTIF('Live Search'!BQ$26:CU$26,0)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7">
        <f>IF($Y$27="",FALSE,SUMPRODUCT(('Final Calculation Sheet'!$B$4:$B$40=$Y$27)*($FY$6:$FY$42=1))&gt;0)</f>
        <v/>
      </c>
      <c r="GA27">
        <f>$GA$26+--($FZ$27)</f>
        <v/>
      </c>
      <c r="GB27">
        <f>IF(ROW()-3&gt;MAX($GA$4:$GA$40),"",INDEX($Y$4:$Y$40,MATCH(ROW()-3,$GA$4:$GA$40,0)))</f>
        <v/>
      </c>
      <c r="GC27">
        <f>IF(COUNTIF('Live Search'!BM$26:BM$26,0)+COUNTIF('Live Search'!BO$26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D27">
        <f>IF($O$27="",FALSE,SUMPRODUCT(('Final Calculation Sheet'!$F$4:$F$40=$O$27)*($GC$6:$GC$42=1))&gt;0)</f>
        <v/>
      </c>
      <c r="GE27">
        <f>$GE$26+--($GD27)</f>
        <v/>
      </c>
      <c r="GF27">
        <f>IF(ROW()-3&gt;MAX($GE$4:$GE$40),"",INDEX($O$4:$O$40,MATCH(ROW()-3,$GE$4:$GE$40,0)))</f>
        <v/>
      </c>
      <c r="GG27">
        <f>IF(COUNTIF('Live Search'!BM$26:BN$26,0)+COUNTIF('Live Search'!BP$26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H27">
        <f>IF($T$27="",FALSE,SUMPRODUCT(('Final Calculation Sheet'!$G$4:$G$40=$T$27)*($GG$6:$GG$42=1))&gt;0)</f>
        <v/>
      </c>
      <c r="GI27">
        <f>$GI$26+--($GH27)</f>
        <v/>
      </c>
      <c r="GJ27">
        <f>IF(ROW()-3&gt;MAX($GI$4:$GI$40),"",INDEX($T$4:$T$40,MATCH(ROW()-3,$GI$4:$GI$40,0)))</f>
        <v/>
      </c>
      <c r="GK27">
        <f>IF(COUNTIF('Live Search'!BM$26:BP$26,0)+COUNTIF('Live Search'!BR$26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L27">
        <f>IF($AD$27="",FALSE,SUMPRODUCT(('Final Calculation Sheet'!$D$4:$D$40=$AD$27)*($GK$6:$GK$42=1))&gt;0)</f>
        <v/>
      </c>
      <c r="GM27">
        <f>$GM$26+--($GL27)</f>
        <v/>
      </c>
      <c r="GN27">
        <f>IF(ROW()-3&gt;MAX($GM$4:$GM$40),"",INDEX($AD$4:$AD$40,MATCH(ROW()-3,$GM$4:$GM$40,0)))</f>
        <v/>
      </c>
      <c r="GO27">
        <f>IF(COUNTIF('Live Search'!BM$26:BQ$26,0)+COUNTIF('Live Search'!BS$26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P27">
        <f>IF($AI$27="",FALSE,SUMPRODUCT(('Final Calculation Sheet'!$A$4:$A$40=$AI$27)*($GO$6:$GO$42=1))&gt;0)</f>
        <v/>
      </c>
      <c r="GQ27">
        <f>$GQ$26+--($GP27)</f>
        <v/>
      </c>
      <c r="GR27">
        <f>IF(ROW()-3&gt;MAX($GQ$4:$GQ$40),"",INDEX($AI$4:$AI$40,MATCH(ROW()-3,$GQ$4:$GQ$40,0)))</f>
        <v/>
      </c>
      <c r="GS27">
        <f>IF(COUNTIF('Live Search'!BM$26:BR$26,0)+COUNTIF('Live Search'!BT$26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T27">
        <f>IF($AN$27="",FALSE,SUMPRODUCT(('Final Calculation Sheet'!$E$4:$E$40=$AN$27)*($GS$6:$GS$42=1))&gt;0)</f>
        <v/>
      </c>
      <c r="GU27">
        <f>$GU$26+--($GT27)</f>
        <v/>
      </c>
      <c r="GV27">
        <f>IF(ROW()-3&gt;MAX($GU$4:$GU$40),"",INDEX($AN$4:$AN$40,MATCH(ROW()-3,$GU$4:$GU$40,0)))</f>
        <v/>
      </c>
      <c r="GW27">
        <f>IF(COUNTIF('Live Search'!BM$26:BS$26,0)+COUNTIF('Live Search'!BU$26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GX27">
        <f>IF($AS$27="",FALSE,SUMPRODUCT(('Final Calculation Sheet'!$C$4:$C$40=$AS$27)*($GW$6:$GW$42=1))&gt;0)</f>
        <v/>
      </c>
      <c r="GY27">
        <f>$GY$26+--($GX27)</f>
        <v/>
      </c>
      <c r="GZ27">
        <f>IF(ROW()-3&gt;MAX($GY$4:$GY$40),"",INDEX($AS$4:$AS$40,MATCH(ROW()-3,$GY$4:$GY$40,0)))</f>
        <v/>
      </c>
      <c r="HA27">
        <f>IF(COUNTIF('Live Search'!BM$26:BT$26,0)+COUNTIF('Live Search'!BV$26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B27">
        <f>IF($AX$27="",FALSE,SUMPRODUCT(('Final Calculation Sheet'!$H$4:$H$40=$AX$27)*($HA$6:$HA$42=1))&gt;0)</f>
        <v/>
      </c>
      <c r="HC27">
        <f>$HC$26+--($HB27)</f>
        <v/>
      </c>
      <c r="HD27">
        <f>IF(ROW()-3&gt;MAX($HC$4:$HC$40),"",INDEX($AX$4:$AX$40,MATCH(ROW()-3,$HC$4:$HC$40,0)))</f>
        <v/>
      </c>
      <c r="HE27">
        <f>IF(COUNTIF('Live Search'!BM$26:BU$26,0)+COUNTIF('Live Search'!BW$26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F27">
        <f>IF($BC$27="",FALSE,SUMPRODUCT(('Final Calculation Sheet'!$I$4:$I$40=$BC$27)*($HE$6:$HE$42=1))&gt;0)</f>
        <v/>
      </c>
      <c r="HG27">
        <f>$HG$26+--($HF27)</f>
        <v/>
      </c>
      <c r="HH27">
        <f>IF(ROW()-3&gt;MAX($HG$4:$HG$40),"",INDEX($BC$4:$BC$40,MATCH(ROW()-3,$HG$4:$HG$40,0)))</f>
        <v/>
      </c>
      <c r="HI27">
        <f>IF(COUNTIF('Live Search'!BM$26:BV$26,0)+COUNTIF('Live Search'!BX$26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J27">
        <f>IF($BH$27="",FALSE,SUMPRODUCT(('Final Calculation Sheet'!$J$4:$J$40=$BH$27)*($HI$6:$HI$42=1))&gt;0)</f>
        <v/>
      </c>
      <c r="HK27">
        <f>$HK$26+--($HJ27)</f>
        <v/>
      </c>
      <c r="HL27">
        <f>IF(ROW()-3&gt;MAX($HK$4:$HK$40),"",INDEX($BH$4:$BH$40,MATCH(ROW()-3,$HK$4:$HK$40,0)))</f>
        <v/>
      </c>
      <c r="HM27">
        <f>IF(COUNTIF('Live Search'!BM$26:BW$26,0)+COUNTIF('Live Search'!BY$26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N27">
        <f>IF($BM$27="",FALSE,SUMPRODUCT(('Final Calculation Sheet'!$K$4:$K$40=$BM$27)*($HM$6:$HM$42=1))&gt;0)</f>
        <v/>
      </c>
      <c r="HO27">
        <f>$HO$26+--($HN27)</f>
        <v/>
      </c>
      <c r="HP27">
        <f>IF(ROW()-3&gt;MAX($HO$4:$HO$40),"",INDEX($BM$4:$BM$40,MATCH(ROW()-3,$HO$4:$HO$40,0)))</f>
        <v/>
      </c>
      <c r="HQ27">
        <f>IF(COUNTIF('Live Search'!BM$26:BX$26,0)+COUNTIF('Live Search'!BZ$26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R27">
        <f>IF($BR$27="",FALSE,SUMPRODUCT(('Final Calculation Sheet'!$L$4:$L$40=$BR$27)*($HQ$6:$HQ$42=1))&gt;0)</f>
        <v/>
      </c>
      <c r="HS27">
        <f>$HS$26+--($HR27)</f>
        <v/>
      </c>
      <c r="HT27">
        <f>IF(ROW()-3&gt;MAX($HS$4:$HS$40),"",INDEX($BR$4:$BR$40,MATCH(ROW()-3,$HS$4:$HS$40,0)))</f>
        <v/>
      </c>
      <c r="HU27">
        <f>IF(COUNTIF('Live Search'!BM$26:BY$26,0)+COUNTIF('Live Search'!CA$26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V27">
        <f>IF($BW$27="",FALSE,SUMPRODUCT(('Final Calculation Sheet'!$M$4:$M$40=$BW$27)*($HU$6:$HU$42=1))&gt;0)</f>
        <v/>
      </c>
      <c r="HW27">
        <f>$HW$26+--($HV27)</f>
        <v/>
      </c>
      <c r="HX27">
        <f>IF(ROW()-3&gt;MAX($HW$4:$HW$40),"",INDEX($BW$4:$BW$40,MATCH(ROW()-3,$HW$4:$HW$40,0)))</f>
        <v/>
      </c>
      <c r="HY27">
        <f>IF(COUNTIF('Live Search'!BM$26:BZ$26,0)+COUNTIF('Live Search'!CB$26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HZ27">
        <f>IF($CB$27="",FALSE,SUMPRODUCT(('Final Calculation Sheet'!$N$4:$N$40=$CB$27)*($HY$6:$HY$42=1))&gt;0)</f>
        <v/>
      </c>
      <c r="IA27">
        <f>$IA$26+--($HZ27)</f>
        <v/>
      </c>
      <c r="IB27">
        <f>IF(ROW()-3&gt;MAX($IA$4:$IA$40),"",INDEX($CB$4:$CB$40,MATCH(ROW()-3,$IA$4:$IA$40,0)))</f>
        <v/>
      </c>
      <c r="IC27">
        <f>IF(COUNTIF('Live Search'!BM$26:CA$26,0)+COUNTIF('Live Search'!CC$26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D27">
        <f>IF($CG$27="",FALSE,SUMPRODUCT(('Final Calculation Sheet'!$O$4:$O$40=$CG$27)*($IC$6:$IC$42=1))&gt;0)</f>
        <v/>
      </c>
      <c r="IE27">
        <f>$IE$26+--($ID27)</f>
        <v/>
      </c>
      <c r="IF27">
        <f>IF(ROW()-3&gt;MAX($IE$4:$IE$40),"",INDEX($CG$4:$CG$40,MATCH(ROW()-3,$IE$4:$IE$40,0)))</f>
        <v/>
      </c>
      <c r="IG27">
        <f>IF(COUNTIF('Live Search'!BM$26:CB$26,0)+COUNTIF('Live Search'!CD$26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H27">
        <f>IF($CL$27="",FALSE,SUMPRODUCT(('Final Calculation Sheet'!$P$4:$P$40=$CL$27)*($IG$6:$IG$42=1))&gt;0)</f>
        <v/>
      </c>
      <c r="II27">
        <f>$II$26+--($IH27)</f>
        <v/>
      </c>
      <c r="IJ27">
        <f>IF(ROW()-3&gt;MAX($II$4:$II$40),"",INDEX($CL$4:$CL$40,MATCH(ROW()-3,$II$4:$II$40,0)))</f>
        <v/>
      </c>
      <c r="IK27">
        <f>IF(COUNTIF('Live Search'!BM$26:CC$26,0)+COUNTIF('Live Search'!CE$26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L27">
        <f>IF($CQ$27="",FALSE,SUMPRODUCT(('Final Calculation Sheet'!$Q$4:$Q$40=$CQ$27)*($IK$6:$IK$42=1))&gt;0)</f>
        <v/>
      </c>
      <c r="IM27">
        <f>$IM$26+--($IL27)</f>
        <v/>
      </c>
      <c r="IN27">
        <f>IF(ROW()-3&gt;MAX($IM$4:$IM$40),"",INDEX($CQ$4:$CQ$40,MATCH(ROW()-3,$IM$4:$IM$40,0)))</f>
        <v/>
      </c>
      <c r="IO27">
        <f>IF(COUNTIF('Live Search'!BM$26:CD$26,0)+COUNTIF('Live Search'!CF$26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P27">
        <f>IF($CV$27="",FALSE,SUMPRODUCT(('Final Calculation Sheet'!$R$4:$R$40=$CV$27)*($IO$6:$IO$42=1))&gt;0)</f>
        <v/>
      </c>
      <c r="IQ27">
        <f>$IQ$26+--($IP27)</f>
        <v/>
      </c>
      <c r="IR27">
        <f>IF(ROW()-3&gt;MAX($IQ$4:$IQ$40),"",INDEX($CV$4:$CV$40,MATCH(ROW()-3,$IQ$4:$IQ$40,0)))</f>
        <v/>
      </c>
      <c r="IS27">
        <f>IF(COUNTIF('Live Search'!BM$26:CE$26,0)+COUNTIF('Live Search'!CG$26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T27">
        <f>IF($DA$27="",FALSE,SUMPRODUCT(('Final Calculation Sheet'!$S$4:$S$40=$DA$27)*($IS$6:$IS$42=1))&gt;0)</f>
        <v/>
      </c>
      <c r="IU27">
        <f>$IU$26+--($IT27)</f>
        <v/>
      </c>
      <c r="IV27">
        <f>IF(ROW()-3&gt;MAX($IU$4:$IU$40),"",INDEX($DA$4:$DA$40,MATCH(ROW()-3,$IU$4:$IU$40,0)))</f>
        <v/>
      </c>
      <c r="IW27">
        <f>IF(COUNTIF('Live Search'!BM$26:CF$26,0)+COUNTIF('Live Search'!CH$26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IX27">
        <f>IF($DF$27="",FALSE,SUMPRODUCT(('Final Calculation Sheet'!$T$4:$T$40=$DF$27)*($IW$6:$IW$42=1))&gt;0)</f>
        <v/>
      </c>
      <c r="IY27">
        <f>$IY$26+--($IX27)</f>
        <v/>
      </c>
      <c r="IZ27">
        <f>IF(ROW()-3&gt;MAX($IY$4:$IY$40),"",INDEX($DF$4:$DF$40,MATCH(ROW()-3,$IY$4:$IY$40,0)))</f>
        <v/>
      </c>
      <c r="JA27">
        <f>IF(COUNTIF('Live Search'!BM$26:CG$26,0)+COUNTIF('Live Search'!CI$26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B27">
        <f>IF($DK$27="",FALSE,SUMPRODUCT(('Final Calculation Sheet'!$U$4:$U$40=$DK$27)*($JA$6:$JA$42=1))&gt;0)</f>
        <v/>
      </c>
      <c r="JC27">
        <f>$JC$26+--($JB27)</f>
        <v/>
      </c>
      <c r="JD27">
        <f>IF(ROW()-3&gt;MAX($JC$4:$JC$40),"",INDEX($DK$4:$DK$40,MATCH(ROW()-3,$JC$4:$JC$40,0)))</f>
        <v/>
      </c>
      <c r="JE27">
        <f>IF(COUNTIF('Live Search'!BM$26:CH$26,0)+COUNTIF('Live Search'!CJ$26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F27">
        <f>IF($DP$27="",FALSE,SUMPRODUCT(('Final Calculation Sheet'!$V$4:$V$40=$DP$27)*($JE$6:$JE$42=1))&gt;0)</f>
        <v/>
      </c>
      <c r="JG27">
        <f>$JG$26+--($JF27)</f>
        <v/>
      </c>
      <c r="JH27">
        <f>IF(ROW()-3&gt;MAX($JG$4:$JG$40),"",INDEX($DP$4:$DP$40,MATCH(ROW()-3,$JG$4:$JG$40,0)))</f>
        <v/>
      </c>
      <c r="JI27">
        <f>IF(COUNTIF('Live Search'!BM$26:CI$26,0)+COUNTIF('Live Search'!CK$26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J27">
        <f>IF($DU$27="",FALSE,SUMPRODUCT(('Final Calculation Sheet'!$W$4:$W$40=$DU$27)*($JI$6:$JI$42=1))&gt;0)</f>
        <v/>
      </c>
      <c r="JK27">
        <f>$JK$26+--($JJ27)</f>
        <v/>
      </c>
      <c r="JL27">
        <f>IF(ROW()-3&gt;MAX($JK$4:$JK$40),"",INDEX($DU$4:$DU$40,MATCH(ROW()-3,$JK$4:$JK$40,0)))</f>
        <v/>
      </c>
      <c r="JM27">
        <f>IF(COUNTIF('Live Search'!BM$26:CJ$26,0)+COUNTIF('Live Search'!CL$26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N27">
        <f>IF($DZ$27="",FALSE,SUMPRODUCT(('Final Calculation Sheet'!$X$4:$X$40=$DZ$27)*($JM$6:$JM$42=1))&gt;0)</f>
        <v/>
      </c>
      <c r="JO27">
        <f>$JO$26+--($JN27)</f>
        <v/>
      </c>
      <c r="JP27">
        <f>IF(ROW()-3&gt;MAX($JO$4:$JO$40),"",INDEX($DZ$4:$DZ$40,MATCH(ROW()-3,$JO$4:$JO$40,0)))</f>
        <v/>
      </c>
      <c r="JQ27">
        <f>IF(COUNTIF('Live Search'!BM$26:CK$26,0)+COUNTIF('Live Search'!C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R27">
        <f>IF($EE$27="",FALSE,SUMPRODUCT(('Final Calculation Sheet'!$Y$4:$Y$40=$EE$27)*($JQ$6:$JQ$42=1))&gt;0)</f>
        <v/>
      </c>
      <c r="JS27">
        <f>$JS$26+--($JR27)</f>
        <v/>
      </c>
      <c r="JT27">
        <f>IF(ROW()-3&gt;MAX($JS$4:$JS$40),"",INDEX($EE$4:$EE$40,MATCH(ROW()-3,$JS$4:$JS$40,0)))</f>
        <v/>
      </c>
      <c r="JU27">
        <f>IF(COUNTIF('Live Search'!BM$26:CL$26,0)+COUNTIF('Live Search'!CN$26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V27">
        <f>IF($EJ$27="",FALSE,SUMPRODUCT(('Final Calculation Sheet'!$Z$4:$Z$40=$EJ$27)*($JU$6:$JU$42=1))&gt;0)</f>
        <v/>
      </c>
      <c r="JW27">
        <f>$JW$26+--($JV27)</f>
        <v/>
      </c>
      <c r="JX27">
        <f>IF(ROW()-3&gt;MAX($JW$4:$JW$40),"",INDEX($EJ$4:$EJ$40,MATCH(ROW()-3,$JW$4:$JW$40,0)))</f>
        <v/>
      </c>
      <c r="JY27">
        <f>IF(COUNTIF('Live Search'!BM$26:CM$26,0)+COUNTIF('Live Search'!CO$26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JZ27">
        <f>IF($EO$27="",FALSE,SUMPRODUCT(('Final Calculation Sheet'!$AA$4:$AA$40=$EO$27)*($JY$6:$JY$42=1))&gt;0)</f>
        <v/>
      </c>
      <c r="KA27">
        <f>$KA$26+--($JZ27)</f>
        <v/>
      </c>
      <c r="KB27">
        <f>IF(ROW()-3&gt;MAX($KA$4:$KA$40),"",INDEX($EO$4:$EO$40,MATCH(ROW()-3,$KA$4:$KA$40,0)))</f>
        <v/>
      </c>
      <c r="KC27">
        <f>IF(COUNTIF('Live Search'!BM$26:CN$26,0)+COUNTIF('Live Search'!CP$26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D27">
        <f>IF($ET$27="",FALSE,SUMPRODUCT(('Final Calculation Sheet'!$AB$4:$AB$40=$ET$27)*($KC$6:$KC$42=1))&gt;0)</f>
        <v/>
      </c>
      <c r="KE27">
        <f>$KE$26+--($KD27)</f>
        <v/>
      </c>
      <c r="KF27">
        <f>IF(ROW()-3&gt;MAX($KE$4:$KE$40),"",INDEX($ET$4:$ET$40,MATCH(ROW()-3,$KE$4:$KE$40,0)))</f>
        <v/>
      </c>
      <c r="KG27">
        <f>IF(COUNTIF('Live Search'!BM$26:CO$26,0)+COUNTIF('Live Search'!CQ$26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H27">
        <f>IF($EY$27="",FALSE,SUMPRODUCT(('Final Calculation Sheet'!$AC$4:$AC$40=$EY$27)*($KG$6:$KG$42=1))&gt;0)</f>
        <v/>
      </c>
      <c r="KI27">
        <f>$KI$26+--($KH27)</f>
        <v/>
      </c>
      <c r="KJ27">
        <f>IF(ROW()-3&gt;MAX($KI$4:$KI$40),"",INDEX($EY$4:$EY$40,MATCH(ROW()-3,$KI$4:$KI$40,0)))</f>
        <v/>
      </c>
      <c r="KK27">
        <f>IF(COUNTIF('Live Search'!BM$26:CP$26,0)+COUNTIF('Live Search'!CR$26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L27">
        <f>IF($FD$27="",FALSE,SUMPRODUCT(('Final Calculation Sheet'!$AD$4:$AD$40=$FD$27)*($KK$6:$KK$42=1))&gt;0)</f>
        <v/>
      </c>
      <c r="KM27">
        <f>$KM$26+--($KL27)</f>
        <v/>
      </c>
      <c r="KN27">
        <f>IF(ROW()-3&gt;MAX($KM$4:$KM$40),"",INDEX($FD$4:$FD$40,MATCH(ROW()-3,$KM$4:$KM$40,0)))</f>
        <v/>
      </c>
      <c r="KO27">
        <f>IF(COUNTIF('Live Search'!BM$26:CT$26,0)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P27">
        <f>IF($FX$27="",FALSE,SUMPRODUCT((IF('Final Calculation Sheet'!$AD$4:$AD$40&lt;=5,"SETTLED","OUTSTANDING")=$FX$27)*($KO$6:$KO$42=1))&gt;0)</f>
        <v/>
      </c>
      <c r="KQ27">
        <f>$KQ$26+--($KP27)</f>
        <v/>
      </c>
      <c r="KR27">
        <f>IF(ROW()-3&gt;MAX($KQ$4:$KQ$40),"",INDEX($FX$4:$FX$40,MATCH(ROW()-3,$KQ$4:$KQ$40,0)))</f>
        <v/>
      </c>
      <c r="KS27">
        <f>IF(COUNTIF('Live Search'!BM$26:CQ$26,0)+COUNTIF('Live Search'!CS$26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T27">
        <f>IF($FI$27="",FALSE,SUMPRODUCT(('Final Calculation Sheet'!$AF$4:$AF$40=$FI$27)*($KS$6:$KS$42=1))&gt;0)</f>
        <v/>
      </c>
      <c r="KU27">
        <f>$KU$26+--($KT27)</f>
        <v/>
      </c>
      <c r="KV27">
        <f>IF(ROW()-3&gt;MAX($KU$4:$KU$40),"",INDEX($FI$4:$FI$40,MATCH(ROW()-3,$KU$4:$KU$40,0)))</f>
        <v/>
      </c>
      <c r="KW27">
        <f>IF(COUNTIF('Live Search'!BM$26:CR$26,0)+COUNTIF('Live Search'!CT$26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KX27">
        <f>IF($FN$27="",FALSE,SUMPRODUCT(('Final Calculation Sheet'!$AG$4:$AG$40=$FN$27)*($KW$6:$KW$42=1))&gt;0)</f>
        <v/>
      </c>
      <c r="KY27">
        <f>$KY$26+--($KX27)</f>
        <v/>
      </c>
      <c r="KZ27">
        <f>IF(ROW()-3&gt;MAX($KY$4:$KY$40),"",INDEX($FN$4:$FN$40,MATCH(ROW()-3,$KY$4:$KY$40,0)))</f>
        <v/>
      </c>
      <c r="LA27">
        <f>IF(COUNTIF('Live Search'!BM$26:CS$26,0)+COUNTIF('Live Search'!CU$26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LB27">
        <f>IF($FS$27="",FALSE,SUMPRODUCT(('Final Calculation Sheet'!$AH$4:$AH$40=$FS$27)*($LA$6:$LA$42=1))&gt;0)</f>
        <v/>
      </c>
      <c r="LC27">
        <f>$LC$26+--($LB27)</f>
        <v/>
      </c>
      <c r="LD27">
        <f>IF(ROW()-3&gt;MAX($LC$4:$LC$40),"",INDEX($FS$4:$FS$40,MATCH(ROW()-3,$LC$4:$LC$40,0)))</f>
        <v/>
      </c>
      <c r="LE27">
        <f>IF(COUNTIF('Buyer Groups'!DH80:EN80,0)&gt;0,0,1)</f>
        <v/>
      </c>
      <c r="LF27">
        <f>IF($O$27="",FALSE,SUMPRODUCT(('Final Calculation Sheet'!$F$4:$F$40=$O$27)*($LE$6:$LE$42=1))&gt;0)</f>
        <v/>
      </c>
      <c r="LG27">
        <f>$LG$26+--($LF27)</f>
        <v/>
      </c>
      <c r="LH27">
        <f>IF(ROW()-3&gt;MAX($LG$4:$LG$40),"",INDEX($O$4:$O$40,MATCH(ROW()-3,$LG$4:$LG$40,0)))</f>
        <v/>
      </c>
      <c r="LI27">
        <f>IF(COUNTIF('Buyer Groups'!DG80:DG80,0)+COUNTIF('Buyer Groups'!DI80:EN80,0)&gt;0,0,1)</f>
        <v/>
      </c>
      <c r="LJ27">
        <f>IF($T$27="",FALSE,SUMPRODUCT(('Final Calculation Sheet'!$G$4:$G$40=$T$27)*($LI$6:$LI$42=1))&gt;0)</f>
        <v/>
      </c>
      <c r="LK27">
        <f>$LK$26+--($LJ27)</f>
        <v/>
      </c>
      <c r="LL27">
        <f>IF(ROW()-3&gt;MAX($LK$4:$LK$40),"",INDEX($T$4:$T$40,MATCH(ROW()-3,$LK$4:$LK$40,0)))</f>
        <v/>
      </c>
      <c r="LM27">
        <f>IF(COUNTIF('Buyer Groups'!DG80:DH80,0)+COUNTIF('Buyer Groups'!DJ80:EN80,0)&gt;0,0,1)</f>
        <v/>
      </c>
      <c r="LN27">
        <f>IF($Y$27="",FALSE,SUMPRODUCT(('Final Calculation Sheet'!$B$4:$B$40=$Y$27)*($LM$6:$LM$42=1))&gt;0)</f>
        <v/>
      </c>
      <c r="LO27">
        <f>$LO$26+--($LN27)</f>
        <v/>
      </c>
      <c r="LP27">
        <f>IF(ROW()-3&gt;MAX($LO$4:$LO$40),"",INDEX($Y$4:$Y$40,MATCH(ROW()-3,$LO$4:$LO$40,0)))</f>
        <v/>
      </c>
      <c r="LQ27">
        <f>IF(COUNTIF('Buyer Groups'!DG80:DI80,0)+COUNTIF('Buyer Groups'!DK80:EN80,0)&gt;0,0,1)</f>
        <v/>
      </c>
      <c r="LR27">
        <f>IF($AD$27="",FALSE,SUMPRODUCT(('Final Calculation Sheet'!$D$4:$D$40=$AD$27)*($LQ$6:$LQ$42=1))&gt;0)</f>
        <v/>
      </c>
      <c r="LS27">
        <f>$LS$26+--($LR27)</f>
        <v/>
      </c>
      <c r="LT27">
        <f>IF(ROW()-3&gt;MAX($LS$4:$LS$40),"",INDEX($AD$4:$AD$40,MATCH(ROW()-3,$LS$4:$LS$40,0)))</f>
        <v/>
      </c>
      <c r="LU27">
        <f>IF(COUNTIF('Buyer Groups'!DG80:DJ80,0)+COUNTIF('Buyer Groups'!DL80:EN80,0)&gt;0,0,1)</f>
        <v/>
      </c>
      <c r="LV27">
        <f>IF($AI$27="",FALSE,SUMPRODUCT(('Final Calculation Sheet'!$A$4:$A$40=$AI$27)*($LU$6:$LU$42=1))&gt;0)</f>
        <v/>
      </c>
      <c r="LW27">
        <f>$LW$26+--($LV27)</f>
        <v/>
      </c>
      <c r="LX27">
        <f>IF(ROW()-3&gt;MAX($LW$4:$LW$40),"",INDEX($AI$4:$AI$40,MATCH(ROW()-3,$LW$4:$LW$40,0)))</f>
        <v/>
      </c>
      <c r="LY27">
        <f>IF(COUNTIF('Buyer Groups'!DG80:DK80,0)+COUNTIF('Buyer Groups'!DM80:EN80,0)&gt;0,0,1)</f>
        <v/>
      </c>
      <c r="LZ27">
        <f>IF($AN$27="",FALSE,SUMPRODUCT(('Final Calculation Sheet'!$E$4:$E$40=$AN$27)*($LY$6:$LY$42=1))&gt;0)</f>
        <v/>
      </c>
      <c r="MA27">
        <f>$MA$26+--($LZ27)</f>
        <v/>
      </c>
      <c r="MB27">
        <f>IF(ROW()-3&gt;MAX($MA$4:$MA$40),"",INDEX($AN$4:$AN$40,MATCH(ROW()-3,$MA$4:$MA$40,0)))</f>
        <v/>
      </c>
      <c r="MC27">
        <f>IF(COUNTIF('Buyer Groups'!DG80:DL80,0)+COUNTIF('Buyer Groups'!DN80:EN80,0)&gt;0,0,1)</f>
        <v/>
      </c>
      <c r="MD27">
        <f>IF($AS$27="",FALSE,SUMPRODUCT(('Final Calculation Sheet'!$C$4:$C$40=$AS$27)*($MC$6:$MC$42=1))&gt;0)</f>
        <v/>
      </c>
      <c r="ME27">
        <f>$ME$26+--($MD27)</f>
        <v/>
      </c>
      <c r="MF27">
        <f>IF(ROW()-3&gt;MAX($ME$4:$ME$40),"",INDEX($AS$4:$AS$40,MATCH(ROW()-3,$ME$4:$ME$40,0)))</f>
        <v/>
      </c>
      <c r="MG27">
        <f>IF(COUNTIF('Buyer Groups'!DG80:DM80,0)+COUNTIF('Buyer Groups'!DO80:EN80,0)&gt;0,0,1)</f>
        <v/>
      </c>
      <c r="MH27">
        <f>IF($AX$27="",FALSE,SUMPRODUCT(('Final Calculation Sheet'!$H$4:$H$40=$AX$27)*($MG$6:$MG$42=1))&gt;0)</f>
        <v/>
      </c>
      <c r="MI27">
        <f>$MI$26+--($MH27)</f>
        <v/>
      </c>
      <c r="MJ27">
        <f>IF(ROW()-3&gt;MAX($MI$4:$MI$40),"",INDEX($AX$4:$AX$40,MATCH(ROW()-3,$MI$4:$MI$40,0)))</f>
        <v/>
      </c>
      <c r="MK27">
        <f>IF(COUNTIF('Buyer Groups'!DG80:DN80,0)+COUNTIF('Buyer Groups'!DP80:EN80,0)&gt;0,0,1)</f>
        <v/>
      </c>
      <c r="ML27">
        <f>IF($BC$27="",FALSE,SUMPRODUCT(('Final Calculation Sheet'!$I$4:$I$40=$BC$27)*($MK$6:$MK$42=1))&gt;0)</f>
        <v/>
      </c>
      <c r="MM27">
        <f>$MM$26+--($ML27)</f>
        <v/>
      </c>
      <c r="MN27">
        <f>IF(ROW()-3&gt;MAX($MM$4:$MM$40),"",INDEX($BC$4:$BC$40,MATCH(ROW()-3,$MM$4:$MM$40,0)))</f>
        <v/>
      </c>
      <c r="MO27">
        <f>IF(COUNTIF('Buyer Groups'!DG80:DO80,0)+COUNTIF('Buyer Groups'!DQ80:EN80,0)&gt;0,0,1)</f>
        <v/>
      </c>
      <c r="MP27">
        <f>IF($BH$27="",FALSE,SUMPRODUCT(('Final Calculation Sheet'!$J$4:$J$40=$BH$27)*($MO$6:$MO$42=1))&gt;0)</f>
        <v/>
      </c>
      <c r="MQ27">
        <f>$MQ$26+--($MP27)</f>
        <v/>
      </c>
      <c r="MR27">
        <f>IF(ROW()-3&gt;MAX($MQ$4:$MQ$40),"",INDEX($BH$4:$BH$40,MATCH(ROW()-3,$MQ$4:$MQ$40,0)))</f>
        <v/>
      </c>
      <c r="MS27">
        <f>IF(COUNTIF('Buyer Groups'!DG80:DP80,0)+COUNTIF('Buyer Groups'!DR80:EN80,0)&gt;0,0,1)</f>
        <v/>
      </c>
      <c r="MT27">
        <f>IF($BM$27="",FALSE,SUMPRODUCT(('Final Calculation Sheet'!$K$4:$K$40=$BM$27)*($MS$6:$MS$42=1))&gt;0)</f>
        <v/>
      </c>
      <c r="MU27">
        <f>$MU$26+--($MT27)</f>
        <v/>
      </c>
      <c r="MV27">
        <f>IF(ROW()-3&gt;MAX($MU$4:$MU$40),"",INDEX($BM$4:$BM$40,MATCH(ROW()-3,$MU$4:$MU$40,0)))</f>
        <v/>
      </c>
      <c r="MW27">
        <f>IF(COUNTIF('Buyer Groups'!DG80:DQ80,0)+COUNTIF('Buyer Groups'!DS80:EN80,0)&gt;0,0,1)</f>
        <v/>
      </c>
      <c r="MX27">
        <f>IF($BR$27="",FALSE,SUMPRODUCT(('Final Calculation Sheet'!$L$4:$L$40=$BR$27)*($MW$6:$MW$42=1))&gt;0)</f>
        <v/>
      </c>
      <c r="MY27">
        <f>$MY$26+--($MX27)</f>
        <v/>
      </c>
      <c r="MZ27">
        <f>IF(ROW()-3&gt;MAX($MY$4:$MY$40),"",INDEX($BR$4:$BR$40,MATCH(ROW()-3,$MY$4:$MY$40,0)))</f>
        <v/>
      </c>
      <c r="NA27">
        <f>IF(COUNTIF('Buyer Groups'!DG80:DR80,0)+COUNTIF('Buyer Groups'!DT80:EN80,0)&gt;0,0,1)</f>
        <v/>
      </c>
      <c r="NB27">
        <f>IF($BW$27="",FALSE,SUMPRODUCT(('Final Calculation Sheet'!$M$4:$M$40=$BW$27)*($NA$6:$NA$42=1))&gt;0)</f>
        <v/>
      </c>
      <c r="NC27">
        <f>$NC$26+--($NB27)</f>
        <v/>
      </c>
      <c r="ND27">
        <f>IF(ROW()-3&gt;MAX($NC$4:$NC$40),"",INDEX($BW$4:$BW$40,MATCH(ROW()-3,$NC$4:$NC$40,0)))</f>
        <v/>
      </c>
      <c r="NE27">
        <f>IF(COUNTIF('Buyer Groups'!DG80:DS80,0)+COUNTIF('Buyer Groups'!DU80:EN80,0)&gt;0,0,1)</f>
        <v/>
      </c>
      <c r="NF27">
        <f>IF($CB$27="",FALSE,SUMPRODUCT(('Final Calculation Sheet'!$N$4:$N$40=$CB$27)*($NE$6:$NE$42=1))&gt;0)</f>
        <v/>
      </c>
      <c r="NG27">
        <f>$NG$26+--($NF27)</f>
        <v/>
      </c>
      <c r="NH27">
        <f>IF(ROW()-3&gt;MAX($NG$4:$NG$40),"",INDEX($CB$4:$CB$40,MATCH(ROW()-3,$NG$4:$NG$40,0)))</f>
        <v/>
      </c>
      <c r="NI27">
        <f>IF(COUNTIF('Buyer Groups'!DG80:DT80,0)+COUNTIF('Buyer Groups'!DV80:EN80,0)&gt;0,0,1)</f>
        <v/>
      </c>
      <c r="NJ27">
        <f>IF($CG$27="",FALSE,SUMPRODUCT(('Final Calculation Sheet'!$O$4:$O$40=$CG$27)*($NI$6:$NI$42=1))&gt;0)</f>
        <v/>
      </c>
      <c r="NK27">
        <f>$NK$26+--($NJ27)</f>
        <v/>
      </c>
      <c r="NL27">
        <f>IF(ROW()-3&gt;MAX($NK$4:$NK$40),"",INDEX($CG$4:$CG$40,MATCH(ROW()-3,$NK$4:$NK$40,0)))</f>
        <v/>
      </c>
      <c r="NM27">
        <f>IF(COUNTIF('Buyer Groups'!DG80:DU80,0)+COUNTIF('Buyer Groups'!DW80:EN80,0)&gt;0,0,1)</f>
        <v/>
      </c>
      <c r="NN27">
        <f>IF($CL$27="",FALSE,SUMPRODUCT(('Final Calculation Sheet'!$P$4:$P$40=$CL$27)*($NM$6:$NM$42=1))&gt;0)</f>
        <v/>
      </c>
      <c r="NO27">
        <f>$NO$26+--($NN27)</f>
        <v/>
      </c>
      <c r="NP27">
        <f>IF(ROW()-3&gt;MAX($NO$4:$NO$40),"",INDEX($CL$4:$CL$40,MATCH(ROW()-3,$NO$4:$NO$40,0)))</f>
        <v/>
      </c>
      <c r="NQ27">
        <f>IF(COUNTIF('Buyer Groups'!DG80:DV80,0)+COUNTIF('Buyer Groups'!DX80:EN80,0)&gt;0,0,1)</f>
        <v/>
      </c>
      <c r="NR27">
        <f>IF($CQ$27="",FALSE,SUMPRODUCT(('Final Calculation Sheet'!$Q$4:$Q$40=$CQ$27)*($NQ$6:$NQ$42=1))&gt;0)</f>
        <v/>
      </c>
      <c r="NS27">
        <f>$NS$26+--($NR27)</f>
        <v/>
      </c>
      <c r="NT27">
        <f>IF(ROW()-3&gt;MAX($NS$4:$NS$40),"",INDEX($CQ$4:$CQ$40,MATCH(ROW()-3,$NS$4:$NS$40,0)))</f>
        <v/>
      </c>
      <c r="NU27">
        <f>IF(COUNTIF('Buyer Groups'!DG80:DW80,0)+COUNTIF('Buyer Groups'!DY80:EN80,0)&gt;0,0,1)</f>
        <v/>
      </c>
      <c r="NV27">
        <f>IF($CV$27="",FALSE,SUMPRODUCT(('Final Calculation Sheet'!$R$4:$R$40=$CV$27)*($NU$6:$NU$42=1))&gt;0)</f>
        <v/>
      </c>
      <c r="NW27">
        <f>$NW$26+--($NV27)</f>
        <v/>
      </c>
      <c r="NX27">
        <f>IF(ROW()-3&gt;MAX($NW$4:$NW$40),"",INDEX($CV$4:$CV$40,MATCH(ROW()-3,$NW$4:$NW$40,0)))</f>
        <v/>
      </c>
      <c r="NY27">
        <f>IF(COUNTIF('Buyer Groups'!DG80:DX80,0)+COUNTIF('Buyer Groups'!DZ80:EN80,0)&gt;0,0,1)</f>
        <v/>
      </c>
      <c r="NZ27">
        <f>IF($DA$27="",FALSE,SUMPRODUCT(('Final Calculation Sheet'!$S$4:$S$40=$DA$27)*($NY$6:$NY$42=1))&gt;0)</f>
        <v/>
      </c>
      <c r="OA27">
        <f>$OA$26+--($NZ27)</f>
        <v/>
      </c>
      <c r="OB27">
        <f>IF(ROW()-3&gt;MAX($OA$4:$OA$40),"",INDEX($DA$4:$DA$40,MATCH(ROW()-3,$OA$4:$OA$40,0)))</f>
        <v/>
      </c>
      <c r="OC27">
        <f>IF(COUNTIF('Buyer Groups'!DG80:DY80,0)+COUNTIF('Buyer Groups'!EA80:EN80,0)&gt;0,0,1)</f>
        <v/>
      </c>
      <c r="OD27">
        <f>IF($DF$27="",FALSE,SUMPRODUCT(('Final Calculation Sheet'!$T$4:$T$40=$DF$27)*($OC$6:$OC$42=1))&gt;0)</f>
        <v/>
      </c>
      <c r="OE27">
        <f>$OE$26+--($OD27)</f>
        <v/>
      </c>
      <c r="OF27">
        <f>IF(ROW()-3&gt;MAX($OE$4:$OE$40),"",INDEX($DF$4:$DF$40,MATCH(ROW()-3,$OE$4:$OE$40,0)))</f>
        <v/>
      </c>
      <c r="OG27">
        <f>IF(COUNTIF('Buyer Groups'!DG80:DZ80,0)+COUNTIF('Buyer Groups'!EB80:EN80,0)&gt;0,0,1)</f>
        <v/>
      </c>
      <c r="OH27">
        <f>IF($DK$27="",FALSE,SUMPRODUCT(('Final Calculation Sheet'!$U$4:$U$40=$DK$27)*($OG$6:$OG$42=1))&gt;0)</f>
        <v/>
      </c>
      <c r="OI27">
        <f>$OI$26+--($OH27)</f>
        <v/>
      </c>
      <c r="OJ27">
        <f>IF(ROW()-3&gt;MAX($OI$4:$OI$40),"",INDEX($DK$4:$DK$40,MATCH(ROW()-3,$OI$4:$OI$40,0)))</f>
        <v/>
      </c>
      <c r="OK27">
        <f>IF(COUNTIF('Buyer Groups'!DG80:EA80,0)+COUNTIF('Buyer Groups'!EC80:EN80,0)&gt;0,0,1)</f>
        <v/>
      </c>
      <c r="OL27">
        <f>IF($DP$27="",FALSE,SUMPRODUCT(('Final Calculation Sheet'!$V$4:$V$40=$DP$27)*($OK$6:$OK$42=1))&gt;0)</f>
        <v/>
      </c>
      <c r="OM27">
        <f>$OM$26+--($OL27)</f>
        <v/>
      </c>
      <c r="ON27">
        <f>IF(ROW()-3&gt;MAX($OM$4:$OM$40),"",INDEX($DP$4:$DP$40,MATCH(ROW()-3,$OM$4:$OM$40,0)))</f>
        <v/>
      </c>
      <c r="OO27">
        <f>IF(COUNTIF('Buyer Groups'!DG80:EB80,0)+COUNTIF('Buyer Groups'!ED80:EN80,0)&gt;0,0,1)</f>
        <v/>
      </c>
      <c r="OP27">
        <f>IF($DU$27="",FALSE,SUMPRODUCT(('Final Calculation Sheet'!$W$4:$W$40=$DU$27)*($OO$6:$OO$42=1))&gt;0)</f>
        <v/>
      </c>
      <c r="OQ27">
        <f>$OQ$26+--($OP27)</f>
        <v/>
      </c>
      <c r="OR27">
        <f>IF(ROW()-3&gt;MAX($OQ$4:$OQ$40),"",INDEX($DU$4:$DU$40,MATCH(ROW()-3,$OQ$4:$OQ$40,0)))</f>
        <v/>
      </c>
      <c r="OS27">
        <f>IF(COUNTIF('Buyer Groups'!DG80:EC80,0)+COUNTIF('Buyer Groups'!EE80:EN80,0)&gt;0,0,1)</f>
        <v/>
      </c>
      <c r="OT27">
        <f>IF($DZ$27="",FALSE,SUMPRODUCT(('Final Calculation Sheet'!$X$4:$X$40=$DZ$27)*($OS$6:$OS$42=1))&gt;0)</f>
        <v/>
      </c>
      <c r="OU27">
        <f>$OU$26+--($OT27)</f>
        <v/>
      </c>
      <c r="OV27">
        <f>IF(ROW()-3&gt;MAX($OU$4:$OU$40),"",INDEX($DZ$4:$DZ$40,MATCH(ROW()-3,$OU$4:$OU$40,0)))</f>
        <v/>
      </c>
      <c r="OW27">
        <f>IF(COUNTIF('Buyer Groups'!DG80:ED80,0)+COUNTIF('Buyer Groups'!EF80:EN80,0)&gt;0,0,1)</f>
        <v/>
      </c>
      <c r="OX27">
        <f>IF($EE$27="",FALSE,SUMPRODUCT(('Final Calculation Sheet'!$Y$4:$Y$40=$EE$27)*($OW$6:$OW$42=1))&gt;0)</f>
        <v/>
      </c>
      <c r="OY27">
        <f>$OY$26+--($OX27)</f>
        <v/>
      </c>
      <c r="OZ27">
        <f>IF(ROW()-3&gt;MAX($OY$4:$OY$40),"",INDEX($EE$4:$EE$40,MATCH(ROW()-3,$OY$4:$OY$40,0)))</f>
        <v/>
      </c>
      <c r="PA27">
        <f>IF(COUNTIF('Buyer Groups'!DG80:EE80,0)+COUNTIF('Buyer Groups'!EG80:EN80,0)&gt;0,0,1)</f>
        <v/>
      </c>
      <c r="PB27">
        <f>IF($EJ$27="",FALSE,SUMPRODUCT(('Final Calculation Sheet'!$Z$4:$Z$40=$EJ$27)*($PA$6:$PA$42=1))&gt;0)</f>
        <v/>
      </c>
      <c r="PC27">
        <f>$PC$26+--($PB27)</f>
        <v/>
      </c>
      <c r="PD27">
        <f>IF(ROW()-3&gt;MAX($PC$4:$PC$40),"",INDEX($EJ$4:$EJ$40,MATCH(ROW()-3,$PC$4:$PC$40,0)))</f>
        <v/>
      </c>
      <c r="PE27">
        <f>IF(COUNTIF('Buyer Groups'!DG80:EF80,0)+COUNTIF('Buyer Groups'!EH80:EN80,0)&gt;0,0,1)</f>
        <v/>
      </c>
      <c r="PF27">
        <f>IF($EO$27="",FALSE,SUMPRODUCT(('Final Calculation Sheet'!$AA$4:$AA$40=$EO$27)*($PE$6:$PE$42=1))&gt;0)</f>
        <v/>
      </c>
      <c r="PG27">
        <f>$PG$26+--($PF27)</f>
        <v/>
      </c>
      <c r="PH27">
        <f>IF(ROW()-3&gt;MAX($PG$4:$PG$40),"",INDEX($EO$4:$EO$40,MATCH(ROW()-3,$PG$4:$PG$40,0)))</f>
        <v/>
      </c>
      <c r="PI27">
        <f>IF(COUNTIF('Buyer Groups'!DG80:EG80,0)+COUNTIF('Buyer Groups'!EI80:EN80,0)&gt;0,0,1)</f>
        <v/>
      </c>
      <c r="PJ27">
        <f>IF($ET$27="",FALSE,SUMPRODUCT(('Final Calculation Sheet'!$AB$4:$AB$40=$ET$27)*($PI$6:$PI$42=1))&gt;0)</f>
        <v/>
      </c>
      <c r="PK27">
        <f>$PK$26+--($PJ27)</f>
        <v/>
      </c>
      <c r="PL27">
        <f>IF(ROW()-3&gt;MAX($PK$4:$PK$40),"",INDEX($ET$4:$ET$40,MATCH(ROW()-3,$PK$4:$PK$40,0)))</f>
        <v/>
      </c>
      <c r="PM27">
        <f>IF(COUNTIF('Buyer Groups'!DG80:EH80,0)+COUNTIF('Buyer Groups'!EJ80:EN80,0)&gt;0,0,1)</f>
        <v/>
      </c>
      <c r="PN27">
        <f>IF($EY$27="",FALSE,SUMPRODUCT(('Final Calculation Sheet'!$AC$4:$AC$40=$EY$27)*($PM$6:$PM$42=1))&gt;0)</f>
        <v/>
      </c>
      <c r="PO27">
        <f>$PO$26+--($PN27)</f>
        <v/>
      </c>
      <c r="PP27">
        <f>IF(ROW()-3&gt;MAX($PO$4:$PO$40),"",INDEX($EY$4:$EY$40,MATCH(ROW()-3,$PO$4:$PO$40,0)))</f>
        <v/>
      </c>
      <c r="PQ27">
        <f>IF(COUNTIF('Buyer Groups'!DG80:EI80,0)+COUNTIF('Buyer Groups'!EK80:EN80,0)&gt;0,0,1)</f>
        <v/>
      </c>
      <c r="PR27">
        <f>IF($FD$27="",FALSE,SUMPRODUCT(('Final Calculation Sheet'!$AD$4:$AD$40=$FD$27)*($PQ$6:$PQ$42=1))&gt;0)</f>
        <v/>
      </c>
      <c r="PS27">
        <f>$PS$26+--($PR27)</f>
        <v/>
      </c>
      <c r="PT27">
        <f>IF(ROW()-3&gt;MAX($PS$4:$PS$40),"",INDEX($FD$4:$FD$40,MATCH(ROW()-3,$PS$4:$PS$40,0)))</f>
        <v/>
      </c>
      <c r="PU27">
        <f>IF(COUNTIF('Buyer Groups'!DG80:EJ80,0)+COUNTIF('Buyer Groups'!EL80:EN80,0)&gt;0,0,1)</f>
        <v/>
      </c>
      <c r="PV27">
        <f>IF($FX$27="",FALSE,SUMPRODUCT((IF('Final Calculation Sheet'!$AD$4:$AD$40&lt;=5,"SETTLED","OUTSTANDING")=$FX$27)*($PU$6:$PU$42=1))&gt;0)</f>
        <v/>
      </c>
      <c r="PW27">
        <f>$PW$26+--($PV27)</f>
        <v/>
      </c>
      <c r="PX27">
        <f>IF(ROW()-3&gt;MAX($PW$4:$PW$40),"",INDEX($FX$4:$FX$40,MATCH(ROW()-3,$PW$4:$PW$40,0)))</f>
        <v/>
      </c>
      <c r="PY27">
        <f>IF(COUNTIF('Buyer Groups'!DG80:EK80,0)+COUNTIF('Buyer Groups'!EM80:EN80,0)&gt;0,0,1)</f>
        <v/>
      </c>
      <c r="PZ27">
        <f>IF($FI$27="",FALSE,SUMPRODUCT(('Final Calculation Sheet'!$AF$4:$AF$40=$FI$27)*($PY$6:$PY$42=1))&gt;0)</f>
        <v/>
      </c>
      <c r="QA27">
        <f>$QA$26+--($PZ27)</f>
        <v/>
      </c>
      <c r="QB27">
        <f>IF(ROW()-3&gt;MAX($QA$4:$QA$40),"",INDEX($FI$4:$FI$40,MATCH(ROW()-3,$QA$4:$QA$40,0)))</f>
        <v/>
      </c>
      <c r="QC27">
        <f>IF(COUNTIF('Buyer Groups'!DG80:EL80,0)+COUNTIF('Buyer Groups'!EN80:EN80,0)&gt;0,0,1)</f>
        <v/>
      </c>
      <c r="QD27">
        <f>IF($FN$27="",FALSE,SUMPRODUCT(('Final Calculation Sheet'!$AG$4:$AG$40=$FN$27)*($QC$6:$QC$42=1))&gt;0)</f>
        <v/>
      </c>
      <c r="QE27">
        <f>$QE$26+--($QD27)</f>
        <v/>
      </c>
      <c r="QF27">
        <f>IF(ROW()-3&gt;MAX($QE$4:$QE$40),"",INDEX($FN$4:$FN$40,MATCH(ROW()-3,$QE$4:$QE$40,0)))</f>
        <v/>
      </c>
      <c r="QG27">
        <f>IF(COUNTIF('Buyer Groups'!DG80:EM80,0)&gt;0,0,1)</f>
        <v/>
      </c>
      <c r="QH27">
        <f>IF($FS$27="",FALSE,SUMPRODUCT(('Final Calculation Sheet'!$AH$4:$AH$40=$FS$27)*($QG$6:$QG$42=1))&gt;0)</f>
        <v/>
      </c>
      <c r="QI27">
        <f>$QI$26+--($QH27)</f>
        <v/>
      </c>
      <c r="QJ27">
        <f>IF(ROW()-3&gt;MAX($QI$4:$QI$40),"",INDEX($FS$4:$FS$40,MATCH(ROW()-3,$QI$4:$QI$40,0)))</f>
        <v/>
      </c>
      <c r="QK27" t="str">
        <f>IF('Final Calculation Sheet'!$AH$27="","",'Final Calculation Sheet'!$AH$27)</f>
      </c>
      <c r="QL27" t="str">
        <f>IF(QK27="","",COUNTIFS(QK$4:QK$40,"&lt;"&amp;QK27,QK$4:QK$40,"&lt;&gt;"&amp;"")+COUNTIF(QK$4:QK27,QK27))</f>
      </c>
      <c r="QM27" t="str">
        <f>IF(ROW()-3&gt;COUNTIF(QK$4:QK$40,"&lt;&gt;"&amp;""),"",INDEX(QK$4:QK$40,MATCH(ROW()-3,QL$4:QL$40,0)))</f>
      </c>
      <c r="QN27" t="str">
        <f>=QN26+F(AND(QM27&lt;&gt;"",COUNTIF(QM$4:QM27,QM27)=1),1,0)</f>
      </c>
      <c r="QO27" t="str">
        <f>IF(ROW()-3&gt;MAX(QN$4:QN$40),"",INDEX(QM$4:QM$40,MATCH(ROW()-3,QN$4:QN$40,0)))</f>
      </c>
      <c r="QP27" t="str">
        <f>IF(COUNTIF('Final Calculation Sheet'!$AM27:$BS27,0)&gt;0,0,1)</f>
      </c>
      <c r="QQ27" t="str">
        <f>IF($AI$27="",FALSE,SUMPRODUCT(('Final Calculation Sheet'!$A$4:$A$40=$AI$27)*($QP$4:$QP$40=1))&gt;0)</f>
      </c>
      <c r="QR27" t="str">
        <f>=$QR26+--($QQ27)</f>
      </c>
      <c r="QS27" t="str">
        <f>IF(ROW()-3&gt;MAX($QR$4:$QR$40),"",INDEX($AI$4:$AI$40,MATCH(ROW()-3,$QR$4:$QR$40,0)))</f>
      </c>
      <c r="QT27" t="str">
        <f>IF(COUNTIF('Final Calculation Sheet'!$AL27:$AL27,0)+COUNTIF('Final Calculation Sheet'!$AN27:$BS27,0)&gt;0,0,1)</f>
      </c>
      <c r="QU27" t="str">
        <f>IF($Y$27="",FALSE,SUMPRODUCT(('Final Calculation Sheet'!$B$4:$B$40=$Y$27)*($QT$4:$QT$40=1))&gt;0)</f>
      </c>
      <c r="QV27" t="str">
        <f>=$QV26+--($QU27)</f>
      </c>
      <c r="QW27" t="str">
        <f>IF(ROW()-3&gt;MAX($QV$4:$QV$40),"",INDEX($Y$4:$Y$40,MATCH(ROW()-3,$QV$4:$QV$40,0)))</f>
      </c>
      <c r="QX27" t="str">
        <f>IF(COUNTIF('Final Calculation Sheet'!$AL27:$AM27,0)+COUNTIF('Final Calculation Sheet'!$AO27:$BS27,0)&gt;0,0,1)</f>
      </c>
      <c r="QY27" t="str">
        <f>IF($AS$27="",FALSE,SUMPRODUCT(('Final Calculation Sheet'!$C$4:$C$40=$AS$27)*($QX$4:$QX$40=1))&gt;0)</f>
      </c>
      <c r="QZ27" t="str">
        <f>=$QZ26+--($QY27)</f>
      </c>
      <c r="RA27" t="str">
        <f>IF(ROW()-3&gt;MAX($QZ$4:$QZ$40),"",INDEX($AS$4:$AS$40,MATCH(ROW()-3,$QZ$4:$QZ$40,0)))</f>
      </c>
      <c r="RB27" t="str">
        <f>IF(COUNTIF('Final Calculation Sheet'!$AL27:$AN27,0)+COUNTIF('Final Calculation Sheet'!$AP27:$BS27,0)&gt;0,0,1)</f>
      </c>
      <c r="RC27" t="str">
        <f>IF($AD$27="",FALSE,SUMPRODUCT(('Final Calculation Sheet'!$D$4:$D$40=$AD$27)*($RB$4:$RB$40=1))&gt;0)</f>
      </c>
      <c r="RD27" t="str">
        <f>=$RD26+--($RC27)</f>
      </c>
      <c r="RE27" t="str">
        <f>IF(ROW()-3&gt;MAX($RD$4:$RD$40),"",INDEX($AD$4:$AD$40,MATCH(ROW()-3,$RD$4:$RD$40,0)))</f>
      </c>
      <c r="RF27" t="str">
        <f>IF(COUNTIF('Final Calculation Sheet'!$AL27:$AO27,0)+COUNTIF('Final Calculation Sheet'!$AQ27:$BS27,0)&gt;0,0,1)</f>
      </c>
      <c r="RG27" t="str">
        <f>IF($AN$27="",FALSE,SUMPRODUCT(('Final Calculation Sheet'!$E$4:$E$40=$AN$27)*($RF$4:$RF$40=1))&gt;0)</f>
      </c>
      <c r="RH27" t="str">
        <f>=$RH26+--($RG27)</f>
      </c>
      <c r="RI27" t="str">
        <f>IF(ROW()-3&gt;MAX($RH$4:$RH$40),"",INDEX($AN$4:$AN$40,MATCH(ROW()-3,$RH$4:$RH$40,0)))</f>
      </c>
      <c r="RJ27" t="str">
        <f>IF(COUNTIF('Final Calculation Sheet'!$AL27:$AP27,0)+COUNTIF('Final Calculation Sheet'!$AR27:$BS27,0)&gt;0,0,1)</f>
      </c>
      <c r="RK27" t="str">
        <f>IF($O$27="",FALSE,SUMPRODUCT(('Final Calculation Sheet'!$F$4:$F$40=$O$27)*($RJ$4:$RJ$40=1))&gt;0)</f>
      </c>
      <c r="RL27" t="str">
        <f>=$RL26+--($RK27)</f>
      </c>
      <c r="RM27" t="str">
        <f>IF(ROW()-3&gt;MAX($RL$4:$RL$40),"",INDEX($O$4:$O$40,MATCH(ROW()-3,$RL$4:$RL$40,0)))</f>
      </c>
      <c r="RN27" t="str">
        <f>IF(COUNTIF('Final Calculation Sheet'!$AL27:$AQ27,0)+COUNTIF('Final Calculation Sheet'!$AS27:$BS27,0)&gt;0,0,1)</f>
      </c>
      <c r="RO27" t="str">
        <f>IF($T$27="",FALSE,SUMPRODUCT(('Final Calculation Sheet'!$G$4:$G$40=$T$27)*($RN$4:$RN$40=1))&gt;0)</f>
      </c>
      <c r="RP27" t="str">
        <f>=$RP26+--($RO27)</f>
      </c>
      <c r="RQ27" t="str">
        <f>IF(ROW()-3&gt;MAX($RP$4:$RP$40),"",INDEX($T$4:$T$40,MATCH(ROW()-3,$RP$4:$RP$40,0)))</f>
      </c>
      <c r="RR27" t="str">
        <f>IF(COUNTIF('Final Calculation Sheet'!$AL27:$AR27,0)+COUNTIF('Final Calculation Sheet'!$AT27:$BS27,0)&gt;0,0,1)</f>
      </c>
      <c r="RS27" t="str">
        <f>IF($AX$27="",FALSE,SUMPRODUCT(('Final Calculation Sheet'!$H$4:$H$40=$AX$27)*($RR$4:$RR$40=1))&gt;0)</f>
      </c>
      <c r="RT27" t="str">
        <f>=$RT26+--($RS27)</f>
      </c>
      <c r="RU27" t="str">
        <f>IF(ROW()-3&gt;MAX($RT$4:$RT$40),"",INDEX($AX$4:$AX$40,MATCH(ROW()-3,$RT$4:$RT$40,0)))</f>
      </c>
      <c r="RV27" t="str">
        <f>IF(COUNTIF('Final Calculation Sheet'!$AL27:$AS27,0)+COUNTIF('Final Calculation Sheet'!$AU27:$BS27,0)&gt;0,0,1)</f>
      </c>
      <c r="RW27" t="str">
        <f>IF($BC$27="",FALSE,SUMPRODUCT(('Final Calculation Sheet'!$I$4:$I$40=$BC$27)*($RV$4:$RV$40=1))&gt;0)</f>
      </c>
      <c r="RX27" t="str">
        <f>=$RX26+--($RW27)</f>
      </c>
      <c r="RY27" t="str">
        <f>IF(ROW()-3&gt;MAX($RX$4:$RX$40),"",INDEX($BC$4:$BC$40,MATCH(ROW()-3,$RX$4:$RX$40,0)))</f>
      </c>
      <c r="RZ27" t="str">
        <f>IF(COUNTIF('Final Calculation Sheet'!$AL27:$AT27,0)+COUNTIF('Final Calculation Sheet'!$AV27:$BS27,0)&gt;0,0,1)</f>
      </c>
      <c r="SA27" t="str">
        <f>IF($BH$27="",FALSE,SUMPRODUCT(('Final Calculation Sheet'!$J$4:$J$40=$BH$27)*($RZ$4:$RZ$40=1))&gt;0)</f>
      </c>
      <c r="SB27" t="str">
        <f>=$SB26+--($SA27)</f>
      </c>
      <c r="SC27" t="str">
        <f>IF(ROW()-3&gt;MAX($SB$4:$SB$40),"",INDEX($BH$4:$BH$40,MATCH(ROW()-3,$SB$4:$SB$40,0)))</f>
      </c>
      <c r="SD27" t="str">
        <f>IF(COUNTIF('Final Calculation Sheet'!$AL27:$AU27,0)+COUNTIF('Final Calculation Sheet'!$AW27:$BS27,0)&gt;0,0,1)</f>
      </c>
      <c r="SE27" t="str">
        <f>IF($BM$27="",FALSE,SUMPRODUCT(('Final Calculation Sheet'!$K$4:$K$40=$BM$27)*($SD$4:$SD$40=1))&gt;0)</f>
      </c>
      <c r="SF27" t="str">
        <f>=$SF26+--($SE27)</f>
      </c>
      <c r="SG27" t="str">
        <f>IF(ROW()-3&gt;MAX($SF$4:$SF$40),"",INDEX($BM$4:$BM$40,MATCH(ROW()-3,$SF$4:$SF$40,0)))</f>
      </c>
      <c r="SH27" t="str">
        <f>IF(COUNTIF('Final Calculation Sheet'!$AL27:$AV27,0)+COUNTIF('Final Calculation Sheet'!$AX27:$BS27,0)&gt;0,0,1)</f>
      </c>
      <c r="SI27" t="str">
        <f>IF($BR$27="",FALSE,SUMPRODUCT(('Final Calculation Sheet'!$L$4:$L$40=$BR$27)*($SH$4:$SH$40=1))&gt;0)</f>
      </c>
      <c r="SJ27" t="str">
        <f>=$SJ26+--($SI27)</f>
      </c>
      <c r="SK27" t="str">
        <f>IF(ROW()-3&gt;MAX($SJ$4:$SJ$40),"",INDEX($BR$4:$BR$40,MATCH(ROW()-3,$SJ$4:$SJ$40,0)))</f>
      </c>
      <c r="SL27" t="str">
        <f>IF(COUNTIF('Final Calculation Sheet'!$AL27:$AW27,0)+COUNTIF('Final Calculation Sheet'!$AY27:$BS27,0)&gt;0,0,1)</f>
      </c>
      <c r="SM27" t="str">
        <f>IF($BW$27="",FALSE,SUMPRODUCT(('Final Calculation Sheet'!$M$4:$M$40=$BW$27)*($SL$4:$SL$40=1))&gt;0)</f>
      </c>
      <c r="SN27" t="str">
        <f>=$SN26+--($SM27)</f>
      </c>
      <c r="SO27" t="str">
        <f>IF(ROW()-3&gt;MAX($SN$4:$SN$40),"",INDEX($BW$4:$BW$40,MATCH(ROW()-3,$SN$4:$SN$40,0)))</f>
      </c>
      <c r="SP27" t="str">
        <f>IF(COUNTIF('Final Calculation Sheet'!$AL27:$AX27,0)+COUNTIF('Final Calculation Sheet'!$AZ27:$BS27,0)&gt;0,0,1)</f>
      </c>
      <c r="SQ27" t="str">
        <f>IF($CB$27="",FALSE,SUMPRODUCT(('Final Calculation Sheet'!$N$4:$N$40=$CB$27)*($SP$4:$SP$40=1))&gt;0)</f>
      </c>
      <c r="SR27" t="str">
        <f>=$SR26+--($SQ27)</f>
      </c>
      <c r="SS27" t="str">
        <f>IF(ROW()-3&gt;MAX($SR$4:$SR$40),"",INDEX($CB$4:$CB$40,MATCH(ROW()-3,$SR$4:$SR$40,0)))</f>
      </c>
      <c r="ST27" t="str">
        <f>IF(COUNTIF('Final Calculation Sheet'!$AL27:$AY27,0)+COUNTIF('Final Calculation Sheet'!$BA27:$BS27,0)&gt;0,0,1)</f>
      </c>
      <c r="SU27" t="str">
        <f>IF($CG$27="",FALSE,SUMPRODUCT(('Final Calculation Sheet'!$O$4:$O$40=$CG$27)*($ST$4:$ST$40=1))&gt;0)</f>
      </c>
      <c r="SV27" t="str">
        <f>=$SV26+--($SU27)</f>
      </c>
      <c r="SW27" t="str">
        <f>IF(ROW()-3&gt;MAX($SV$4:$SV$40),"",INDEX($CG$4:$CG$40,MATCH(ROW()-3,$SV$4:$SV$40,0)))</f>
      </c>
      <c r="SX27" t="str">
        <f>IF(COUNTIF('Final Calculation Sheet'!$AL27:$AZ27,0)+COUNTIF('Final Calculation Sheet'!$BB27:$BS27,0)&gt;0,0,1)</f>
      </c>
      <c r="SY27" t="str">
        <f>IF($CL$27="",FALSE,SUMPRODUCT(('Final Calculation Sheet'!$P$4:$P$40=$CL$27)*($SX$4:$SX$40=1))&gt;0)</f>
      </c>
      <c r="SZ27" t="str">
        <f>=$SZ26+--($SY27)</f>
      </c>
      <c r="TA27" t="str">
        <f>IF(ROW()-3&gt;MAX($SZ$4:$SZ$40),"",INDEX($CL$4:$CL$40,MATCH(ROW()-3,$SZ$4:$SZ$40,0)))</f>
      </c>
      <c r="TB27" t="str">
        <f>IF(COUNTIF('Final Calculation Sheet'!$AL27:$BA27,0)+COUNTIF('Final Calculation Sheet'!$BC27:$BS27,0)&gt;0,0,1)</f>
      </c>
      <c r="TC27" t="str">
        <f>IF($CQ$27="",FALSE,SUMPRODUCT(('Final Calculation Sheet'!$Q$4:$Q$40=$CQ$27)*($TB$4:$TB$40=1))&gt;0)</f>
      </c>
      <c r="TD27" t="str">
        <f>=$TD26+--($TC27)</f>
      </c>
      <c r="TE27" t="str">
        <f>IF(ROW()-3&gt;MAX($TD$4:$TD$40),"",INDEX($CQ$4:$CQ$40,MATCH(ROW()-3,$TD$4:$TD$40,0)))</f>
      </c>
      <c r="TF27" t="str">
        <f>IF(COUNTIF('Final Calculation Sheet'!$AL27:$BB27,0)+COUNTIF('Final Calculation Sheet'!$BD27:$BS27,0)&gt;0,0,1)</f>
      </c>
      <c r="TG27" t="str">
        <f>IF($CV$27="",FALSE,SUMPRODUCT(('Final Calculation Sheet'!$R$4:$R$40=$CV$27)*($TF$4:$TF$40=1))&gt;0)</f>
      </c>
      <c r="TH27" t="str">
        <f>=$TH26+--($TG27)</f>
      </c>
      <c r="TI27" t="str">
        <f>IF(ROW()-3&gt;MAX($TH$4:$TH$40),"",INDEX($CV$4:$CV$40,MATCH(ROW()-3,$TH$4:$TH$40,0)))</f>
      </c>
      <c r="TJ27" t="str">
        <f>IF(COUNTIF('Final Calculation Sheet'!$AL27:$BC27,0)+COUNTIF('Final Calculation Sheet'!$BE27:$BS27,0)&gt;0,0,1)</f>
      </c>
      <c r="TK27" t="str">
        <f>IF($DA$27="",FALSE,SUMPRODUCT(('Final Calculation Sheet'!$S$4:$S$40=$DA$27)*($TJ$4:$TJ$40=1))&gt;0)</f>
      </c>
      <c r="TL27" t="str">
        <f>=$TL26+--($TK27)</f>
      </c>
      <c r="TM27" t="str">
        <f>IF(ROW()-3&gt;MAX($TL$4:$TL$40),"",INDEX($DA$4:$DA$40,MATCH(ROW()-3,$TL$4:$TL$40,0)))</f>
      </c>
      <c r="TN27" t="str">
        <f>IF(COUNTIF('Final Calculation Sheet'!$AL27:$BD27,0)+COUNTIF('Final Calculation Sheet'!$BF27:$BS27,0)&gt;0,0,1)</f>
      </c>
      <c r="TO27" t="str">
        <f>IF($DF$27="",FALSE,SUMPRODUCT(('Final Calculation Sheet'!$T$4:$T$40=$DF$27)*($TN$4:$TN$40=1))&gt;0)</f>
      </c>
      <c r="TP27" t="str">
        <f>=$TP26+--($TO27)</f>
      </c>
      <c r="TQ27" t="str">
        <f>IF(ROW()-3&gt;MAX($TP$4:$TP$40),"",INDEX($DF$4:$DF$40,MATCH(ROW()-3,$TP$4:$TP$40,0)))</f>
      </c>
      <c r="TR27" t="str">
        <f>IF(COUNTIF('Final Calculation Sheet'!$AL27:$BE27,0)+COUNTIF('Final Calculation Sheet'!$BG27:$BS27,0)&gt;0,0,1)</f>
      </c>
      <c r="TS27" t="str">
        <f>IF($DK$27="",FALSE,SUMPRODUCT(('Final Calculation Sheet'!$U$4:$U$40=$DK$27)*($TR$4:$TR$40=1))&gt;0)</f>
      </c>
      <c r="TT27" t="str">
        <f>=$TT26+--($TS27)</f>
      </c>
      <c r="TU27" t="str">
        <f>IF(ROW()-3&gt;MAX($TT$4:$TT$40),"",INDEX($DK$4:$DK$40,MATCH(ROW()-3,$TT$4:$TT$40,0)))</f>
      </c>
      <c r="TV27" t="str">
        <f>IF(COUNTIF('Final Calculation Sheet'!$AL27:$BF27,0)+COUNTIF('Final Calculation Sheet'!$BH27:$BS27,0)&gt;0,0,1)</f>
      </c>
      <c r="TW27" t="str">
        <f>IF($DP$27="",FALSE,SUMPRODUCT(('Final Calculation Sheet'!$V$4:$V$40=$DP$27)*($TV$4:$TV$40=1))&gt;0)</f>
      </c>
      <c r="TX27" t="str">
        <f>=$TX26+--($TW27)</f>
      </c>
      <c r="TY27" t="str">
        <f>IF(ROW()-3&gt;MAX($TX$4:$TX$40),"",INDEX($DP$4:$DP$40,MATCH(ROW()-3,$TX$4:$TX$40,0)))</f>
      </c>
      <c r="TZ27" t="str">
        <f>IF(COUNTIF('Final Calculation Sheet'!$AL27:$BG27,0)+COUNTIF('Final Calculation Sheet'!$BI27:$BS27,0)&gt;0,0,1)</f>
      </c>
      <c r="UA27" t="str">
        <f>IF($DU$27="",FALSE,SUMPRODUCT(('Final Calculation Sheet'!$W$4:$W$40=$DU$27)*($TZ$4:$TZ$40=1))&gt;0)</f>
      </c>
      <c r="UB27" t="str">
        <f>=$UB26+--($UA27)</f>
      </c>
      <c r="UC27" t="str">
        <f>IF(ROW()-3&gt;MAX($UB$4:$UB$40),"",INDEX($DU$4:$DU$40,MATCH(ROW()-3,$UB$4:$UB$40,0)))</f>
      </c>
      <c r="UD27" t="str">
        <f>IF(COUNTIF('Final Calculation Sheet'!$AL27:$BH27,0)+COUNTIF('Final Calculation Sheet'!$BJ27:$BS27,0)&gt;0,0,1)</f>
      </c>
      <c r="UE27" t="str">
        <f>IF($DZ$27="",FALSE,SUMPRODUCT(('Final Calculation Sheet'!$X$4:$X$40=$DZ$27)*($UD$4:$UD$40=1))&gt;0)</f>
      </c>
      <c r="UF27" t="str">
        <f>=$UF26+--($UE27)</f>
      </c>
      <c r="UG27" t="str">
        <f>IF(ROW()-3&gt;MAX($UF$4:$UF$40),"",INDEX($DZ$4:$DZ$40,MATCH(ROW()-3,$UF$4:$UF$40,0)))</f>
      </c>
      <c r="UH27" t="str">
        <f>IF(COUNTIF('Final Calculation Sheet'!$AL27:$BI27,0)+COUNTIF('Final Calculation Sheet'!$BK27:$BS27,0)&gt;0,0,1)</f>
      </c>
      <c r="UI27" t="str">
        <f>IF($EE$27="",FALSE,SUMPRODUCT(('Final Calculation Sheet'!$Y$4:$Y$40=$EE$27)*($UH$4:$UH$40=1))&gt;0)</f>
      </c>
      <c r="UJ27" t="str">
        <f>=$UJ26+--($UI27)</f>
      </c>
      <c r="UK27" t="str">
        <f>IF(ROW()-3&gt;MAX($UJ$4:$UJ$40),"",INDEX($EE$4:$EE$40,MATCH(ROW()-3,$UJ$4:$UJ$40,0)))</f>
      </c>
      <c r="UL27" t="str">
        <f>IF(COUNTIF('Final Calculation Sheet'!$AL27:$BJ27,0)+COUNTIF('Final Calculation Sheet'!$BL27:$BS27,0)&gt;0,0,1)</f>
      </c>
      <c r="UM27" t="str">
        <f>IF($EJ$27="",FALSE,SUMPRODUCT(('Final Calculation Sheet'!$Z$4:$Z$40=$EJ$27)*($UL$4:$UL$40=1))&gt;0)</f>
      </c>
      <c r="UN27" t="str">
        <f>=$UN26+--($UM27)</f>
      </c>
      <c r="UO27" t="str">
        <f>IF(ROW()-3&gt;MAX($UN$4:$UN$40),"",INDEX($EJ$4:$EJ$40,MATCH(ROW()-3,$UN$4:$UN$40,0)))</f>
      </c>
      <c r="UP27" t="str">
        <f>IF(COUNTIF('Final Calculation Sheet'!$AL27:$BK27,0)+COUNTIF('Final Calculation Sheet'!$BM27:$BS27,0)&gt;0,0,1)</f>
      </c>
      <c r="UQ27" t="str">
        <f>IF($EO$27="",FALSE,SUMPRODUCT(('Final Calculation Sheet'!$AA$4:$AA$40=$EO$27)*($UP$4:$UP$40=1))&gt;0)</f>
      </c>
      <c r="UR27" t="str">
        <f>=$UR26+--($UQ27)</f>
      </c>
      <c r="US27" t="str">
        <f>IF(ROW()-3&gt;MAX($UR$4:$UR$40),"",INDEX($EO$4:$EO$40,MATCH(ROW()-3,$UR$4:$UR$40,0)))</f>
      </c>
      <c r="UT27" t="str">
        <f>IF(COUNTIF('Final Calculation Sheet'!$AL27:$BL27,0)+COUNTIF('Final Calculation Sheet'!$BN27:$BS27,0)&gt;0,0,1)</f>
      </c>
      <c r="UU27" t="str">
        <f>IF($ET$27="",FALSE,SUMPRODUCT(('Final Calculation Sheet'!$AB$4:$AB$40=$ET$27)*($UT$4:$UT$40=1))&gt;0)</f>
      </c>
      <c r="UV27" t="str">
        <f>=$UV26+--($UU27)</f>
      </c>
      <c r="UW27" t="str">
        <f>IF(ROW()-3&gt;MAX($UV$4:$UV$40),"",INDEX($ET$4:$ET$40,MATCH(ROW()-3,$UV$4:$UV$40,0)))</f>
      </c>
      <c r="UX27" t="str">
        <f>IF(COUNTIF('Final Calculation Sheet'!$AL27:$BM27,0)+COUNTIF('Final Calculation Sheet'!$BO27:$BS27,0)&gt;0,0,1)</f>
      </c>
      <c r="UY27" t="str">
        <f>IF($EY$27="",FALSE,SUMPRODUCT(('Final Calculation Sheet'!$AC$4:$AC$40=$EY$27)*($UX$4:$UX$40=1))&gt;0)</f>
      </c>
      <c r="UZ27" t="str">
        <f>=$UZ26+--($UY27)</f>
      </c>
      <c r="VA27" t="str">
        <f>IF(ROW()-3&gt;MAX($UZ$4:$UZ$40),"",INDEX($EY$4:$EY$40,MATCH(ROW()-3,$UZ$4:$UZ$40,0)))</f>
      </c>
      <c r="VB27" t="str">
        <f>IF(COUNTIF('Final Calculation Sheet'!$AL27:$BN27,0)+COUNTIF('Final Calculation Sheet'!$BP27:$BS27,0)&gt;0,0,1)</f>
      </c>
      <c r="VC27" t="str">
        <f>IF($FD$27="",FALSE,SUMPRODUCT(('Final Calculation Sheet'!$AD$4:$AD$40=$FD$27)*($VB$4:$VB$40=1))&gt;0)</f>
      </c>
      <c r="VD27" t="str">
        <f>=$VD26+--($VC27)</f>
      </c>
      <c r="VE27" t="str">
        <f>IF(ROW()-3&gt;MAX($VD$4:$VD$40),"",INDEX($FD$4:$FD$40,MATCH(ROW()-3,$VD$4:$VD$40,0)))</f>
      </c>
      <c r="VF27" t="str">
        <f>IF(COUNTIF('Final Calculation Sheet'!$AL27:$BO27,0)+COUNTIF('Final Calculation Sheet'!$BQ27:$BS27,0)&gt;0,0,1)</f>
      </c>
      <c r="VG27" t="str">
        <f>IF($FI$27="",FALSE,SUMPRODUCT(('Final Calculation Sheet'!$AE$4:$AE$40=$FI$27)*($VF$4:$VF$40=1))&gt;0)</f>
      </c>
      <c r="VH27" t="str">
        <f>=$VH26+--($VG27)</f>
      </c>
      <c r="VI27" t="str">
        <f>IF(ROW()-3&gt;MAX($VH$4:$VH$40),"",INDEX($FI$4:$FI$40,MATCH(ROW()-3,$VH$4:$VH$40,0)))</f>
      </c>
      <c r="VJ27" t="str">
        <f>IF(COUNTIF('Final Calculation Sheet'!$AL27:$BP27,0)+COUNTIF('Final Calculation Sheet'!$BR27:$BS27,0)&gt;0,0,1)</f>
      </c>
      <c r="VK27" t="str">
        <f>IF($FN$27="",FALSE,SUMPRODUCT(('Final Calculation Sheet'!$AF$4:$AF$40=$FN$27)*($VJ$4:$VJ$40=1))&gt;0)</f>
      </c>
      <c r="VL27" t="str">
        <f>=$VL26+--($VK27)</f>
      </c>
      <c r="VM27" t="str">
        <f>IF(ROW()-3&gt;MAX($VL$4:$VL$40),"",INDEX($FN$4:$FN$40,MATCH(ROW()-3,$VL$4:$VL$40,0)))</f>
      </c>
      <c r="VN27" t="str">
        <f>IF(COUNTIF('Final Calculation Sheet'!$AL27:$BQ27,0)+COUNTIF('Final Calculation Sheet'!$BS27:$BS27,0)&gt;0,0,1)</f>
      </c>
      <c r="VO27" t="str">
        <f>IF($FS$27="",FALSE,SUMPRODUCT(('Final Calculation Sheet'!$AG$4:$AG$40=$FS$27)*($VN$4:$VN$40=1))&gt;0)</f>
      </c>
      <c r="VP27" t="str">
        <f>=$VP26+--($VO27)</f>
      </c>
      <c r="VQ27" t="str">
        <f>IF(ROW()-3&gt;MAX($VP$4:$VP$40),"",INDEX($FS$4:$FS$40,MATCH(ROW()-3,$VP$4:$VP$40,0)))</f>
      </c>
      <c r="VR27" t="str">
        <f>IF(COUNTIF('Final Calculation Sheet'!$AL27:$BR27,0)&gt;0,0,1)</f>
      </c>
      <c r="VS27" t="str">
        <f>IF($QO$27="",FALSE,SUMPRODUCT(('Final Calculation Sheet'!$AH$4:$AH$40=$QO$27)*($VR$4:$VR$40=1))&gt;0)</f>
      </c>
      <c r="VT27" t="str">
        <f>=$VT26+--($VS27)</f>
      </c>
      <c r="VU27" t="str">
        <f>IF(ROW()-3&gt;MAX($VT$4:$VT$40),"",INDEX($QO$4:$QO$40,MATCH(ROW()-3,$VT$4:$VT$40,0)))</f>
      </c>
    </row>
    <row r="28">
      <c r="A28">
        <f>IF(IFERROR('Final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IF(IFERROR('Final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s="55">
        <f>IF('Final Calculation Sheet'!$C$28="","",'Final Calculation Sheet'!$C$28)</f>
        <v/>
      </c>
      <c r="AP28">
        <f>IF(AO28="","",COUNTIFS(AO$4:AO$40,"&lt;"&amp;AO28,AO$4:AO$40,"&lt;&gt;"&amp;"")+COUNTIF(AO$4:AO28,AO28))</f>
        <v/>
      </c>
      <c r="AQ28" s="55">
        <f>IF(ROW()-3&gt;COUNTIF(AO$4:AO$40,"&lt;&gt;"&amp;""),"",INDEX(AO$4:AO$40,MATCH(ROW()-3,AP$4:AP$40,0)))</f>
        <v/>
      </c>
      <c r="AR28">
        <f>AR27+IF(AND(AQ28&lt;&gt;"",COUNTIF(AQ$4:AQ28,AQ28)=1),1,0)</f>
        <v/>
      </c>
      <c r="AS28" s="55">
        <f>IF(ROW()-3&gt;MAX(AR$4:AR$40),"",INDEX(AQ$4:AQ$40,MATCH(ROW()-3,AR$4:AR$40,0)))</f>
        <v/>
      </c>
      <c r="AT28" s="55">
        <f>IF('Final Calculation Sheet'!$H$28="","",'Final Calculation Sheet'!$H$28)</f>
        <v/>
      </c>
      <c r="AU28">
        <f>IF(AT28="","",COUNTIFS(AT$4:AT$40,"&lt;"&amp;AT28,AT$4:AT$40,"&lt;&gt;"&amp;"")+COUNTIF(AT$4:AT28,AT28))</f>
        <v/>
      </c>
      <c r="AV28" s="55">
        <f>IF(ROW()-3&gt;COUNTIF(AT$4:AT$40,"&lt;&gt;"&amp;""),"",INDEX(AT$4:AT$40,MATCH(ROW()-3,AU$4:AU$40,0)))</f>
        <v/>
      </c>
      <c r="AW28">
        <f>AW27+IF(AND(AV28&lt;&gt;"",COUNTIF(AV$4:AV28,AV28)=1),1,0)</f>
        <v/>
      </c>
      <c r="AX28" s="55">
        <f>IF(ROW()-3&gt;MAX(AW$4:AW$40),"",INDEX(AV$4:AV$40,MATCH(ROW()-3,AW$4:AW$40,0)))</f>
        <v/>
      </c>
      <c r="AY28" s="55">
        <f>IF('Final Calculation Sheet'!$I$28="","",'Final Calculation Sheet'!$I$28)</f>
        <v/>
      </c>
      <c r="AZ28">
        <f>IF(AY28="","",COUNTIFS(AY$4:AY$40,"&lt;"&amp;AY28,AY$4:AY$40,"&lt;&gt;"&amp;"")+COUNTIF(AY$4:AY28,AY28))</f>
        <v/>
      </c>
      <c r="BA28" s="55">
        <f>IF(ROW()-3&gt;COUNTIF(AY$4:AY$40,"&lt;&gt;"&amp;""),"",INDEX(AY$4:AY$40,MATCH(ROW()-3,AZ$4:AZ$40,0)))</f>
        <v/>
      </c>
      <c r="BB28">
        <f>BB27+IF(AND(BA28&lt;&gt;"",COUNTIF(BA$4:BA28,BA28)=1),1,0)</f>
        <v/>
      </c>
      <c r="BC28" s="55">
        <f>IF(ROW()-3&gt;MAX(BB$4:BB$40),"",INDEX(BA$4:BA$40,MATCH(ROW()-3,BB$4:BB$40,0)))</f>
        <v/>
      </c>
      <c r="BD28" s="55">
        <f>IF('Final Calculation Sheet'!$J$28="","",'Final Calculation Sheet'!$J$28)</f>
        <v/>
      </c>
      <c r="BE28">
        <f>IF(BD28="","",COUNTIFS(BD$4:BD$40,"&lt;"&amp;BD28,BD$4:BD$40,"&lt;&gt;"&amp;"")+COUNTIF(BD$4:BD28,BD28))</f>
        <v/>
      </c>
      <c r="BF28" s="55">
        <f>IF(ROW()-3&gt;COUNTIF(BD$4:BD$40,"&lt;&gt;"&amp;""),"",INDEX(BD$4:BD$40,MATCH(ROW()-3,BE$4:BE$40,0)))</f>
        <v/>
      </c>
      <c r="BG28">
        <f>BG27+IF(AND(BF28&lt;&gt;"",COUNTIF(BF$4:BF28,BF28)=1),1,0)</f>
        <v/>
      </c>
      <c r="BH28" s="55">
        <f>IF(ROW()-3&gt;MAX(BG$4:BG$40),"",INDEX(BF$4:BF$40,MATCH(ROW()-3,BG$4:BG$40,0)))</f>
        <v/>
      </c>
      <c r="BI28" s="55">
        <f>IF('Final Calculation Sheet'!$K$28="","",'Final Calculation Sheet'!$K$28)</f>
        <v/>
      </c>
      <c r="BJ28">
        <f>IF(BI28="","",COUNTIFS(BI$4:BI$40,"&lt;"&amp;BI28,BI$4:BI$40,"&lt;&gt;"&amp;"")+COUNTIF(BI$4:BI28,BI28))</f>
        <v/>
      </c>
      <c r="BK28" s="55">
        <f>IF(ROW()-3&gt;COUNTIF(BI$4:BI$40,"&lt;&gt;"&amp;""),"",INDEX(BI$4:BI$40,MATCH(ROW()-3,BJ$4:BJ$40,0)))</f>
        <v/>
      </c>
      <c r="BL28">
        <f>BL27+IF(AND(BK28&lt;&gt;"",COUNTIF(BK$4:BK28,BK28)=1),1,0)</f>
        <v/>
      </c>
      <c r="BM28" s="55">
        <f>IF(ROW()-3&gt;MAX(BL$4:BL$40),"",INDEX(BK$4:BK$40,MATCH(ROW()-3,BL$4:BL$40,0)))</f>
        <v/>
      </c>
      <c r="BN28" s="55">
        <f>IF('Final Calculation Sheet'!$L$28="","",'Final Calculation Sheet'!$L$28)</f>
        <v/>
      </c>
      <c r="BO28">
        <f>IF(BN28="","",COUNTIFS(BN$4:BN$40,"&lt;"&amp;BN28,BN$4:BN$40,"&lt;&gt;"&amp;"")+COUNTIF(BN$4:BN28,BN28))</f>
        <v/>
      </c>
      <c r="BP28" s="55">
        <f>IF(ROW()-3&gt;COUNTIF(BN$4:BN$40,"&lt;&gt;"&amp;""),"",INDEX(BN$4:BN$40,MATCH(ROW()-3,BO$4:BO$40,0)))</f>
        <v/>
      </c>
      <c r="BQ28">
        <f>BQ27+IF(AND(BP28&lt;&gt;"",COUNTIF(BP$4:BP28,BP28)=1),1,0)</f>
        <v/>
      </c>
      <c r="BR28" s="55">
        <f>IF(ROW()-3&gt;MAX(BQ$4:BQ$40),"",INDEX(BP$4:BP$40,MATCH(ROW()-3,BQ$4:BQ$40,0)))</f>
        <v/>
      </c>
      <c r="BS28" s="55">
        <f>IF('Final Calculation Sheet'!$M$28="","",'Final Calculation Sheet'!$M$28)</f>
        <v/>
      </c>
      <c r="BT28">
        <f>IF(BS28="","",COUNTIFS(BS$4:BS$40,"&lt;"&amp;BS28,BS$4:BS$40,"&lt;&gt;"&amp;"")+COUNTIF(BS$4:BS28,BS28))</f>
        <v/>
      </c>
      <c r="BU28" s="55">
        <f>IF(ROW()-3&gt;COUNTIF(BS$4:BS$40,"&lt;&gt;"&amp;""),"",INDEX(BS$4:BS$40,MATCH(ROW()-3,BT$4:BT$40,0)))</f>
        <v/>
      </c>
      <c r="BV28">
        <f>BV27+IF(AND(BU28&lt;&gt;"",COUNTIF(BU$4:BU28,BU28)=1),1,0)</f>
        <v/>
      </c>
      <c r="BW28" s="55">
        <f>IF(ROW()-3&gt;MAX(BV$4:BV$40),"",INDEX(BU$4:BU$40,MATCH(ROW()-3,BV$4:BV$40,0)))</f>
        <v/>
      </c>
      <c r="BX28" s="138">
        <f>IF('Final Calculation Sheet'!$N$28="","",'Final Calculation Sheet'!$N$28)</f>
        <v/>
      </c>
      <c r="BY28">
        <f>IF(BX28="","",COUNTIFS(BX$4:BX$40,"&lt;"&amp;BX28,BX$4:BX$40,"&lt;&gt;"&amp;"")+COUNTIF(BX$4:BX28,BX28))</f>
        <v/>
      </c>
      <c r="BZ28" s="138">
        <f>IF(ROW()-3&gt;COUNTIF(BX$4:BX$40,"&lt;&gt;"&amp;""),"",INDEX(BX$4:BX$40,MATCH(ROW()-3,BY$4:BY$40,0)))</f>
        <v/>
      </c>
      <c r="CA28">
        <f>CA27+IF(AND(BZ28&lt;&gt;"",COUNTIF(BZ$4:BZ28,BZ28)=1),1,0)</f>
        <v/>
      </c>
      <c r="CB28" s="138">
        <f>IF(ROW()-3&gt;MAX(CA$4:CA$40),"",INDEX(BZ$4:BZ$40,MATCH(ROW()-3,CA$4:CA$40,0)))</f>
        <v/>
      </c>
      <c r="CC28" s="55">
        <f>IF('Final Calculation Sheet'!$O$28="","",'Final Calculation Sheet'!$O$28)</f>
        <v/>
      </c>
      <c r="CD28">
        <f>IF(CC28="","",COUNTIFS(CC$4:CC$40,"&lt;"&amp;CC28,CC$4:CC$40,"&lt;&gt;"&amp;"")+COUNTIF(CC$4:CC28,CC28))</f>
        <v/>
      </c>
      <c r="CE28" s="55">
        <f>IF(ROW()-3&gt;COUNTIF(CC$4:CC$40,"&lt;&gt;"&amp;""),"",INDEX(CC$4:CC$40,MATCH(ROW()-3,CD$4:CD$40,0)))</f>
        <v/>
      </c>
      <c r="CF28">
        <f>CF27+IF(AND(CE28&lt;&gt;"",COUNTIF(CE$4:CE28,CE28)=1),1,0)</f>
        <v/>
      </c>
      <c r="CG28" s="55">
        <f>IF(ROW()-3&gt;MAX(CF$4:CF$40),"",INDEX(CE$4:CE$40,MATCH(ROW()-3,CF$4:CF$40,0)))</f>
        <v/>
      </c>
      <c r="CH28" s="55">
        <f>IF('Final Calculation Sheet'!$P$28="","",'Final Calculation Sheet'!$P$28)</f>
        <v/>
      </c>
      <c r="CI28">
        <f>IF(CH28="","",COUNTIFS(CH$4:CH$40,"&lt;"&amp;CH28,CH$4:CH$40,"&lt;&gt;"&amp;"")+COUNTIF(CH$4:CH28,CH28))</f>
        <v/>
      </c>
      <c r="CJ28" s="55">
        <f>IF(ROW()-3&gt;COUNTIF(CH$4:CH$40,"&lt;&gt;"&amp;""),"",INDEX(CH$4:CH$40,MATCH(ROW()-3,CI$4:CI$40,0)))</f>
        <v/>
      </c>
      <c r="CK28">
        <f>CK27+IF(AND(CJ28&lt;&gt;"",COUNTIF(CJ$4:CJ28,CJ28)=1),1,0)</f>
        <v/>
      </c>
      <c r="CL28" s="55">
        <f>IF(ROW()-3&gt;MAX(CK$4:CK$40),"",INDEX(CJ$4:CJ$40,MATCH(ROW()-3,CK$4:CK$40,0)))</f>
        <v/>
      </c>
      <c r="CM28" s="139">
        <f>IF('Final Calculation Sheet'!$Q$28="","",'Final Calculation Sheet'!$Q$28)</f>
        <v/>
      </c>
      <c r="CN28">
        <f>IF(CM28="","",COUNTIFS(CM$4:CM$40,"&lt;"&amp;CM28,CM$4:CM$40,"&lt;&gt;"&amp;"")+COUNTIF(CM$4:CM28,CM28))</f>
        <v/>
      </c>
      <c r="CO28" s="139">
        <f>IF(ROW()-3&gt;COUNTIF(CM$4:CM$40,"&lt;&gt;"&amp;""),"",INDEX(CM$4:CM$40,MATCH(ROW()-3,CN$4:CN$40,0)))</f>
        <v/>
      </c>
      <c r="CP28">
        <f>CP27+IF(AND(CO28&lt;&gt;"",COUNTIF(CO$4:CO28,CO28)=1),1,0)</f>
        <v/>
      </c>
      <c r="CQ28">
        <f>IF(ROW()-3&gt;MAX(CP$4:CP$40),"",INDEX(CO$4:CO$40,MATCH(ROW()-3,CP$4:CP$40,0)))</f>
        <v/>
      </c>
      <c r="CR28" s="55">
        <f>IF('Final Calculation Sheet'!$R$28="","",'Final Calculation Sheet'!$R$28)</f>
        <v/>
      </c>
      <c r="CS28">
        <f>IF(CR28="","",COUNTIFS(CR$4:CR$40,"&lt;"&amp;CR28,CR$4:CR$40,"&lt;&gt;"&amp;"")+COUNTIF(CR$4:CR28,CR28))</f>
        <v/>
      </c>
      <c r="CT28" s="55">
        <f>IF(ROW()-3&gt;COUNTIF(CR$4:CR$40,"&lt;&gt;"&amp;""),"",INDEX(CR$4:CR$40,MATCH(ROW()-3,CS$4:CS$40,0)))</f>
        <v/>
      </c>
      <c r="CU28">
        <f>CU27+IF(AND(CT28&lt;&gt;"",COUNTIF(CT$4:CT28,CT28)=1),1,0)</f>
        <v/>
      </c>
      <c r="CV28">
        <f>IF(ROW()-3&gt;MAX(CU$4:CU$40),"",INDEX(CT$4:CT$40,MATCH(ROW()-3,CU$4:CU$40,0)))</f>
        <v/>
      </c>
      <c r="CW28" s="55">
        <f>IF('Final Calculation Sheet'!$S$28="","",'Final Calculation Sheet'!$S$28)</f>
        <v/>
      </c>
      <c r="CX28">
        <f>IF(CW28="","",COUNTIFS(CW$4:CW$40,"&lt;"&amp;CW28,CW$4:CW$40,"&lt;&gt;"&amp;"")+COUNTIF(CW$4:CW28,CW28))</f>
        <v/>
      </c>
      <c r="CY28" s="55">
        <f>IF(ROW()-3&gt;COUNTIF(CW$4:CW$40,"&lt;&gt;"&amp;""),"",INDEX(CW$4:CW$40,MATCH(ROW()-3,CX$4:CX$40,0)))</f>
        <v/>
      </c>
      <c r="CZ28">
        <f>CZ27+IF(AND(CY28&lt;&gt;"",COUNTIF(CY$4:CY28,CY28)=1),1,0)</f>
        <v/>
      </c>
      <c r="DA28" s="55">
        <f>IF(ROW()-3&gt;MAX(CZ$4:CZ$40),"",INDEX(CY$4:CY$40,MATCH(ROW()-3,CZ$4:CZ$40,0)))</f>
        <v/>
      </c>
      <c r="DB28" s="55">
        <f>IF('Final Calculation Sheet'!$T$28="","",'Final Calculation Sheet'!$T$28)</f>
        <v/>
      </c>
      <c r="DC28">
        <f>IF(DB28="","",COUNTIFS(DB$4:DB$40,"&lt;"&amp;DB28,DB$4:DB$40,"&lt;&gt;"&amp;"")+COUNTIF(DB$4:DB28,DB28))</f>
        <v/>
      </c>
      <c r="DD28" s="55">
        <f>IF(ROW()-3&gt;COUNTIF(DB$4:DB$40,"&lt;&gt;"&amp;""),"",INDEX(DB$4:DB$40,MATCH(ROW()-3,DC$4:DC$40,0)))</f>
        <v/>
      </c>
      <c r="DE28">
        <f>DE27+IF(AND(DD28&lt;&gt;"",COUNTIF(DD$4:DD28,DD28)=1),1,0)</f>
        <v/>
      </c>
      <c r="DF28" s="55">
        <f>IF(ROW()-3&gt;MAX(DE$4:DE$40),"",INDEX(DD$4:DD$40,MATCH(ROW()-3,DE$4:DE$40,0)))</f>
        <v/>
      </c>
      <c r="DG28" s="140">
        <f>IF('Final Calculation Sheet'!$U$28="","",'Final Calculation Sheet'!$U$28)</f>
        <v/>
      </c>
      <c r="DH28">
        <f>IF(DG28="","",COUNTIFS(DG$4:DG$40,"&lt;"&amp;DG28,DG$4:DG$40,"&lt;&gt;"&amp;"")+COUNTIF(DG$4:DG28,DG28))</f>
        <v/>
      </c>
      <c r="DI28" s="140">
        <f>IF(ROW()-3&gt;COUNTIF(DG$4:DG$40,"&lt;&gt;"&amp;""),"",INDEX(DG$4:DG$40,MATCH(ROW()-3,DH$4:DH$40,0)))</f>
        <v/>
      </c>
      <c r="DJ28">
        <f>DJ27+IF(AND(DI28&lt;&gt;"",COUNTIF(DI$4:DI28,DI28)=1),1,0)</f>
        <v/>
      </c>
      <c r="DK28" s="140">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s="55">
        <f>IF('Final Calculation Sheet'!$W$28="","",'Final Calculation Sheet'!$W$28)</f>
        <v/>
      </c>
      <c r="DR28">
        <f>IF(DQ28="","",COUNTIFS(DQ$4:DQ$40,"&lt;"&amp;DQ28,DQ$4:DQ$40,"&lt;&gt;"&amp;"")+COUNTIF(DQ$4:DQ28,DQ28))</f>
        <v/>
      </c>
      <c r="DS28" s="55">
        <f>IF(ROW()-3&gt;COUNTIF(DQ$4:DQ$40,"&lt;&gt;"&amp;""),"",INDEX(DQ$4:DQ$40,MATCH(ROW()-3,DR$4:DR$40,0)))</f>
        <v/>
      </c>
      <c r="DT28">
        <f>DT27+IF(AND(DS28&lt;&gt;"",COUNTIF(DS$4:DS28,DS28)=1),1,0)</f>
        <v/>
      </c>
      <c r="DU28" s="55">
        <f>IF(ROW()-3&gt;MAX(DT$4:DT$40),"",INDEX(DS$4:DS$40,MATCH(ROW()-3,DT$4:DT$40,0)))</f>
        <v/>
      </c>
      <c r="DV28" s="55">
        <f>IF('Final Calculation Sheet'!$X$28="","",'Final Calculation Sheet'!$X$28)</f>
        <v/>
      </c>
      <c r="DW28">
        <f>IF(DV28="","",COUNTIFS(DV$4:DV$40,"&lt;"&amp;DV28,DV$4:DV$40,"&lt;&gt;"&amp;"")+COUNTIF(DV$4:DV28,DV28))</f>
        <v/>
      </c>
      <c r="DX28" s="55">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s="55">
        <f>IF('Final Calculation Sheet'!$Z$28="","",'Final Calculation Sheet'!$Z$28)</f>
        <v/>
      </c>
      <c r="EG28">
        <f>IF(EF28="","",COUNTIFS(EF$4:EF$40,"&lt;"&amp;EF28,EF$4:EF$40,"&lt;&gt;"&amp;"")+COUNTIF(EF$4:EF28,EF28))</f>
        <v/>
      </c>
      <c r="EH28" s="55">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s="55">
        <f>IF('Final Calculation Sheet'!$AC$28="","",'Final Calculation Sheet'!$AC$28)</f>
        <v/>
      </c>
      <c r="EV28">
        <f>IF(EU28="","",COUNTIFS(EU$4:EU$40,"&lt;"&amp;EU28,EU$4:EU$40,"&lt;&gt;"&amp;"")+COUNTIF(EU$4:EU28,EU28))</f>
        <v/>
      </c>
      <c r="EW28" s="55">
        <f>IF(ROW()-3&gt;COUNTIF(EU$4:EU$40,"&lt;&gt;"&amp;""),"",INDEX(EU$4:EU$40,MATCH(ROW()-3,EV$4:EV$40,0)))</f>
        <v/>
      </c>
      <c r="EX28">
        <f>EX27+IF(AND(EW28&lt;&gt;"",COUNTIF(EW$4:EW28,EW28)=1),1,0)</f>
        <v/>
      </c>
      <c r="EY28" s="55">
        <f>IF(ROW()-3&gt;MAX(EX$4:EX$40),"",INDEX(EW$4:EW$40,MATCH(ROW()-3,EX$4:EX$40,0)))</f>
        <v/>
      </c>
      <c r="EZ28" s="55">
        <f>IF('Final Calculation Sheet'!$AD$28="","",'Final Calculation Sheet'!$AD$28)</f>
        <v/>
      </c>
      <c r="FA28">
        <f>IF(EZ28="","",COUNTIFS(EZ$4:EZ$40,"&lt;"&amp;EZ28,EZ$4:EZ$40,"&lt;&gt;"&amp;"")+COUNTIF(EZ$4:EZ28,EZ28))</f>
        <v/>
      </c>
      <c r="FB28" s="55">
        <f>IF(ROW()-3&gt;COUNTIF(EZ$4:EZ$40,"&lt;&gt;"&amp;""),"",INDEX(EZ$4:EZ$40,MATCH(ROW()-3,FA$4:FA$40,0)))</f>
        <v/>
      </c>
      <c r="FC28">
        <f>FC27+IF(AND(FB28&lt;&gt;"",COUNTIF(FB$4:FB28,FB28)=1),1,0)</f>
        <v/>
      </c>
      <c r="FD28">
        <f>IF(ROW()-3&gt;MAX(FC$4:FC$40),"",INDEX(FB$4:FB$40,MATCH(ROW()-3,FC$4:FC$40,0)))</f>
        <v/>
      </c>
      <c r="FE28">
        <f>IF('Final Calculation Sheet'!$AF$28="","",'Final Calculation Sheet'!$AF$28)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s="141">
        <f>IF('Final Calculation Sheet'!$AG$28="","",'Final Calculation Sheet'!$AG$28)</f>
        <v/>
      </c>
      <c r="FK28">
        <f>IF(FJ28="","",COUNTIFS(FJ$4:FJ$40,"&lt;"&amp;FJ28,FJ$4:FJ$40,"&lt;&gt;"&amp;"")+COUNTIF(FJ$4:FJ28,FJ28))</f>
        <v/>
      </c>
      <c r="FL28" s="141">
        <f>IF(ROW()-3&gt;COUNTIF(FJ$4:FJ$40,"&lt;&gt;"&amp;""),"",INDEX(FJ$4:FJ$40,MATCH(ROW()-3,FK$4:FK$40,0)))</f>
        <v/>
      </c>
      <c r="FM28">
        <f>FM27+IF(AND(FL28&lt;&gt;"",COUNTIF(FL$4:FL28,FL28)=1),1,0)</f>
        <v/>
      </c>
      <c r="FN28">
        <f>IF(ROW()-3&gt;MAX(FM$4:FM$40),"",INDEX(FL$4:FL$40,MATCH(ROW()-3,FM$4:FM$40,0)))</f>
        <v/>
      </c>
      <c r="FO28">
        <f>IF('Final Calculation Sheet'!$AH$28="","",'Final Calculation Sheet'!$AH$28)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c r="FY28">
        <f>IF(COUNTIF('Live Search'!BM$27:BO$27,0)+COUNTIF('Live Search'!BQ$27:CU$27,0)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8">
        <f>IF($Y$28="",FALSE,SUMPRODUCT(('Final Calculation Sheet'!$B$4:$B$40=$Y$28)*($FY$6:$FY$42=1))&gt;0)</f>
        <v/>
      </c>
      <c r="GA28">
        <f>$GA$27+--($FZ$28)</f>
        <v/>
      </c>
      <c r="GB28">
        <f>IF(ROW()-3&gt;MAX($GA$4:$GA$40),"",INDEX($Y$4:$Y$40,MATCH(ROW()-3,$GA$4:$GA$40,0)))</f>
        <v/>
      </c>
      <c r="GC28">
        <f>IF(COUNTIF('Live Search'!BM$27:BM$27,0)+COUNTIF('Live Search'!BO$27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D28">
        <f>IF($O$28="",FALSE,SUMPRODUCT(('Final Calculation Sheet'!$F$4:$F$40=$O$28)*($GC$6:$GC$42=1))&gt;0)</f>
        <v/>
      </c>
      <c r="GE28">
        <f>$GE$27+--($GD28)</f>
        <v/>
      </c>
      <c r="GF28">
        <f>IF(ROW()-3&gt;MAX($GE$4:$GE$40),"",INDEX($O$4:$O$40,MATCH(ROW()-3,$GE$4:$GE$40,0)))</f>
        <v/>
      </c>
      <c r="GG28">
        <f>IF(COUNTIF('Live Search'!BM$27:BN$27,0)+COUNTIF('Live Search'!BP$27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H28">
        <f>IF($T$28="",FALSE,SUMPRODUCT(('Final Calculation Sheet'!$G$4:$G$40=$T$28)*($GG$6:$GG$42=1))&gt;0)</f>
        <v/>
      </c>
      <c r="GI28">
        <f>$GI$27+--($GH28)</f>
        <v/>
      </c>
      <c r="GJ28">
        <f>IF(ROW()-3&gt;MAX($GI$4:$GI$40),"",INDEX($T$4:$T$40,MATCH(ROW()-3,$GI$4:$GI$40,0)))</f>
        <v/>
      </c>
      <c r="GK28">
        <f>IF(COUNTIF('Live Search'!BM$27:BP$27,0)+COUNTIF('Live Search'!BR$27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L28">
        <f>IF($AD$28="",FALSE,SUMPRODUCT(('Final Calculation Sheet'!$D$4:$D$40=$AD$28)*($GK$6:$GK$42=1))&gt;0)</f>
        <v/>
      </c>
      <c r="GM28">
        <f>$GM$27+--($GL28)</f>
        <v/>
      </c>
      <c r="GN28">
        <f>IF(ROW()-3&gt;MAX($GM$4:$GM$40),"",INDEX($AD$4:$AD$40,MATCH(ROW()-3,$GM$4:$GM$40,0)))</f>
        <v/>
      </c>
      <c r="GO28">
        <f>IF(COUNTIF('Live Search'!BM$27:BQ$27,0)+COUNTIF('Live Search'!BS$27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P28">
        <f>IF($AI$28="",FALSE,SUMPRODUCT(('Final Calculation Sheet'!$A$4:$A$40=$AI$28)*($GO$6:$GO$42=1))&gt;0)</f>
        <v/>
      </c>
      <c r="GQ28">
        <f>$GQ$27+--($GP28)</f>
        <v/>
      </c>
      <c r="GR28">
        <f>IF(ROW()-3&gt;MAX($GQ$4:$GQ$40),"",INDEX($AI$4:$AI$40,MATCH(ROW()-3,$GQ$4:$GQ$40,0)))</f>
        <v/>
      </c>
      <c r="GS28">
        <f>IF(COUNTIF('Live Search'!BM$27:BR$27,0)+COUNTIF('Live Search'!BT$27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T28">
        <f>IF($AN$28="",FALSE,SUMPRODUCT(('Final Calculation Sheet'!$E$4:$E$40=$AN$28)*($GS$6:$GS$42=1))&gt;0)</f>
        <v/>
      </c>
      <c r="GU28">
        <f>$GU$27+--($GT28)</f>
        <v/>
      </c>
      <c r="GV28">
        <f>IF(ROW()-3&gt;MAX($GU$4:$GU$40),"",INDEX($AN$4:$AN$40,MATCH(ROW()-3,$GU$4:$GU$40,0)))</f>
        <v/>
      </c>
      <c r="GW28">
        <f>IF(COUNTIF('Live Search'!BM$27:BS$27,0)+COUNTIF('Live Search'!BU$27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GX28">
        <f>IF($AS$28="",FALSE,SUMPRODUCT(('Final Calculation Sheet'!$C$4:$C$40=$AS$28)*($GW$6:$GW$42=1))&gt;0)</f>
        <v/>
      </c>
      <c r="GY28">
        <f>$GY$27+--($GX28)</f>
        <v/>
      </c>
      <c r="GZ28">
        <f>IF(ROW()-3&gt;MAX($GY$4:$GY$40),"",INDEX($AS$4:$AS$40,MATCH(ROW()-3,$GY$4:$GY$40,0)))</f>
        <v/>
      </c>
      <c r="HA28">
        <f>IF(COUNTIF('Live Search'!BM$27:BT$27,0)+COUNTIF('Live Search'!BV$27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B28">
        <f>IF($AX$28="",FALSE,SUMPRODUCT(('Final Calculation Sheet'!$H$4:$H$40=$AX$28)*($HA$6:$HA$42=1))&gt;0)</f>
        <v/>
      </c>
      <c r="HC28">
        <f>$HC$27+--($HB28)</f>
        <v/>
      </c>
      <c r="HD28">
        <f>IF(ROW()-3&gt;MAX($HC$4:$HC$40),"",INDEX($AX$4:$AX$40,MATCH(ROW()-3,$HC$4:$HC$40,0)))</f>
        <v/>
      </c>
      <c r="HE28">
        <f>IF(COUNTIF('Live Search'!BM$27:BU$27,0)+COUNTIF('Live Search'!BW$27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F28">
        <f>IF($BC$28="",FALSE,SUMPRODUCT(('Final Calculation Sheet'!$I$4:$I$40=$BC$28)*($HE$6:$HE$42=1))&gt;0)</f>
        <v/>
      </c>
      <c r="HG28">
        <f>$HG$27+--($HF28)</f>
        <v/>
      </c>
      <c r="HH28">
        <f>IF(ROW()-3&gt;MAX($HG$4:$HG$40),"",INDEX($BC$4:$BC$40,MATCH(ROW()-3,$HG$4:$HG$40,0)))</f>
        <v/>
      </c>
      <c r="HI28">
        <f>IF(COUNTIF('Live Search'!BM$27:BV$27,0)+COUNTIF('Live Search'!BX$27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J28">
        <f>IF($BH$28="",FALSE,SUMPRODUCT(('Final Calculation Sheet'!$J$4:$J$40=$BH$28)*($HI$6:$HI$42=1))&gt;0)</f>
        <v/>
      </c>
      <c r="HK28">
        <f>$HK$27+--($HJ28)</f>
        <v/>
      </c>
      <c r="HL28">
        <f>IF(ROW()-3&gt;MAX($HK$4:$HK$40),"",INDEX($BH$4:$BH$40,MATCH(ROW()-3,$HK$4:$HK$40,0)))</f>
        <v/>
      </c>
      <c r="HM28">
        <f>IF(COUNTIF('Live Search'!BM$27:BW$27,0)+COUNTIF('Live Search'!BY$27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N28">
        <f>IF($BM$28="",FALSE,SUMPRODUCT(('Final Calculation Sheet'!$K$4:$K$40=$BM$28)*($HM$6:$HM$42=1))&gt;0)</f>
        <v/>
      </c>
      <c r="HO28">
        <f>$HO$27+--($HN28)</f>
        <v/>
      </c>
      <c r="HP28">
        <f>IF(ROW()-3&gt;MAX($HO$4:$HO$40),"",INDEX($BM$4:$BM$40,MATCH(ROW()-3,$HO$4:$HO$40,0)))</f>
        <v/>
      </c>
      <c r="HQ28">
        <f>IF(COUNTIF('Live Search'!BM$27:BX$27,0)+COUNTIF('Live Search'!BZ$27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R28">
        <f>IF($BR$28="",FALSE,SUMPRODUCT(('Final Calculation Sheet'!$L$4:$L$40=$BR$28)*($HQ$6:$HQ$42=1))&gt;0)</f>
        <v/>
      </c>
      <c r="HS28">
        <f>$HS$27+--($HR28)</f>
        <v/>
      </c>
      <c r="HT28">
        <f>IF(ROW()-3&gt;MAX($HS$4:$HS$40),"",INDEX($BR$4:$BR$40,MATCH(ROW()-3,$HS$4:$HS$40,0)))</f>
        <v/>
      </c>
      <c r="HU28">
        <f>IF(COUNTIF('Live Search'!BM$27:BY$27,0)+COUNTIF('Live Search'!CA$27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V28">
        <f>IF($BW$28="",FALSE,SUMPRODUCT(('Final Calculation Sheet'!$M$4:$M$40=$BW$28)*($HU$6:$HU$42=1))&gt;0)</f>
        <v/>
      </c>
      <c r="HW28">
        <f>$HW$27+--($HV28)</f>
        <v/>
      </c>
      <c r="HX28">
        <f>IF(ROW()-3&gt;MAX($HW$4:$HW$40),"",INDEX($BW$4:$BW$40,MATCH(ROW()-3,$HW$4:$HW$40,0)))</f>
        <v/>
      </c>
      <c r="HY28">
        <f>IF(COUNTIF('Live Search'!BM$27:BZ$27,0)+COUNTIF('Live Search'!CB$27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HZ28">
        <f>IF($CB$28="",FALSE,SUMPRODUCT(('Final Calculation Sheet'!$N$4:$N$40=$CB$28)*($HY$6:$HY$42=1))&gt;0)</f>
        <v/>
      </c>
      <c r="IA28">
        <f>$IA$27+--($HZ28)</f>
        <v/>
      </c>
      <c r="IB28">
        <f>IF(ROW()-3&gt;MAX($IA$4:$IA$40),"",INDEX($CB$4:$CB$40,MATCH(ROW()-3,$IA$4:$IA$40,0)))</f>
        <v/>
      </c>
      <c r="IC28">
        <f>IF(COUNTIF('Live Search'!BM$27:CA$27,0)+COUNTIF('Live Search'!CC$27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D28">
        <f>IF($CG$28="",FALSE,SUMPRODUCT(('Final Calculation Sheet'!$O$4:$O$40=$CG$28)*($IC$6:$IC$42=1))&gt;0)</f>
        <v/>
      </c>
      <c r="IE28">
        <f>$IE$27+--($ID28)</f>
        <v/>
      </c>
      <c r="IF28">
        <f>IF(ROW()-3&gt;MAX($IE$4:$IE$40),"",INDEX($CG$4:$CG$40,MATCH(ROW()-3,$IE$4:$IE$40,0)))</f>
        <v/>
      </c>
      <c r="IG28">
        <f>IF(COUNTIF('Live Search'!BM$27:CB$27,0)+COUNTIF('Live Search'!CD$27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H28">
        <f>IF($CL$28="",FALSE,SUMPRODUCT(('Final Calculation Sheet'!$P$4:$P$40=$CL$28)*($IG$6:$IG$42=1))&gt;0)</f>
        <v/>
      </c>
      <c r="II28">
        <f>$II$27+--($IH28)</f>
        <v/>
      </c>
      <c r="IJ28">
        <f>IF(ROW()-3&gt;MAX($II$4:$II$40),"",INDEX($CL$4:$CL$40,MATCH(ROW()-3,$II$4:$II$40,0)))</f>
        <v/>
      </c>
      <c r="IK28">
        <f>IF(COUNTIF('Live Search'!BM$27:CC$27,0)+COUNTIF('Live Search'!CE$27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L28">
        <f>IF($CQ$28="",FALSE,SUMPRODUCT(('Final Calculation Sheet'!$Q$4:$Q$40=$CQ$28)*($IK$6:$IK$42=1))&gt;0)</f>
        <v/>
      </c>
      <c r="IM28">
        <f>$IM$27+--($IL28)</f>
        <v/>
      </c>
      <c r="IN28">
        <f>IF(ROW()-3&gt;MAX($IM$4:$IM$40),"",INDEX($CQ$4:$CQ$40,MATCH(ROW()-3,$IM$4:$IM$40,0)))</f>
        <v/>
      </c>
      <c r="IO28">
        <f>IF(COUNTIF('Live Search'!BM$27:CD$27,0)+COUNTIF('Live Search'!CF$27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P28">
        <f>IF($CV$28="",FALSE,SUMPRODUCT(('Final Calculation Sheet'!$R$4:$R$40=$CV$28)*($IO$6:$IO$42=1))&gt;0)</f>
        <v/>
      </c>
      <c r="IQ28">
        <f>$IQ$27+--($IP28)</f>
        <v/>
      </c>
      <c r="IR28">
        <f>IF(ROW()-3&gt;MAX($IQ$4:$IQ$40),"",INDEX($CV$4:$CV$40,MATCH(ROW()-3,$IQ$4:$IQ$40,0)))</f>
        <v/>
      </c>
      <c r="IS28">
        <f>IF(COUNTIF('Live Search'!BM$27:CE$27,0)+COUNTIF('Live Search'!CG$27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T28">
        <f>IF($DA$28="",FALSE,SUMPRODUCT(('Final Calculation Sheet'!$S$4:$S$40=$DA$28)*($IS$6:$IS$42=1))&gt;0)</f>
        <v/>
      </c>
      <c r="IU28">
        <f>$IU$27+--($IT28)</f>
        <v/>
      </c>
      <c r="IV28">
        <f>IF(ROW()-3&gt;MAX($IU$4:$IU$40),"",INDEX($DA$4:$DA$40,MATCH(ROW()-3,$IU$4:$IU$40,0)))</f>
        <v/>
      </c>
      <c r="IW28">
        <f>IF(COUNTIF('Live Search'!BM$27:CF$27,0)+COUNTIF('Live Search'!CH$27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IX28">
        <f>IF($DF$28="",FALSE,SUMPRODUCT(('Final Calculation Sheet'!$T$4:$T$40=$DF$28)*($IW$6:$IW$42=1))&gt;0)</f>
        <v/>
      </c>
      <c r="IY28">
        <f>$IY$27+--($IX28)</f>
        <v/>
      </c>
      <c r="IZ28">
        <f>IF(ROW()-3&gt;MAX($IY$4:$IY$40),"",INDEX($DF$4:$DF$40,MATCH(ROW()-3,$IY$4:$IY$40,0)))</f>
        <v/>
      </c>
      <c r="JA28">
        <f>IF(COUNTIF('Live Search'!BM$27:CG$27,0)+COUNTIF('Live Search'!CI$27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B28">
        <f>IF($DK$28="",FALSE,SUMPRODUCT(('Final Calculation Sheet'!$U$4:$U$40=$DK$28)*($JA$6:$JA$42=1))&gt;0)</f>
        <v/>
      </c>
      <c r="JC28">
        <f>$JC$27+--($JB28)</f>
        <v/>
      </c>
      <c r="JD28">
        <f>IF(ROW()-3&gt;MAX($JC$4:$JC$40),"",INDEX($DK$4:$DK$40,MATCH(ROW()-3,$JC$4:$JC$40,0)))</f>
        <v/>
      </c>
      <c r="JE28">
        <f>IF(COUNTIF('Live Search'!BM$27:CH$27,0)+COUNTIF('Live Search'!CJ$27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F28">
        <f>IF($DP$28="",FALSE,SUMPRODUCT(('Final Calculation Sheet'!$V$4:$V$40=$DP$28)*($JE$6:$JE$42=1))&gt;0)</f>
        <v/>
      </c>
      <c r="JG28">
        <f>$JG$27+--($JF28)</f>
        <v/>
      </c>
      <c r="JH28">
        <f>IF(ROW()-3&gt;MAX($JG$4:$JG$40),"",INDEX($DP$4:$DP$40,MATCH(ROW()-3,$JG$4:$JG$40,0)))</f>
        <v/>
      </c>
      <c r="JI28">
        <f>IF(COUNTIF('Live Search'!BM$27:CI$27,0)+COUNTIF('Live Search'!CK$27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J28">
        <f>IF($DU$28="",FALSE,SUMPRODUCT(('Final Calculation Sheet'!$W$4:$W$40=$DU$28)*($JI$6:$JI$42=1))&gt;0)</f>
        <v/>
      </c>
      <c r="JK28">
        <f>$JK$27+--($JJ28)</f>
        <v/>
      </c>
      <c r="JL28">
        <f>IF(ROW()-3&gt;MAX($JK$4:$JK$40),"",INDEX($DU$4:$DU$40,MATCH(ROW()-3,$JK$4:$JK$40,0)))</f>
        <v/>
      </c>
      <c r="JM28">
        <f>IF(COUNTIF('Live Search'!BM$27:CJ$27,0)+COUNTIF('Live Search'!CL$27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N28">
        <f>IF($DZ$28="",FALSE,SUMPRODUCT(('Final Calculation Sheet'!$X$4:$X$40=$DZ$28)*($JM$6:$JM$42=1))&gt;0)</f>
        <v/>
      </c>
      <c r="JO28">
        <f>$JO$27+--($JN28)</f>
        <v/>
      </c>
      <c r="JP28">
        <f>IF(ROW()-3&gt;MAX($JO$4:$JO$40),"",INDEX($DZ$4:$DZ$40,MATCH(ROW()-3,$JO$4:$JO$40,0)))</f>
        <v/>
      </c>
      <c r="JQ28">
        <f>IF(COUNTIF('Live Search'!BM$27:CK$27,0)+COUNTIF('Live Search'!C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R28">
        <f>IF($EE$28="",FALSE,SUMPRODUCT(('Final Calculation Sheet'!$Y$4:$Y$40=$EE$28)*($JQ$6:$JQ$42=1))&gt;0)</f>
        <v/>
      </c>
      <c r="JS28">
        <f>$JS$27+--($JR28)</f>
        <v/>
      </c>
      <c r="JT28">
        <f>IF(ROW()-3&gt;MAX($JS$4:$JS$40),"",INDEX($EE$4:$EE$40,MATCH(ROW()-3,$JS$4:$JS$40,0)))</f>
        <v/>
      </c>
      <c r="JU28">
        <f>IF(COUNTIF('Live Search'!BM$27:CL$27,0)+COUNTIF('Live Search'!CN$27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V28">
        <f>IF($EJ$28="",FALSE,SUMPRODUCT(('Final Calculation Sheet'!$Z$4:$Z$40=$EJ$28)*($JU$6:$JU$42=1))&gt;0)</f>
        <v/>
      </c>
      <c r="JW28">
        <f>$JW$27+--($JV28)</f>
        <v/>
      </c>
      <c r="JX28">
        <f>IF(ROW()-3&gt;MAX($JW$4:$JW$40),"",INDEX($EJ$4:$EJ$40,MATCH(ROW()-3,$JW$4:$JW$40,0)))</f>
        <v/>
      </c>
      <c r="JY28">
        <f>IF(COUNTIF('Live Search'!BM$27:CM$27,0)+COUNTIF('Live Search'!CO$27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JZ28">
        <f>IF($EO$28="",FALSE,SUMPRODUCT(('Final Calculation Sheet'!$AA$4:$AA$40=$EO$28)*($JY$6:$JY$42=1))&gt;0)</f>
        <v/>
      </c>
      <c r="KA28">
        <f>$KA$27+--($JZ28)</f>
        <v/>
      </c>
      <c r="KB28">
        <f>IF(ROW()-3&gt;MAX($KA$4:$KA$40),"",INDEX($EO$4:$EO$40,MATCH(ROW()-3,$KA$4:$KA$40,0)))</f>
        <v/>
      </c>
      <c r="KC28">
        <f>IF(COUNTIF('Live Search'!BM$27:CN$27,0)+COUNTIF('Live Search'!CP$27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D28">
        <f>IF($ET$28="",FALSE,SUMPRODUCT(('Final Calculation Sheet'!$AB$4:$AB$40=$ET$28)*($KC$6:$KC$42=1))&gt;0)</f>
        <v/>
      </c>
      <c r="KE28">
        <f>$KE$27+--($KD28)</f>
        <v/>
      </c>
      <c r="KF28">
        <f>IF(ROW()-3&gt;MAX($KE$4:$KE$40),"",INDEX($ET$4:$ET$40,MATCH(ROW()-3,$KE$4:$KE$40,0)))</f>
        <v/>
      </c>
      <c r="KG28">
        <f>IF(COUNTIF('Live Search'!BM$27:CO$27,0)+COUNTIF('Live Search'!CQ$27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H28">
        <f>IF($EY$28="",FALSE,SUMPRODUCT(('Final Calculation Sheet'!$AC$4:$AC$40=$EY$28)*($KG$6:$KG$42=1))&gt;0)</f>
        <v/>
      </c>
      <c r="KI28">
        <f>$KI$27+--($KH28)</f>
        <v/>
      </c>
      <c r="KJ28">
        <f>IF(ROW()-3&gt;MAX($KI$4:$KI$40),"",INDEX($EY$4:$EY$40,MATCH(ROW()-3,$KI$4:$KI$40,0)))</f>
        <v/>
      </c>
      <c r="KK28">
        <f>IF(COUNTIF('Live Search'!BM$27:CP$27,0)+COUNTIF('Live Search'!CR$27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L28">
        <f>IF($FD$28="",FALSE,SUMPRODUCT(('Final Calculation Sheet'!$AD$4:$AD$40=$FD$28)*($KK$6:$KK$42=1))&gt;0)</f>
        <v/>
      </c>
      <c r="KM28">
        <f>$KM$27+--($KL28)</f>
        <v/>
      </c>
      <c r="KN28">
        <f>IF(ROW()-3&gt;MAX($KM$4:$KM$40),"",INDEX($FD$4:$FD$40,MATCH(ROW()-3,$KM$4:$KM$40,0)))</f>
        <v/>
      </c>
      <c r="KO28">
        <f>IF(COUNTIF('Live Search'!BM$27:CT$27,0)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P28">
        <f>IF($FX$28="",FALSE,SUMPRODUCT((IF('Final Calculation Sheet'!$AD$4:$AD$40&lt;=5,"SETTLED","OUTSTANDING")=$FX$28)*($KO$6:$KO$42=1))&gt;0)</f>
        <v/>
      </c>
      <c r="KQ28">
        <f>$KQ$27+--($KP28)</f>
        <v/>
      </c>
      <c r="KR28">
        <f>IF(ROW()-3&gt;MAX($KQ$4:$KQ$40),"",INDEX($FX$4:$FX$40,MATCH(ROW()-3,$KQ$4:$KQ$40,0)))</f>
        <v/>
      </c>
      <c r="KS28">
        <f>IF(COUNTIF('Live Search'!BM$27:CQ$27,0)+COUNTIF('Live Search'!CS$27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T28">
        <f>IF($FI$28="",FALSE,SUMPRODUCT(('Final Calculation Sheet'!$AF$4:$AF$40=$FI$28)*($KS$6:$KS$42=1))&gt;0)</f>
        <v/>
      </c>
      <c r="KU28">
        <f>$KU$27+--($KT28)</f>
        <v/>
      </c>
      <c r="KV28">
        <f>IF(ROW()-3&gt;MAX($KU$4:$KU$40),"",INDEX($FI$4:$FI$40,MATCH(ROW()-3,$KU$4:$KU$40,0)))</f>
        <v/>
      </c>
      <c r="KW28">
        <f>IF(COUNTIF('Live Search'!BM$27:CR$27,0)+COUNTIF('Live Search'!CT$27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KX28">
        <f>IF($FN$28="",FALSE,SUMPRODUCT(('Final Calculation Sheet'!$AG$4:$AG$40=$FN$28)*($KW$6:$KW$42=1))&gt;0)</f>
        <v/>
      </c>
      <c r="KY28">
        <f>$KY$27+--($KX28)</f>
        <v/>
      </c>
      <c r="KZ28">
        <f>IF(ROW()-3&gt;MAX($KY$4:$KY$40),"",INDEX($FN$4:$FN$40,MATCH(ROW()-3,$KY$4:$KY$40,0)))</f>
        <v/>
      </c>
      <c r="LA28">
        <f>IF(COUNTIF('Live Search'!BM$27:CS$27,0)+COUNTIF('Live Search'!CU$27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LB28">
        <f>IF($FS$28="",FALSE,SUMPRODUCT(('Final Calculation Sheet'!$AH$4:$AH$40=$FS$28)*($LA$6:$LA$42=1))&gt;0)</f>
        <v/>
      </c>
      <c r="LC28">
        <f>$LC$27+--($LB28)</f>
        <v/>
      </c>
      <c r="LD28">
        <f>IF(ROW()-3&gt;MAX($LC$4:$LC$40),"",INDEX($FS$4:$FS$40,MATCH(ROW()-3,$LC$4:$LC$40,0)))</f>
        <v/>
      </c>
      <c r="LE28">
        <f>IF(COUNTIF('Buyer Groups'!DH81:EN81,0)&gt;0,0,1)</f>
        <v/>
      </c>
      <c r="LF28">
        <f>IF($O$28="",FALSE,SUMPRODUCT(('Final Calculation Sheet'!$F$4:$F$40=$O$28)*($LE$6:$LE$42=1))&gt;0)</f>
        <v/>
      </c>
      <c r="LG28">
        <f>$LG$27+--($LF28)</f>
        <v/>
      </c>
      <c r="LH28">
        <f>IF(ROW()-3&gt;MAX($LG$4:$LG$40),"",INDEX($O$4:$O$40,MATCH(ROW()-3,$LG$4:$LG$40,0)))</f>
        <v/>
      </c>
      <c r="LI28">
        <f>IF(COUNTIF('Buyer Groups'!DG81:DG81,0)+COUNTIF('Buyer Groups'!DI81:EN81,0)&gt;0,0,1)</f>
        <v/>
      </c>
      <c r="LJ28">
        <f>IF($T$28="",FALSE,SUMPRODUCT(('Final Calculation Sheet'!$G$4:$G$40=$T$28)*($LI$6:$LI$42=1))&gt;0)</f>
        <v/>
      </c>
      <c r="LK28">
        <f>$LK$27+--($LJ28)</f>
        <v/>
      </c>
      <c r="LL28">
        <f>IF(ROW()-3&gt;MAX($LK$4:$LK$40),"",INDEX($T$4:$T$40,MATCH(ROW()-3,$LK$4:$LK$40,0)))</f>
        <v/>
      </c>
      <c r="LM28">
        <f>IF(COUNTIF('Buyer Groups'!DG81:DH81,0)+COUNTIF('Buyer Groups'!DJ81:EN81,0)&gt;0,0,1)</f>
        <v/>
      </c>
      <c r="LN28">
        <f>IF($Y$28="",FALSE,SUMPRODUCT(('Final Calculation Sheet'!$B$4:$B$40=$Y$28)*($LM$6:$LM$42=1))&gt;0)</f>
        <v/>
      </c>
      <c r="LO28">
        <f>$LO$27+--($LN28)</f>
        <v/>
      </c>
      <c r="LP28">
        <f>IF(ROW()-3&gt;MAX($LO$4:$LO$40),"",INDEX($Y$4:$Y$40,MATCH(ROW()-3,$LO$4:$LO$40,0)))</f>
        <v/>
      </c>
      <c r="LQ28">
        <f>IF(COUNTIF('Buyer Groups'!DG81:DI81,0)+COUNTIF('Buyer Groups'!DK81:EN81,0)&gt;0,0,1)</f>
        <v/>
      </c>
      <c r="LR28">
        <f>IF($AD$28="",FALSE,SUMPRODUCT(('Final Calculation Sheet'!$D$4:$D$40=$AD$28)*($LQ$6:$LQ$42=1))&gt;0)</f>
        <v/>
      </c>
      <c r="LS28">
        <f>$LS$27+--($LR28)</f>
        <v/>
      </c>
      <c r="LT28">
        <f>IF(ROW()-3&gt;MAX($LS$4:$LS$40),"",INDEX($AD$4:$AD$40,MATCH(ROW()-3,$LS$4:$LS$40,0)))</f>
        <v/>
      </c>
      <c r="LU28">
        <f>IF(COUNTIF('Buyer Groups'!DG81:DJ81,0)+COUNTIF('Buyer Groups'!DL81:EN81,0)&gt;0,0,1)</f>
        <v/>
      </c>
      <c r="LV28">
        <f>IF($AI$28="",FALSE,SUMPRODUCT(('Final Calculation Sheet'!$A$4:$A$40=$AI$28)*($LU$6:$LU$42=1))&gt;0)</f>
        <v/>
      </c>
      <c r="LW28">
        <f>$LW$27+--($LV28)</f>
        <v/>
      </c>
      <c r="LX28">
        <f>IF(ROW()-3&gt;MAX($LW$4:$LW$40),"",INDEX($AI$4:$AI$40,MATCH(ROW()-3,$LW$4:$LW$40,0)))</f>
        <v/>
      </c>
      <c r="LY28">
        <f>IF(COUNTIF('Buyer Groups'!DG81:DK81,0)+COUNTIF('Buyer Groups'!DM81:EN81,0)&gt;0,0,1)</f>
        <v/>
      </c>
      <c r="LZ28">
        <f>IF($AN$28="",FALSE,SUMPRODUCT(('Final Calculation Sheet'!$E$4:$E$40=$AN$28)*($LY$6:$LY$42=1))&gt;0)</f>
        <v/>
      </c>
      <c r="MA28">
        <f>$MA$27+--($LZ28)</f>
        <v/>
      </c>
      <c r="MB28">
        <f>IF(ROW()-3&gt;MAX($MA$4:$MA$40),"",INDEX($AN$4:$AN$40,MATCH(ROW()-3,$MA$4:$MA$40,0)))</f>
        <v/>
      </c>
      <c r="MC28">
        <f>IF(COUNTIF('Buyer Groups'!DG81:DL81,0)+COUNTIF('Buyer Groups'!DN81:EN81,0)&gt;0,0,1)</f>
        <v/>
      </c>
      <c r="MD28">
        <f>IF($AS$28="",FALSE,SUMPRODUCT(('Final Calculation Sheet'!$C$4:$C$40=$AS$28)*($MC$6:$MC$42=1))&gt;0)</f>
        <v/>
      </c>
      <c r="ME28">
        <f>$ME$27+--($MD28)</f>
        <v/>
      </c>
      <c r="MF28">
        <f>IF(ROW()-3&gt;MAX($ME$4:$ME$40),"",INDEX($AS$4:$AS$40,MATCH(ROW()-3,$ME$4:$ME$40,0)))</f>
        <v/>
      </c>
      <c r="MG28">
        <f>IF(COUNTIF('Buyer Groups'!DG81:DM81,0)+COUNTIF('Buyer Groups'!DO81:EN81,0)&gt;0,0,1)</f>
        <v/>
      </c>
      <c r="MH28">
        <f>IF($AX$28="",FALSE,SUMPRODUCT(('Final Calculation Sheet'!$H$4:$H$40=$AX$28)*($MG$6:$MG$42=1))&gt;0)</f>
        <v/>
      </c>
      <c r="MI28">
        <f>$MI$27+--($MH28)</f>
        <v/>
      </c>
      <c r="MJ28">
        <f>IF(ROW()-3&gt;MAX($MI$4:$MI$40),"",INDEX($AX$4:$AX$40,MATCH(ROW()-3,$MI$4:$MI$40,0)))</f>
        <v/>
      </c>
      <c r="MK28">
        <f>IF(COUNTIF('Buyer Groups'!DG81:DN81,0)+COUNTIF('Buyer Groups'!DP81:EN81,0)&gt;0,0,1)</f>
        <v/>
      </c>
      <c r="ML28">
        <f>IF($BC$28="",FALSE,SUMPRODUCT(('Final Calculation Sheet'!$I$4:$I$40=$BC$28)*($MK$6:$MK$42=1))&gt;0)</f>
        <v/>
      </c>
      <c r="MM28">
        <f>$MM$27+--($ML28)</f>
        <v/>
      </c>
      <c r="MN28">
        <f>IF(ROW()-3&gt;MAX($MM$4:$MM$40),"",INDEX($BC$4:$BC$40,MATCH(ROW()-3,$MM$4:$MM$40,0)))</f>
        <v/>
      </c>
      <c r="MO28">
        <f>IF(COUNTIF('Buyer Groups'!DG81:DO81,0)+COUNTIF('Buyer Groups'!DQ81:EN81,0)&gt;0,0,1)</f>
        <v/>
      </c>
      <c r="MP28">
        <f>IF($BH$28="",FALSE,SUMPRODUCT(('Final Calculation Sheet'!$J$4:$J$40=$BH$28)*($MO$6:$MO$42=1))&gt;0)</f>
        <v/>
      </c>
      <c r="MQ28">
        <f>$MQ$27+--($MP28)</f>
        <v/>
      </c>
      <c r="MR28">
        <f>IF(ROW()-3&gt;MAX($MQ$4:$MQ$40),"",INDEX($BH$4:$BH$40,MATCH(ROW()-3,$MQ$4:$MQ$40,0)))</f>
        <v/>
      </c>
      <c r="MS28">
        <f>IF(COUNTIF('Buyer Groups'!DG81:DP81,0)+COUNTIF('Buyer Groups'!DR81:EN81,0)&gt;0,0,1)</f>
        <v/>
      </c>
      <c r="MT28">
        <f>IF($BM$28="",FALSE,SUMPRODUCT(('Final Calculation Sheet'!$K$4:$K$40=$BM$28)*($MS$6:$MS$42=1))&gt;0)</f>
        <v/>
      </c>
      <c r="MU28">
        <f>$MU$27+--($MT28)</f>
        <v/>
      </c>
      <c r="MV28">
        <f>IF(ROW()-3&gt;MAX($MU$4:$MU$40),"",INDEX($BM$4:$BM$40,MATCH(ROW()-3,$MU$4:$MU$40,0)))</f>
        <v/>
      </c>
      <c r="MW28">
        <f>IF(COUNTIF('Buyer Groups'!DG81:DQ81,0)+COUNTIF('Buyer Groups'!DS81:EN81,0)&gt;0,0,1)</f>
        <v/>
      </c>
      <c r="MX28">
        <f>IF($BR$28="",FALSE,SUMPRODUCT(('Final Calculation Sheet'!$L$4:$L$40=$BR$28)*($MW$6:$MW$42=1))&gt;0)</f>
        <v/>
      </c>
      <c r="MY28">
        <f>$MY$27+--($MX28)</f>
        <v/>
      </c>
      <c r="MZ28">
        <f>IF(ROW()-3&gt;MAX($MY$4:$MY$40),"",INDEX($BR$4:$BR$40,MATCH(ROW()-3,$MY$4:$MY$40,0)))</f>
        <v/>
      </c>
      <c r="NA28">
        <f>IF(COUNTIF('Buyer Groups'!DG81:DR81,0)+COUNTIF('Buyer Groups'!DT81:EN81,0)&gt;0,0,1)</f>
        <v/>
      </c>
      <c r="NB28">
        <f>IF($BW$28="",FALSE,SUMPRODUCT(('Final Calculation Sheet'!$M$4:$M$40=$BW$28)*($NA$6:$NA$42=1))&gt;0)</f>
        <v/>
      </c>
      <c r="NC28">
        <f>$NC$27+--($NB28)</f>
        <v/>
      </c>
      <c r="ND28">
        <f>IF(ROW()-3&gt;MAX($NC$4:$NC$40),"",INDEX($BW$4:$BW$40,MATCH(ROW()-3,$NC$4:$NC$40,0)))</f>
        <v/>
      </c>
      <c r="NE28">
        <f>IF(COUNTIF('Buyer Groups'!DG81:DS81,0)+COUNTIF('Buyer Groups'!DU81:EN81,0)&gt;0,0,1)</f>
        <v/>
      </c>
      <c r="NF28">
        <f>IF($CB$28="",FALSE,SUMPRODUCT(('Final Calculation Sheet'!$N$4:$N$40=$CB$28)*($NE$6:$NE$42=1))&gt;0)</f>
        <v/>
      </c>
      <c r="NG28">
        <f>$NG$27+--($NF28)</f>
        <v/>
      </c>
      <c r="NH28">
        <f>IF(ROW()-3&gt;MAX($NG$4:$NG$40),"",INDEX($CB$4:$CB$40,MATCH(ROW()-3,$NG$4:$NG$40,0)))</f>
        <v/>
      </c>
      <c r="NI28">
        <f>IF(COUNTIF('Buyer Groups'!DG81:DT81,0)+COUNTIF('Buyer Groups'!DV81:EN81,0)&gt;0,0,1)</f>
        <v/>
      </c>
      <c r="NJ28">
        <f>IF($CG$28="",FALSE,SUMPRODUCT(('Final Calculation Sheet'!$O$4:$O$40=$CG$28)*($NI$6:$NI$42=1))&gt;0)</f>
        <v/>
      </c>
      <c r="NK28">
        <f>$NK$27+--($NJ28)</f>
        <v/>
      </c>
      <c r="NL28">
        <f>IF(ROW()-3&gt;MAX($NK$4:$NK$40),"",INDEX($CG$4:$CG$40,MATCH(ROW()-3,$NK$4:$NK$40,0)))</f>
        <v/>
      </c>
      <c r="NM28">
        <f>IF(COUNTIF('Buyer Groups'!DG81:DU81,0)+COUNTIF('Buyer Groups'!DW81:EN81,0)&gt;0,0,1)</f>
        <v/>
      </c>
      <c r="NN28">
        <f>IF($CL$28="",FALSE,SUMPRODUCT(('Final Calculation Sheet'!$P$4:$P$40=$CL$28)*($NM$6:$NM$42=1))&gt;0)</f>
        <v/>
      </c>
      <c r="NO28">
        <f>$NO$27+--($NN28)</f>
        <v/>
      </c>
      <c r="NP28">
        <f>IF(ROW()-3&gt;MAX($NO$4:$NO$40),"",INDEX($CL$4:$CL$40,MATCH(ROW()-3,$NO$4:$NO$40,0)))</f>
        <v/>
      </c>
      <c r="NQ28">
        <f>IF(COUNTIF('Buyer Groups'!DG81:DV81,0)+COUNTIF('Buyer Groups'!DX81:EN81,0)&gt;0,0,1)</f>
        <v/>
      </c>
      <c r="NR28">
        <f>IF($CQ$28="",FALSE,SUMPRODUCT(('Final Calculation Sheet'!$Q$4:$Q$40=$CQ$28)*($NQ$6:$NQ$42=1))&gt;0)</f>
        <v/>
      </c>
      <c r="NS28">
        <f>$NS$27+--($NR28)</f>
        <v/>
      </c>
      <c r="NT28">
        <f>IF(ROW()-3&gt;MAX($NS$4:$NS$40),"",INDEX($CQ$4:$CQ$40,MATCH(ROW()-3,$NS$4:$NS$40,0)))</f>
        <v/>
      </c>
      <c r="NU28">
        <f>IF(COUNTIF('Buyer Groups'!DG81:DW81,0)+COUNTIF('Buyer Groups'!DY81:EN81,0)&gt;0,0,1)</f>
        <v/>
      </c>
      <c r="NV28">
        <f>IF($CV$28="",FALSE,SUMPRODUCT(('Final Calculation Sheet'!$R$4:$R$40=$CV$28)*($NU$6:$NU$42=1))&gt;0)</f>
        <v/>
      </c>
      <c r="NW28">
        <f>$NW$27+--($NV28)</f>
        <v/>
      </c>
      <c r="NX28">
        <f>IF(ROW()-3&gt;MAX($NW$4:$NW$40),"",INDEX($CV$4:$CV$40,MATCH(ROW()-3,$NW$4:$NW$40,0)))</f>
        <v/>
      </c>
      <c r="NY28">
        <f>IF(COUNTIF('Buyer Groups'!DG81:DX81,0)+COUNTIF('Buyer Groups'!DZ81:EN81,0)&gt;0,0,1)</f>
        <v/>
      </c>
      <c r="NZ28">
        <f>IF($DA$28="",FALSE,SUMPRODUCT(('Final Calculation Sheet'!$S$4:$S$40=$DA$28)*($NY$6:$NY$42=1))&gt;0)</f>
        <v/>
      </c>
      <c r="OA28">
        <f>$OA$27+--($NZ28)</f>
        <v/>
      </c>
      <c r="OB28">
        <f>IF(ROW()-3&gt;MAX($OA$4:$OA$40),"",INDEX($DA$4:$DA$40,MATCH(ROW()-3,$OA$4:$OA$40,0)))</f>
        <v/>
      </c>
      <c r="OC28">
        <f>IF(COUNTIF('Buyer Groups'!DG81:DY81,0)+COUNTIF('Buyer Groups'!EA81:EN81,0)&gt;0,0,1)</f>
        <v/>
      </c>
      <c r="OD28">
        <f>IF($DF$28="",FALSE,SUMPRODUCT(('Final Calculation Sheet'!$T$4:$T$40=$DF$28)*($OC$6:$OC$42=1))&gt;0)</f>
        <v/>
      </c>
      <c r="OE28">
        <f>$OE$27+--($OD28)</f>
        <v/>
      </c>
      <c r="OF28">
        <f>IF(ROW()-3&gt;MAX($OE$4:$OE$40),"",INDEX($DF$4:$DF$40,MATCH(ROW()-3,$OE$4:$OE$40,0)))</f>
        <v/>
      </c>
      <c r="OG28">
        <f>IF(COUNTIF('Buyer Groups'!DG81:DZ81,0)+COUNTIF('Buyer Groups'!EB81:EN81,0)&gt;0,0,1)</f>
        <v/>
      </c>
      <c r="OH28">
        <f>IF($DK$28="",FALSE,SUMPRODUCT(('Final Calculation Sheet'!$U$4:$U$40=$DK$28)*($OG$6:$OG$42=1))&gt;0)</f>
        <v/>
      </c>
      <c r="OI28">
        <f>$OI$27+--($OH28)</f>
        <v/>
      </c>
      <c r="OJ28">
        <f>IF(ROW()-3&gt;MAX($OI$4:$OI$40),"",INDEX($DK$4:$DK$40,MATCH(ROW()-3,$OI$4:$OI$40,0)))</f>
        <v/>
      </c>
      <c r="OK28">
        <f>IF(COUNTIF('Buyer Groups'!DG81:EA81,0)+COUNTIF('Buyer Groups'!EC81:EN81,0)&gt;0,0,1)</f>
        <v/>
      </c>
      <c r="OL28">
        <f>IF($DP$28="",FALSE,SUMPRODUCT(('Final Calculation Sheet'!$V$4:$V$40=$DP$28)*($OK$6:$OK$42=1))&gt;0)</f>
        <v/>
      </c>
      <c r="OM28">
        <f>$OM$27+--($OL28)</f>
        <v/>
      </c>
      <c r="ON28">
        <f>IF(ROW()-3&gt;MAX($OM$4:$OM$40),"",INDEX($DP$4:$DP$40,MATCH(ROW()-3,$OM$4:$OM$40,0)))</f>
        <v/>
      </c>
      <c r="OO28">
        <f>IF(COUNTIF('Buyer Groups'!DG81:EB81,0)+COUNTIF('Buyer Groups'!ED81:EN81,0)&gt;0,0,1)</f>
        <v/>
      </c>
      <c r="OP28">
        <f>IF($DU$28="",FALSE,SUMPRODUCT(('Final Calculation Sheet'!$W$4:$W$40=$DU$28)*($OO$6:$OO$42=1))&gt;0)</f>
        <v/>
      </c>
      <c r="OQ28">
        <f>$OQ$27+--($OP28)</f>
        <v/>
      </c>
      <c r="OR28">
        <f>IF(ROW()-3&gt;MAX($OQ$4:$OQ$40),"",INDEX($DU$4:$DU$40,MATCH(ROW()-3,$OQ$4:$OQ$40,0)))</f>
        <v/>
      </c>
      <c r="OS28">
        <f>IF(COUNTIF('Buyer Groups'!DG81:EC81,0)+COUNTIF('Buyer Groups'!EE81:EN81,0)&gt;0,0,1)</f>
        <v/>
      </c>
      <c r="OT28">
        <f>IF($DZ$28="",FALSE,SUMPRODUCT(('Final Calculation Sheet'!$X$4:$X$40=$DZ$28)*($OS$6:$OS$42=1))&gt;0)</f>
        <v/>
      </c>
      <c r="OU28">
        <f>$OU$27+--($OT28)</f>
        <v/>
      </c>
      <c r="OV28">
        <f>IF(ROW()-3&gt;MAX($OU$4:$OU$40),"",INDEX($DZ$4:$DZ$40,MATCH(ROW()-3,$OU$4:$OU$40,0)))</f>
        <v/>
      </c>
      <c r="OW28">
        <f>IF(COUNTIF('Buyer Groups'!DG81:ED81,0)+COUNTIF('Buyer Groups'!EF81:EN81,0)&gt;0,0,1)</f>
        <v/>
      </c>
      <c r="OX28">
        <f>IF($EE$28="",FALSE,SUMPRODUCT(('Final Calculation Sheet'!$Y$4:$Y$40=$EE$28)*($OW$6:$OW$42=1))&gt;0)</f>
        <v/>
      </c>
      <c r="OY28">
        <f>$OY$27+--($OX28)</f>
        <v/>
      </c>
      <c r="OZ28">
        <f>IF(ROW()-3&gt;MAX($OY$4:$OY$40),"",INDEX($EE$4:$EE$40,MATCH(ROW()-3,$OY$4:$OY$40,0)))</f>
        <v/>
      </c>
      <c r="PA28">
        <f>IF(COUNTIF('Buyer Groups'!DG81:EE81,0)+COUNTIF('Buyer Groups'!EG81:EN81,0)&gt;0,0,1)</f>
        <v/>
      </c>
      <c r="PB28">
        <f>IF($EJ$28="",FALSE,SUMPRODUCT(('Final Calculation Sheet'!$Z$4:$Z$40=$EJ$28)*($PA$6:$PA$42=1))&gt;0)</f>
        <v/>
      </c>
      <c r="PC28">
        <f>$PC$27+--($PB28)</f>
        <v/>
      </c>
      <c r="PD28">
        <f>IF(ROW()-3&gt;MAX($PC$4:$PC$40),"",INDEX($EJ$4:$EJ$40,MATCH(ROW()-3,$PC$4:$PC$40,0)))</f>
        <v/>
      </c>
      <c r="PE28">
        <f>IF(COUNTIF('Buyer Groups'!DG81:EF81,0)+COUNTIF('Buyer Groups'!EH81:EN81,0)&gt;0,0,1)</f>
        <v/>
      </c>
      <c r="PF28">
        <f>IF($EO$28="",FALSE,SUMPRODUCT(('Final Calculation Sheet'!$AA$4:$AA$40=$EO$28)*($PE$6:$PE$42=1))&gt;0)</f>
        <v/>
      </c>
      <c r="PG28">
        <f>$PG$27+--($PF28)</f>
        <v/>
      </c>
      <c r="PH28">
        <f>IF(ROW()-3&gt;MAX($PG$4:$PG$40),"",INDEX($EO$4:$EO$40,MATCH(ROW()-3,$PG$4:$PG$40,0)))</f>
        <v/>
      </c>
      <c r="PI28">
        <f>IF(COUNTIF('Buyer Groups'!DG81:EG81,0)+COUNTIF('Buyer Groups'!EI81:EN81,0)&gt;0,0,1)</f>
        <v/>
      </c>
      <c r="PJ28">
        <f>IF($ET$28="",FALSE,SUMPRODUCT(('Final Calculation Sheet'!$AB$4:$AB$40=$ET$28)*($PI$6:$PI$42=1))&gt;0)</f>
        <v/>
      </c>
      <c r="PK28">
        <f>$PK$27+--($PJ28)</f>
        <v/>
      </c>
      <c r="PL28">
        <f>IF(ROW()-3&gt;MAX($PK$4:$PK$40),"",INDEX($ET$4:$ET$40,MATCH(ROW()-3,$PK$4:$PK$40,0)))</f>
        <v/>
      </c>
      <c r="PM28">
        <f>IF(COUNTIF('Buyer Groups'!DG81:EH81,0)+COUNTIF('Buyer Groups'!EJ81:EN81,0)&gt;0,0,1)</f>
        <v/>
      </c>
      <c r="PN28">
        <f>IF($EY$28="",FALSE,SUMPRODUCT(('Final Calculation Sheet'!$AC$4:$AC$40=$EY$28)*($PM$6:$PM$42=1))&gt;0)</f>
        <v/>
      </c>
      <c r="PO28">
        <f>$PO$27+--($PN28)</f>
        <v/>
      </c>
      <c r="PP28">
        <f>IF(ROW()-3&gt;MAX($PO$4:$PO$40),"",INDEX($EY$4:$EY$40,MATCH(ROW()-3,$PO$4:$PO$40,0)))</f>
        <v/>
      </c>
      <c r="PQ28">
        <f>IF(COUNTIF('Buyer Groups'!DG81:EI81,0)+COUNTIF('Buyer Groups'!EK81:EN81,0)&gt;0,0,1)</f>
        <v/>
      </c>
      <c r="PR28">
        <f>IF($FD$28="",FALSE,SUMPRODUCT(('Final Calculation Sheet'!$AD$4:$AD$40=$FD$28)*($PQ$6:$PQ$42=1))&gt;0)</f>
        <v/>
      </c>
      <c r="PS28">
        <f>$PS$27+--($PR28)</f>
        <v/>
      </c>
      <c r="PT28">
        <f>IF(ROW()-3&gt;MAX($PS$4:$PS$40),"",INDEX($FD$4:$FD$40,MATCH(ROW()-3,$PS$4:$PS$40,0)))</f>
        <v/>
      </c>
      <c r="PU28">
        <f>IF(COUNTIF('Buyer Groups'!DG81:EJ81,0)+COUNTIF('Buyer Groups'!EL81:EN81,0)&gt;0,0,1)</f>
        <v/>
      </c>
      <c r="PV28">
        <f>IF($FX$28="",FALSE,SUMPRODUCT((IF('Final Calculation Sheet'!$AD$4:$AD$40&lt;=5,"SETTLED","OUTSTANDING")=$FX$28)*($PU$6:$PU$42=1))&gt;0)</f>
        <v/>
      </c>
      <c r="PW28">
        <f>$PW$27+--($PV28)</f>
        <v/>
      </c>
      <c r="PX28">
        <f>IF(ROW()-3&gt;MAX($PW$4:$PW$40),"",INDEX($FX$4:$FX$40,MATCH(ROW()-3,$PW$4:$PW$40,0)))</f>
        <v/>
      </c>
      <c r="PY28">
        <f>IF(COUNTIF('Buyer Groups'!DG81:EK81,0)+COUNTIF('Buyer Groups'!EM81:EN81,0)&gt;0,0,1)</f>
        <v/>
      </c>
      <c r="PZ28">
        <f>IF($FI$28="",FALSE,SUMPRODUCT(('Final Calculation Sheet'!$AF$4:$AF$40=$FI$28)*($PY$6:$PY$42=1))&gt;0)</f>
        <v/>
      </c>
      <c r="QA28">
        <f>$QA$27+--($PZ28)</f>
        <v/>
      </c>
      <c r="QB28">
        <f>IF(ROW()-3&gt;MAX($QA$4:$QA$40),"",INDEX($FI$4:$FI$40,MATCH(ROW()-3,$QA$4:$QA$40,0)))</f>
        <v/>
      </c>
      <c r="QC28">
        <f>IF(COUNTIF('Buyer Groups'!DG81:EL81,0)+COUNTIF('Buyer Groups'!EN81:EN81,0)&gt;0,0,1)</f>
        <v/>
      </c>
      <c r="QD28">
        <f>IF($FN$28="",FALSE,SUMPRODUCT(('Final Calculation Sheet'!$AG$4:$AG$40=$FN$28)*($QC$6:$QC$42=1))&gt;0)</f>
        <v/>
      </c>
      <c r="QE28">
        <f>$QE$27+--($QD28)</f>
        <v/>
      </c>
      <c r="QF28">
        <f>IF(ROW()-3&gt;MAX($QE$4:$QE$40),"",INDEX($FN$4:$FN$40,MATCH(ROW()-3,$QE$4:$QE$40,0)))</f>
        <v/>
      </c>
      <c r="QG28">
        <f>IF(COUNTIF('Buyer Groups'!DG81:EM81,0)&gt;0,0,1)</f>
        <v/>
      </c>
      <c r="QH28">
        <f>IF($FS$28="",FALSE,SUMPRODUCT(('Final Calculation Sheet'!$AH$4:$AH$40=$FS$28)*($QG$6:$QG$42=1))&gt;0)</f>
        <v/>
      </c>
      <c r="QI28">
        <f>$QI$27+--($QH28)</f>
        <v/>
      </c>
      <c r="QJ28">
        <f>IF(ROW()-3&gt;MAX($QI$4:$QI$40),"",INDEX($FS$4:$FS$40,MATCH(ROW()-3,$QI$4:$QI$40,0)))</f>
        <v/>
      </c>
      <c r="QK28" t="str">
        <f>IF('Final Calculation Sheet'!$AH$28="","",'Final Calculation Sheet'!$AH$28)</f>
      </c>
      <c r="QL28" t="str">
        <f>IF(QK28="","",COUNTIFS(QK$4:QK$40,"&lt;"&amp;QK28,QK$4:QK$40,"&lt;&gt;"&amp;"")+COUNTIF(QK$4:QK28,QK28))</f>
      </c>
      <c r="QM28" t="str">
        <f>IF(ROW()-3&gt;COUNTIF(QK$4:QK$40,"&lt;&gt;"&amp;""),"",INDEX(QK$4:QK$40,MATCH(ROW()-3,QL$4:QL$40,0)))</f>
      </c>
      <c r="QN28" t="str">
        <f>=QN27+F(AND(QM28&lt;&gt;"",COUNTIF(QM$4:QM28,QM28)=1),1,0)</f>
      </c>
      <c r="QO28" t="str">
        <f>IF(ROW()-3&gt;MAX(QN$4:QN$40),"",INDEX(QM$4:QM$40,MATCH(ROW()-3,QN$4:QN$40,0)))</f>
      </c>
      <c r="QP28" t="str">
        <f>IF(COUNTIF('Final Calculation Sheet'!$AM28:$BS28,0)&gt;0,0,1)</f>
      </c>
      <c r="QQ28" t="str">
        <f>IF($AI$28="",FALSE,SUMPRODUCT(('Final Calculation Sheet'!$A$4:$A$40=$AI$28)*($QP$4:$QP$40=1))&gt;0)</f>
      </c>
      <c r="QR28" t="str">
        <f>=$QR27+--($QQ28)</f>
      </c>
      <c r="QS28" t="str">
        <f>IF(ROW()-3&gt;MAX($QR$4:$QR$40),"",INDEX($AI$4:$AI$40,MATCH(ROW()-3,$QR$4:$QR$40,0)))</f>
      </c>
      <c r="QT28" t="str">
        <f>IF(COUNTIF('Final Calculation Sheet'!$AL28:$AL28,0)+COUNTIF('Final Calculation Sheet'!$AN28:$BS28,0)&gt;0,0,1)</f>
      </c>
      <c r="QU28" t="str">
        <f>IF($Y$28="",FALSE,SUMPRODUCT(('Final Calculation Sheet'!$B$4:$B$40=$Y$28)*($QT$4:$QT$40=1))&gt;0)</f>
      </c>
      <c r="QV28" t="str">
        <f>=$QV27+--($QU28)</f>
      </c>
      <c r="QW28" t="str">
        <f>IF(ROW()-3&gt;MAX($QV$4:$QV$40),"",INDEX($Y$4:$Y$40,MATCH(ROW()-3,$QV$4:$QV$40,0)))</f>
      </c>
      <c r="QX28" t="str">
        <f>IF(COUNTIF('Final Calculation Sheet'!$AL28:$AM28,0)+COUNTIF('Final Calculation Sheet'!$AO28:$BS28,0)&gt;0,0,1)</f>
      </c>
      <c r="QY28" t="str">
        <f>IF($AS$28="",FALSE,SUMPRODUCT(('Final Calculation Sheet'!$C$4:$C$40=$AS$28)*($QX$4:$QX$40=1))&gt;0)</f>
      </c>
      <c r="QZ28" t="str">
        <f>=$QZ27+--($QY28)</f>
      </c>
      <c r="RA28" t="str">
        <f>IF(ROW()-3&gt;MAX($QZ$4:$QZ$40),"",INDEX($AS$4:$AS$40,MATCH(ROW()-3,$QZ$4:$QZ$40,0)))</f>
      </c>
      <c r="RB28" t="str">
        <f>IF(COUNTIF('Final Calculation Sheet'!$AL28:$AN28,0)+COUNTIF('Final Calculation Sheet'!$AP28:$BS28,0)&gt;0,0,1)</f>
      </c>
      <c r="RC28" t="str">
        <f>IF($AD$28="",FALSE,SUMPRODUCT(('Final Calculation Sheet'!$D$4:$D$40=$AD$28)*($RB$4:$RB$40=1))&gt;0)</f>
      </c>
      <c r="RD28" t="str">
        <f>=$RD27+--($RC28)</f>
      </c>
      <c r="RE28" t="str">
        <f>IF(ROW()-3&gt;MAX($RD$4:$RD$40),"",INDEX($AD$4:$AD$40,MATCH(ROW()-3,$RD$4:$RD$40,0)))</f>
      </c>
      <c r="RF28" t="str">
        <f>IF(COUNTIF('Final Calculation Sheet'!$AL28:$AO28,0)+COUNTIF('Final Calculation Sheet'!$AQ28:$BS28,0)&gt;0,0,1)</f>
      </c>
      <c r="RG28" t="str">
        <f>IF($AN$28="",FALSE,SUMPRODUCT(('Final Calculation Sheet'!$E$4:$E$40=$AN$28)*($RF$4:$RF$40=1))&gt;0)</f>
      </c>
      <c r="RH28" t="str">
        <f>=$RH27+--($RG28)</f>
      </c>
      <c r="RI28" t="str">
        <f>IF(ROW()-3&gt;MAX($RH$4:$RH$40),"",INDEX($AN$4:$AN$40,MATCH(ROW()-3,$RH$4:$RH$40,0)))</f>
      </c>
      <c r="RJ28" t="str">
        <f>IF(COUNTIF('Final Calculation Sheet'!$AL28:$AP28,0)+COUNTIF('Final Calculation Sheet'!$AR28:$BS28,0)&gt;0,0,1)</f>
      </c>
      <c r="RK28" t="str">
        <f>IF($O$28="",FALSE,SUMPRODUCT(('Final Calculation Sheet'!$F$4:$F$40=$O$28)*($RJ$4:$RJ$40=1))&gt;0)</f>
      </c>
      <c r="RL28" t="str">
        <f>=$RL27+--($RK28)</f>
      </c>
      <c r="RM28" t="str">
        <f>IF(ROW()-3&gt;MAX($RL$4:$RL$40),"",INDEX($O$4:$O$40,MATCH(ROW()-3,$RL$4:$RL$40,0)))</f>
      </c>
      <c r="RN28" t="str">
        <f>IF(COUNTIF('Final Calculation Sheet'!$AL28:$AQ28,0)+COUNTIF('Final Calculation Sheet'!$AS28:$BS28,0)&gt;0,0,1)</f>
      </c>
      <c r="RO28" t="str">
        <f>IF($T$28="",FALSE,SUMPRODUCT(('Final Calculation Sheet'!$G$4:$G$40=$T$28)*($RN$4:$RN$40=1))&gt;0)</f>
      </c>
      <c r="RP28" t="str">
        <f>=$RP27+--($RO28)</f>
      </c>
      <c r="RQ28" t="str">
        <f>IF(ROW()-3&gt;MAX($RP$4:$RP$40),"",INDEX($T$4:$T$40,MATCH(ROW()-3,$RP$4:$RP$40,0)))</f>
      </c>
      <c r="RR28" t="str">
        <f>IF(COUNTIF('Final Calculation Sheet'!$AL28:$AR28,0)+COUNTIF('Final Calculation Sheet'!$AT28:$BS28,0)&gt;0,0,1)</f>
      </c>
      <c r="RS28" t="str">
        <f>IF($AX$28="",FALSE,SUMPRODUCT(('Final Calculation Sheet'!$H$4:$H$40=$AX$28)*($RR$4:$RR$40=1))&gt;0)</f>
      </c>
      <c r="RT28" t="str">
        <f>=$RT27+--($RS28)</f>
      </c>
      <c r="RU28" t="str">
        <f>IF(ROW()-3&gt;MAX($RT$4:$RT$40),"",INDEX($AX$4:$AX$40,MATCH(ROW()-3,$RT$4:$RT$40,0)))</f>
      </c>
      <c r="RV28" t="str">
        <f>IF(COUNTIF('Final Calculation Sheet'!$AL28:$AS28,0)+COUNTIF('Final Calculation Sheet'!$AU28:$BS28,0)&gt;0,0,1)</f>
      </c>
      <c r="RW28" t="str">
        <f>IF($BC$28="",FALSE,SUMPRODUCT(('Final Calculation Sheet'!$I$4:$I$40=$BC$28)*($RV$4:$RV$40=1))&gt;0)</f>
      </c>
      <c r="RX28" t="str">
        <f>=$RX27+--($RW28)</f>
      </c>
      <c r="RY28" t="str">
        <f>IF(ROW()-3&gt;MAX($RX$4:$RX$40),"",INDEX($BC$4:$BC$40,MATCH(ROW()-3,$RX$4:$RX$40,0)))</f>
      </c>
      <c r="RZ28" t="str">
        <f>IF(COUNTIF('Final Calculation Sheet'!$AL28:$AT28,0)+COUNTIF('Final Calculation Sheet'!$AV28:$BS28,0)&gt;0,0,1)</f>
      </c>
      <c r="SA28" t="str">
        <f>IF($BH$28="",FALSE,SUMPRODUCT(('Final Calculation Sheet'!$J$4:$J$40=$BH$28)*($RZ$4:$RZ$40=1))&gt;0)</f>
      </c>
      <c r="SB28" t="str">
        <f>=$SB27+--($SA28)</f>
      </c>
      <c r="SC28" t="str">
        <f>IF(ROW()-3&gt;MAX($SB$4:$SB$40),"",INDEX($BH$4:$BH$40,MATCH(ROW()-3,$SB$4:$SB$40,0)))</f>
      </c>
      <c r="SD28" t="str">
        <f>IF(COUNTIF('Final Calculation Sheet'!$AL28:$AU28,0)+COUNTIF('Final Calculation Sheet'!$AW28:$BS28,0)&gt;0,0,1)</f>
      </c>
      <c r="SE28" t="str">
        <f>IF($BM$28="",FALSE,SUMPRODUCT(('Final Calculation Sheet'!$K$4:$K$40=$BM$28)*($SD$4:$SD$40=1))&gt;0)</f>
      </c>
      <c r="SF28" t="str">
        <f>=$SF27+--($SE28)</f>
      </c>
      <c r="SG28" t="str">
        <f>IF(ROW()-3&gt;MAX($SF$4:$SF$40),"",INDEX($BM$4:$BM$40,MATCH(ROW()-3,$SF$4:$SF$40,0)))</f>
      </c>
      <c r="SH28" t="str">
        <f>IF(COUNTIF('Final Calculation Sheet'!$AL28:$AV28,0)+COUNTIF('Final Calculation Sheet'!$AX28:$BS28,0)&gt;0,0,1)</f>
      </c>
      <c r="SI28" t="str">
        <f>IF($BR$28="",FALSE,SUMPRODUCT(('Final Calculation Sheet'!$L$4:$L$40=$BR$28)*($SH$4:$SH$40=1))&gt;0)</f>
      </c>
      <c r="SJ28" t="str">
        <f>=$SJ27+--($SI28)</f>
      </c>
      <c r="SK28" t="str">
        <f>IF(ROW()-3&gt;MAX($SJ$4:$SJ$40),"",INDEX($BR$4:$BR$40,MATCH(ROW()-3,$SJ$4:$SJ$40,0)))</f>
      </c>
      <c r="SL28" t="str">
        <f>IF(COUNTIF('Final Calculation Sheet'!$AL28:$AW28,0)+COUNTIF('Final Calculation Sheet'!$AY28:$BS28,0)&gt;0,0,1)</f>
      </c>
      <c r="SM28" t="str">
        <f>IF($BW$28="",FALSE,SUMPRODUCT(('Final Calculation Sheet'!$M$4:$M$40=$BW$28)*($SL$4:$SL$40=1))&gt;0)</f>
      </c>
      <c r="SN28" t="str">
        <f>=$SN27+--($SM28)</f>
      </c>
      <c r="SO28" t="str">
        <f>IF(ROW()-3&gt;MAX($SN$4:$SN$40),"",INDEX($BW$4:$BW$40,MATCH(ROW()-3,$SN$4:$SN$40,0)))</f>
      </c>
      <c r="SP28" t="str">
        <f>IF(COUNTIF('Final Calculation Sheet'!$AL28:$AX28,0)+COUNTIF('Final Calculation Sheet'!$AZ28:$BS28,0)&gt;0,0,1)</f>
      </c>
      <c r="SQ28" t="str">
        <f>IF($CB$28="",FALSE,SUMPRODUCT(('Final Calculation Sheet'!$N$4:$N$40=$CB$28)*($SP$4:$SP$40=1))&gt;0)</f>
      </c>
      <c r="SR28" t="str">
        <f>=$SR27+--($SQ28)</f>
      </c>
      <c r="SS28" t="str">
        <f>IF(ROW()-3&gt;MAX($SR$4:$SR$40),"",INDEX($CB$4:$CB$40,MATCH(ROW()-3,$SR$4:$SR$40,0)))</f>
      </c>
      <c r="ST28" t="str">
        <f>IF(COUNTIF('Final Calculation Sheet'!$AL28:$AY28,0)+COUNTIF('Final Calculation Sheet'!$BA28:$BS28,0)&gt;0,0,1)</f>
      </c>
      <c r="SU28" t="str">
        <f>IF($CG$28="",FALSE,SUMPRODUCT(('Final Calculation Sheet'!$O$4:$O$40=$CG$28)*($ST$4:$ST$40=1))&gt;0)</f>
      </c>
      <c r="SV28" t="str">
        <f>=$SV27+--($SU28)</f>
      </c>
      <c r="SW28" t="str">
        <f>IF(ROW()-3&gt;MAX($SV$4:$SV$40),"",INDEX($CG$4:$CG$40,MATCH(ROW()-3,$SV$4:$SV$40,0)))</f>
      </c>
      <c r="SX28" t="str">
        <f>IF(COUNTIF('Final Calculation Sheet'!$AL28:$AZ28,0)+COUNTIF('Final Calculation Sheet'!$BB28:$BS28,0)&gt;0,0,1)</f>
      </c>
      <c r="SY28" t="str">
        <f>IF($CL$28="",FALSE,SUMPRODUCT(('Final Calculation Sheet'!$P$4:$P$40=$CL$28)*($SX$4:$SX$40=1))&gt;0)</f>
      </c>
      <c r="SZ28" t="str">
        <f>=$SZ27+--($SY28)</f>
      </c>
      <c r="TA28" t="str">
        <f>IF(ROW()-3&gt;MAX($SZ$4:$SZ$40),"",INDEX($CL$4:$CL$40,MATCH(ROW()-3,$SZ$4:$SZ$40,0)))</f>
      </c>
      <c r="TB28" t="str">
        <f>IF(COUNTIF('Final Calculation Sheet'!$AL28:$BA28,0)+COUNTIF('Final Calculation Sheet'!$BC28:$BS28,0)&gt;0,0,1)</f>
      </c>
      <c r="TC28" t="str">
        <f>IF($CQ$28="",FALSE,SUMPRODUCT(('Final Calculation Sheet'!$Q$4:$Q$40=$CQ$28)*($TB$4:$TB$40=1))&gt;0)</f>
      </c>
      <c r="TD28" t="str">
        <f>=$TD27+--($TC28)</f>
      </c>
      <c r="TE28" t="str">
        <f>IF(ROW()-3&gt;MAX($TD$4:$TD$40),"",INDEX($CQ$4:$CQ$40,MATCH(ROW()-3,$TD$4:$TD$40,0)))</f>
      </c>
      <c r="TF28" t="str">
        <f>IF(COUNTIF('Final Calculation Sheet'!$AL28:$BB28,0)+COUNTIF('Final Calculation Sheet'!$BD28:$BS28,0)&gt;0,0,1)</f>
      </c>
      <c r="TG28" t="str">
        <f>IF($CV$28="",FALSE,SUMPRODUCT(('Final Calculation Sheet'!$R$4:$R$40=$CV$28)*($TF$4:$TF$40=1))&gt;0)</f>
      </c>
      <c r="TH28" t="str">
        <f>=$TH27+--($TG28)</f>
      </c>
      <c r="TI28" t="str">
        <f>IF(ROW()-3&gt;MAX($TH$4:$TH$40),"",INDEX($CV$4:$CV$40,MATCH(ROW()-3,$TH$4:$TH$40,0)))</f>
      </c>
      <c r="TJ28" t="str">
        <f>IF(COUNTIF('Final Calculation Sheet'!$AL28:$BC28,0)+COUNTIF('Final Calculation Sheet'!$BE28:$BS28,0)&gt;0,0,1)</f>
      </c>
      <c r="TK28" t="str">
        <f>IF($DA$28="",FALSE,SUMPRODUCT(('Final Calculation Sheet'!$S$4:$S$40=$DA$28)*($TJ$4:$TJ$40=1))&gt;0)</f>
      </c>
      <c r="TL28" t="str">
        <f>=$TL27+--($TK28)</f>
      </c>
      <c r="TM28" t="str">
        <f>IF(ROW()-3&gt;MAX($TL$4:$TL$40),"",INDEX($DA$4:$DA$40,MATCH(ROW()-3,$TL$4:$TL$40,0)))</f>
      </c>
      <c r="TN28" t="str">
        <f>IF(COUNTIF('Final Calculation Sheet'!$AL28:$BD28,0)+COUNTIF('Final Calculation Sheet'!$BF28:$BS28,0)&gt;0,0,1)</f>
      </c>
      <c r="TO28" t="str">
        <f>IF($DF$28="",FALSE,SUMPRODUCT(('Final Calculation Sheet'!$T$4:$T$40=$DF$28)*($TN$4:$TN$40=1))&gt;0)</f>
      </c>
      <c r="TP28" t="str">
        <f>=$TP27+--($TO28)</f>
      </c>
      <c r="TQ28" t="str">
        <f>IF(ROW()-3&gt;MAX($TP$4:$TP$40),"",INDEX($DF$4:$DF$40,MATCH(ROW()-3,$TP$4:$TP$40,0)))</f>
      </c>
      <c r="TR28" t="str">
        <f>IF(COUNTIF('Final Calculation Sheet'!$AL28:$BE28,0)+COUNTIF('Final Calculation Sheet'!$BG28:$BS28,0)&gt;0,0,1)</f>
      </c>
      <c r="TS28" t="str">
        <f>IF($DK$28="",FALSE,SUMPRODUCT(('Final Calculation Sheet'!$U$4:$U$40=$DK$28)*($TR$4:$TR$40=1))&gt;0)</f>
      </c>
      <c r="TT28" t="str">
        <f>=$TT27+--($TS28)</f>
      </c>
      <c r="TU28" t="str">
        <f>IF(ROW()-3&gt;MAX($TT$4:$TT$40),"",INDEX($DK$4:$DK$40,MATCH(ROW()-3,$TT$4:$TT$40,0)))</f>
      </c>
      <c r="TV28" t="str">
        <f>IF(COUNTIF('Final Calculation Sheet'!$AL28:$BF28,0)+COUNTIF('Final Calculation Sheet'!$BH28:$BS28,0)&gt;0,0,1)</f>
      </c>
      <c r="TW28" t="str">
        <f>IF($DP$28="",FALSE,SUMPRODUCT(('Final Calculation Sheet'!$V$4:$V$40=$DP$28)*($TV$4:$TV$40=1))&gt;0)</f>
      </c>
      <c r="TX28" t="str">
        <f>=$TX27+--($TW28)</f>
      </c>
      <c r="TY28" t="str">
        <f>IF(ROW()-3&gt;MAX($TX$4:$TX$40),"",INDEX($DP$4:$DP$40,MATCH(ROW()-3,$TX$4:$TX$40,0)))</f>
      </c>
      <c r="TZ28" t="str">
        <f>IF(COUNTIF('Final Calculation Sheet'!$AL28:$BG28,0)+COUNTIF('Final Calculation Sheet'!$BI28:$BS28,0)&gt;0,0,1)</f>
      </c>
      <c r="UA28" t="str">
        <f>IF($DU$28="",FALSE,SUMPRODUCT(('Final Calculation Sheet'!$W$4:$W$40=$DU$28)*($TZ$4:$TZ$40=1))&gt;0)</f>
      </c>
      <c r="UB28" t="str">
        <f>=$UB27+--($UA28)</f>
      </c>
      <c r="UC28" t="str">
        <f>IF(ROW()-3&gt;MAX($UB$4:$UB$40),"",INDEX($DU$4:$DU$40,MATCH(ROW()-3,$UB$4:$UB$40,0)))</f>
      </c>
      <c r="UD28" t="str">
        <f>IF(COUNTIF('Final Calculation Sheet'!$AL28:$BH28,0)+COUNTIF('Final Calculation Sheet'!$BJ28:$BS28,0)&gt;0,0,1)</f>
      </c>
      <c r="UE28" t="str">
        <f>IF($DZ$28="",FALSE,SUMPRODUCT(('Final Calculation Sheet'!$X$4:$X$40=$DZ$28)*($UD$4:$UD$40=1))&gt;0)</f>
      </c>
      <c r="UF28" t="str">
        <f>=$UF27+--($UE28)</f>
      </c>
      <c r="UG28" t="str">
        <f>IF(ROW()-3&gt;MAX($UF$4:$UF$40),"",INDEX($DZ$4:$DZ$40,MATCH(ROW()-3,$UF$4:$UF$40,0)))</f>
      </c>
      <c r="UH28" t="str">
        <f>IF(COUNTIF('Final Calculation Sheet'!$AL28:$BI28,0)+COUNTIF('Final Calculation Sheet'!$BK28:$BS28,0)&gt;0,0,1)</f>
      </c>
      <c r="UI28" t="str">
        <f>IF($EE$28="",FALSE,SUMPRODUCT(('Final Calculation Sheet'!$Y$4:$Y$40=$EE$28)*($UH$4:$UH$40=1))&gt;0)</f>
      </c>
      <c r="UJ28" t="str">
        <f>=$UJ27+--($UI28)</f>
      </c>
      <c r="UK28" t="str">
        <f>IF(ROW()-3&gt;MAX($UJ$4:$UJ$40),"",INDEX($EE$4:$EE$40,MATCH(ROW()-3,$UJ$4:$UJ$40,0)))</f>
      </c>
      <c r="UL28" t="str">
        <f>IF(COUNTIF('Final Calculation Sheet'!$AL28:$BJ28,0)+COUNTIF('Final Calculation Sheet'!$BL28:$BS28,0)&gt;0,0,1)</f>
      </c>
      <c r="UM28" t="str">
        <f>IF($EJ$28="",FALSE,SUMPRODUCT(('Final Calculation Sheet'!$Z$4:$Z$40=$EJ$28)*($UL$4:$UL$40=1))&gt;0)</f>
      </c>
      <c r="UN28" t="str">
        <f>=$UN27+--($UM28)</f>
      </c>
      <c r="UO28" t="str">
        <f>IF(ROW()-3&gt;MAX($UN$4:$UN$40),"",INDEX($EJ$4:$EJ$40,MATCH(ROW()-3,$UN$4:$UN$40,0)))</f>
      </c>
      <c r="UP28" t="str">
        <f>IF(COUNTIF('Final Calculation Sheet'!$AL28:$BK28,0)+COUNTIF('Final Calculation Sheet'!$BM28:$BS28,0)&gt;0,0,1)</f>
      </c>
      <c r="UQ28" t="str">
        <f>IF($EO$28="",FALSE,SUMPRODUCT(('Final Calculation Sheet'!$AA$4:$AA$40=$EO$28)*($UP$4:$UP$40=1))&gt;0)</f>
      </c>
      <c r="UR28" t="str">
        <f>=$UR27+--($UQ28)</f>
      </c>
      <c r="US28" t="str">
        <f>IF(ROW()-3&gt;MAX($UR$4:$UR$40),"",INDEX($EO$4:$EO$40,MATCH(ROW()-3,$UR$4:$UR$40,0)))</f>
      </c>
      <c r="UT28" t="str">
        <f>IF(COUNTIF('Final Calculation Sheet'!$AL28:$BL28,0)+COUNTIF('Final Calculation Sheet'!$BN28:$BS28,0)&gt;0,0,1)</f>
      </c>
      <c r="UU28" t="str">
        <f>IF($ET$28="",FALSE,SUMPRODUCT(('Final Calculation Sheet'!$AB$4:$AB$40=$ET$28)*($UT$4:$UT$40=1))&gt;0)</f>
      </c>
      <c r="UV28" t="str">
        <f>=$UV27+--($UU28)</f>
      </c>
      <c r="UW28" t="str">
        <f>IF(ROW()-3&gt;MAX($UV$4:$UV$40),"",INDEX($ET$4:$ET$40,MATCH(ROW()-3,$UV$4:$UV$40,0)))</f>
      </c>
      <c r="UX28" t="str">
        <f>IF(COUNTIF('Final Calculation Sheet'!$AL28:$BM28,0)+COUNTIF('Final Calculation Sheet'!$BO28:$BS28,0)&gt;0,0,1)</f>
      </c>
      <c r="UY28" t="str">
        <f>IF($EY$28="",FALSE,SUMPRODUCT(('Final Calculation Sheet'!$AC$4:$AC$40=$EY$28)*($UX$4:$UX$40=1))&gt;0)</f>
      </c>
      <c r="UZ28" t="str">
        <f>=$UZ27+--($UY28)</f>
      </c>
      <c r="VA28" t="str">
        <f>IF(ROW()-3&gt;MAX($UZ$4:$UZ$40),"",INDEX($EY$4:$EY$40,MATCH(ROW()-3,$UZ$4:$UZ$40,0)))</f>
      </c>
      <c r="VB28" t="str">
        <f>IF(COUNTIF('Final Calculation Sheet'!$AL28:$BN28,0)+COUNTIF('Final Calculation Sheet'!$BP28:$BS28,0)&gt;0,0,1)</f>
      </c>
      <c r="VC28" t="str">
        <f>IF($FD$28="",FALSE,SUMPRODUCT(('Final Calculation Sheet'!$AD$4:$AD$40=$FD$28)*($VB$4:$VB$40=1))&gt;0)</f>
      </c>
      <c r="VD28" t="str">
        <f>=$VD27+--($VC28)</f>
      </c>
      <c r="VE28" t="str">
        <f>IF(ROW()-3&gt;MAX($VD$4:$VD$40),"",INDEX($FD$4:$FD$40,MATCH(ROW()-3,$VD$4:$VD$40,0)))</f>
      </c>
      <c r="VF28" t="str">
        <f>IF(COUNTIF('Final Calculation Sheet'!$AL28:$BO28,0)+COUNTIF('Final Calculation Sheet'!$BQ28:$BS28,0)&gt;0,0,1)</f>
      </c>
      <c r="VG28" t="str">
        <f>IF($FI$28="",FALSE,SUMPRODUCT(('Final Calculation Sheet'!$AE$4:$AE$40=$FI$28)*($VF$4:$VF$40=1))&gt;0)</f>
      </c>
      <c r="VH28" t="str">
        <f>=$VH27+--($VG28)</f>
      </c>
      <c r="VI28" t="str">
        <f>IF(ROW()-3&gt;MAX($VH$4:$VH$40),"",INDEX($FI$4:$FI$40,MATCH(ROW()-3,$VH$4:$VH$40,0)))</f>
      </c>
      <c r="VJ28" t="str">
        <f>IF(COUNTIF('Final Calculation Sheet'!$AL28:$BP28,0)+COUNTIF('Final Calculation Sheet'!$BR28:$BS28,0)&gt;0,0,1)</f>
      </c>
      <c r="VK28" t="str">
        <f>IF($FN$28="",FALSE,SUMPRODUCT(('Final Calculation Sheet'!$AF$4:$AF$40=$FN$28)*($VJ$4:$VJ$40=1))&gt;0)</f>
      </c>
      <c r="VL28" t="str">
        <f>=$VL27+--($VK28)</f>
      </c>
      <c r="VM28" t="str">
        <f>IF(ROW()-3&gt;MAX($VL$4:$VL$40),"",INDEX($FN$4:$FN$40,MATCH(ROW()-3,$VL$4:$VL$40,0)))</f>
      </c>
      <c r="VN28" t="str">
        <f>IF(COUNTIF('Final Calculation Sheet'!$AL28:$BQ28,0)+COUNTIF('Final Calculation Sheet'!$BS28:$BS28,0)&gt;0,0,1)</f>
      </c>
      <c r="VO28" t="str">
        <f>IF($FS$28="",FALSE,SUMPRODUCT(('Final Calculation Sheet'!$AG$4:$AG$40=$FS$28)*($VN$4:$VN$40=1))&gt;0)</f>
      </c>
      <c r="VP28" t="str">
        <f>=$VP27+--($VO28)</f>
      </c>
      <c r="VQ28" t="str">
        <f>IF(ROW()-3&gt;MAX($VP$4:$VP$40),"",INDEX($FS$4:$FS$40,MATCH(ROW()-3,$VP$4:$VP$40,0)))</f>
      </c>
      <c r="VR28" t="str">
        <f>IF(COUNTIF('Final Calculation Sheet'!$AL28:$BR28,0)&gt;0,0,1)</f>
      </c>
      <c r="VS28" t="str">
        <f>IF($QO$28="",FALSE,SUMPRODUCT(('Final Calculation Sheet'!$AH$4:$AH$40=$QO$28)*($VR$4:$VR$40=1))&gt;0)</f>
      </c>
      <c r="VT28" t="str">
        <f>=$VT27+--($VS28)</f>
      </c>
      <c r="VU28" t="str">
        <f>IF(ROW()-3&gt;MAX($VT$4:$VT$40),"",INDEX($QO$4:$QO$40,MATCH(ROW()-3,$VT$4:$VT$40,0)))</f>
      </c>
    </row>
    <row r="29">
      <c r="A29">
        <f>IF(IFERROR('Final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IF(IFERROR('Final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s="55">
        <f>IF('Final Calculation Sheet'!$C$29="","",'Final Calculation Sheet'!$C$29)</f>
        <v/>
      </c>
      <c r="AP29">
        <f>IF(AO29="","",COUNTIFS(AO$4:AO$40,"&lt;"&amp;AO29,AO$4:AO$40,"&lt;&gt;"&amp;"")+COUNTIF(AO$4:AO29,AO29))</f>
        <v/>
      </c>
      <c r="AQ29" s="55">
        <f>IF(ROW()-3&gt;COUNTIF(AO$4:AO$40,"&lt;&gt;"&amp;""),"",INDEX(AO$4:AO$40,MATCH(ROW()-3,AP$4:AP$40,0)))</f>
        <v/>
      </c>
      <c r="AR29">
        <f>AR28+IF(AND(AQ29&lt;&gt;"",COUNTIF(AQ$4:AQ29,AQ29)=1),1,0)</f>
        <v/>
      </c>
      <c r="AS29" s="55">
        <f>IF(ROW()-3&gt;MAX(AR$4:AR$40),"",INDEX(AQ$4:AQ$40,MATCH(ROW()-3,AR$4:AR$40,0)))</f>
        <v/>
      </c>
      <c r="AT29" s="55">
        <f>IF('Final Calculation Sheet'!$H$29="","",'Final Calculation Sheet'!$H$29)</f>
        <v/>
      </c>
      <c r="AU29">
        <f>IF(AT29="","",COUNTIFS(AT$4:AT$40,"&lt;"&amp;AT29,AT$4:AT$40,"&lt;&gt;"&amp;"")+COUNTIF(AT$4:AT29,AT29))</f>
        <v/>
      </c>
      <c r="AV29" s="55">
        <f>IF(ROW()-3&gt;COUNTIF(AT$4:AT$40,"&lt;&gt;"&amp;""),"",INDEX(AT$4:AT$40,MATCH(ROW()-3,AU$4:AU$40,0)))</f>
        <v/>
      </c>
      <c r="AW29">
        <f>AW28+IF(AND(AV29&lt;&gt;"",COUNTIF(AV$4:AV29,AV29)=1),1,0)</f>
        <v/>
      </c>
      <c r="AX29" s="55">
        <f>IF(ROW()-3&gt;MAX(AW$4:AW$40),"",INDEX(AV$4:AV$40,MATCH(ROW()-3,AW$4:AW$40,0)))</f>
        <v/>
      </c>
      <c r="AY29" s="55">
        <f>IF('Final Calculation Sheet'!$I$29="","",'Final Calculation Sheet'!$I$29)</f>
        <v/>
      </c>
      <c r="AZ29">
        <f>IF(AY29="","",COUNTIFS(AY$4:AY$40,"&lt;"&amp;AY29,AY$4:AY$40,"&lt;&gt;"&amp;"")+COUNTIF(AY$4:AY29,AY29))</f>
        <v/>
      </c>
      <c r="BA29" s="55">
        <f>IF(ROW()-3&gt;COUNTIF(AY$4:AY$40,"&lt;&gt;"&amp;""),"",INDEX(AY$4:AY$40,MATCH(ROW()-3,AZ$4:AZ$40,0)))</f>
        <v/>
      </c>
      <c r="BB29">
        <f>BB28+IF(AND(BA29&lt;&gt;"",COUNTIF(BA$4:BA29,BA29)=1),1,0)</f>
        <v/>
      </c>
      <c r="BC29" s="55">
        <f>IF(ROW()-3&gt;MAX(BB$4:BB$40),"",INDEX(BA$4:BA$40,MATCH(ROW()-3,BB$4:BB$40,0)))</f>
        <v/>
      </c>
      <c r="BD29" s="55">
        <f>IF('Final Calculation Sheet'!$J$29="","",'Final Calculation Sheet'!$J$29)</f>
        <v/>
      </c>
      <c r="BE29">
        <f>IF(BD29="","",COUNTIFS(BD$4:BD$40,"&lt;"&amp;BD29,BD$4:BD$40,"&lt;&gt;"&amp;"")+COUNTIF(BD$4:BD29,BD29))</f>
        <v/>
      </c>
      <c r="BF29" s="55">
        <f>IF(ROW()-3&gt;COUNTIF(BD$4:BD$40,"&lt;&gt;"&amp;""),"",INDEX(BD$4:BD$40,MATCH(ROW()-3,BE$4:BE$40,0)))</f>
        <v/>
      </c>
      <c r="BG29">
        <f>BG28+IF(AND(BF29&lt;&gt;"",COUNTIF(BF$4:BF29,BF29)=1),1,0)</f>
        <v/>
      </c>
      <c r="BH29" s="55">
        <f>IF(ROW()-3&gt;MAX(BG$4:BG$40),"",INDEX(BF$4:BF$40,MATCH(ROW()-3,BG$4:BG$40,0)))</f>
        <v/>
      </c>
      <c r="BI29" s="55">
        <f>IF('Final Calculation Sheet'!$K$29="","",'Final Calculation Sheet'!$K$29)</f>
        <v/>
      </c>
      <c r="BJ29">
        <f>IF(BI29="","",COUNTIFS(BI$4:BI$40,"&lt;"&amp;BI29,BI$4:BI$40,"&lt;&gt;"&amp;"")+COUNTIF(BI$4:BI29,BI29))</f>
        <v/>
      </c>
      <c r="BK29" s="55">
        <f>IF(ROW()-3&gt;COUNTIF(BI$4:BI$40,"&lt;&gt;"&amp;""),"",INDEX(BI$4:BI$40,MATCH(ROW()-3,BJ$4:BJ$40,0)))</f>
        <v/>
      </c>
      <c r="BL29">
        <f>BL28+IF(AND(BK29&lt;&gt;"",COUNTIF(BK$4:BK29,BK29)=1),1,0)</f>
        <v/>
      </c>
      <c r="BM29" s="55">
        <f>IF(ROW()-3&gt;MAX(BL$4:BL$40),"",INDEX(BK$4:BK$40,MATCH(ROW()-3,BL$4:BL$40,0)))</f>
        <v/>
      </c>
      <c r="BN29" s="55">
        <f>IF('Final Calculation Sheet'!$L$29="","",'Final Calculation Sheet'!$L$29)</f>
        <v/>
      </c>
      <c r="BO29">
        <f>IF(BN29="","",COUNTIFS(BN$4:BN$40,"&lt;"&amp;BN29,BN$4:BN$40,"&lt;&gt;"&amp;"")+COUNTIF(BN$4:BN29,BN29))</f>
        <v/>
      </c>
      <c r="BP29" s="55">
        <f>IF(ROW()-3&gt;COUNTIF(BN$4:BN$40,"&lt;&gt;"&amp;""),"",INDEX(BN$4:BN$40,MATCH(ROW()-3,BO$4:BO$40,0)))</f>
        <v/>
      </c>
      <c r="BQ29">
        <f>BQ28+IF(AND(BP29&lt;&gt;"",COUNTIF(BP$4:BP29,BP29)=1),1,0)</f>
        <v/>
      </c>
      <c r="BR29" s="55">
        <f>IF(ROW()-3&gt;MAX(BQ$4:BQ$40),"",INDEX(BP$4:BP$40,MATCH(ROW()-3,BQ$4:BQ$40,0)))</f>
        <v/>
      </c>
      <c r="BS29" s="55">
        <f>IF('Final Calculation Sheet'!$M$29="","",'Final Calculation Sheet'!$M$29)</f>
        <v/>
      </c>
      <c r="BT29">
        <f>IF(BS29="","",COUNTIFS(BS$4:BS$40,"&lt;"&amp;BS29,BS$4:BS$40,"&lt;&gt;"&amp;"")+COUNTIF(BS$4:BS29,BS29))</f>
        <v/>
      </c>
      <c r="BU29" s="55">
        <f>IF(ROW()-3&gt;COUNTIF(BS$4:BS$40,"&lt;&gt;"&amp;""),"",INDEX(BS$4:BS$40,MATCH(ROW()-3,BT$4:BT$40,0)))</f>
        <v/>
      </c>
      <c r="BV29">
        <f>BV28+IF(AND(BU29&lt;&gt;"",COUNTIF(BU$4:BU29,BU29)=1),1,0)</f>
        <v/>
      </c>
      <c r="BW29" s="55">
        <f>IF(ROW()-3&gt;MAX(BV$4:BV$40),"",INDEX(BU$4:BU$40,MATCH(ROW()-3,BV$4:BV$40,0)))</f>
        <v/>
      </c>
      <c r="BX29" s="138">
        <f>IF('Final Calculation Sheet'!$N$29="","",'Final Calculation Sheet'!$N$29)</f>
        <v/>
      </c>
      <c r="BY29">
        <f>IF(BX29="","",COUNTIFS(BX$4:BX$40,"&lt;"&amp;BX29,BX$4:BX$40,"&lt;&gt;"&amp;"")+COUNTIF(BX$4:BX29,BX29))</f>
        <v/>
      </c>
      <c r="BZ29" s="138">
        <f>IF(ROW()-3&gt;COUNTIF(BX$4:BX$40,"&lt;&gt;"&amp;""),"",INDEX(BX$4:BX$40,MATCH(ROW()-3,BY$4:BY$40,0)))</f>
        <v/>
      </c>
      <c r="CA29">
        <f>CA28+IF(AND(BZ29&lt;&gt;"",COUNTIF(BZ$4:BZ29,BZ29)=1),1,0)</f>
        <v/>
      </c>
      <c r="CB29" s="138">
        <f>IF(ROW()-3&gt;MAX(CA$4:CA$40),"",INDEX(BZ$4:BZ$40,MATCH(ROW()-3,CA$4:CA$40,0)))</f>
        <v/>
      </c>
      <c r="CC29" s="55">
        <f>IF('Final Calculation Sheet'!$O$29="","",'Final Calculation Sheet'!$O$29)</f>
        <v/>
      </c>
      <c r="CD29">
        <f>IF(CC29="","",COUNTIFS(CC$4:CC$40,"&lt;"&amp;CC29,CC$4:CC$40,"&lt;&gt;"&amp;"")+COUNTIF(CC$4:CC29,CC29))</f>
        <v/>
      </c>
      <c r="CE29" s="55">
        <f>IF(ROW()-3&gt;COUNTIF(CC$4:CC$40,"&lt;&gt;"&amp;""),"",INDEX(CC$4:CC$40,MATCH(ROW()-3,CD$4:CD$40,0)))</f>
        <v/>
      </c>
      <c r="CF29">
        <f>CF28+IF(AND(CE29&lt;&gt;"",COUNTIF(CE$4:CE29,CE29)=1),1,0)</f>
        <v/>
      </c>
      <c r="CG29" s="55">
        <f>IF(ROW()-3&gt;MAX(CF$4:CF$40),"",INDEX(CE$4:CE$40,MATCH(ROW()-3,CF$4:CF$40,0)))</f>
        <v/>
      </c>
      <c r="CH29" s="55">
        <f>IF('Final Calculation Sheet'!$P$29="","",'Final Calculation Sheet'!$P$29)</f>
        <v/>
      </c>
      <c r="CI29">
        <f>IF(CH29="","",COUNTIFS(CH$4:CH$40,"&lt;"&amp;CH29,CH$4:CH$40,"&lt;&gt;"&amp;"")+COUNTIF(CH$4:CH29,CH29))</f>
        <v/>
      </c>
      <c r="CJ29" s="55">
        <f>IF(ROW()-3&gt;COUNTIF(CH$4:CH$40,"&lt;&gt;"&amp;""),"",INDEX(CH$4:CH$40,MATCH(ROW()-3,CI$4:CI$40,0)))</f>
        <v/>
      </c>
      <c r="CK29">
        <f>CK28+IF(AND(CJ29&lt;&gt;"",COUNTIF(CJ$4:CJ29,CJ29)=1),1,0)</f>
        <v/>
      </c>
      <c r="CL29" s="55">
        <f>IF(ROW()-3&gt;MAX(CK$4:CK$40),"",INDEX(CJ$4:CJ$40,MATCH(ROW()-3,CK$4:CK$40,0)))</f>
        <v/>
      </c>
      <c r="CM29" s="139">
        <f>IF('Final Calculation Sheet'!$Q$29="","",'Final Calculation Sheet'!$Q$29)</f>
        <v/>
      </c>
      <c r="CN29">
        <f>IF(CM29="","",COUNTIFS(CM$4:CM$40,"&lt;"&amp;CM29,CM$4:CM$40,"&lt;&gt;"&amp;"")+COUNTIF(CM$4:CM29,CM29))</f>
        <v/>
      </c>
      <c r="CO29" s="139">
        <f>IF(ROW()-3&gt;COUNTIF(CM$4:CM$40,"&lt;&gt;"&amp;""),"",INDEX(CM$4:CM$40,MATCH(ROW()-3,CN$4:CN$40,0)))</f>
        <v/>
      </c>
      <c r="CP29">
        <f>CP28+IF(AND(CO29&lt;&gt;"",COUNTIF(CO$4:CO29,CO29)=1),1,0)</f>
        <v/>
      </c>
      <c r="CQ29">
        <f>IF(ROW()-3&gt;MAX(CP$4:CP$40),"",INDEX(CO$4:CO$40,MATCH(ROW()-3,CP$4:CP$40,0)))</f>
        <v/>
      </c>
      <c r="CR29" s="55">
        <f>IF('Final Calculation Sheet'!$R$29="","",'Final Calculation Sheet'!$R$29)</f>
        <v/>
      </c>
      <c r="CS29">
        <f>IF(CR29="","",COUNTIFS(CR$4:CR$40,"&lt;"&amp;CR29,CR$4:CR$40,"&lt;&gt;"&amp;"")+COUNTIF(CR$4:CR29,CR29))</f>
        <v/>
      </c>
      <c r="CT29" s="55">
        <f>IF(ROW()-3&gt;COUNTIF(CR$4:CR$40,"&lt;&gt;"&amp;""),"",INDEX(CR$4:CR$40,MATCH(ROW()-3,CS$4:CS$40,0)))</f>
        <v/>
      </c>
      <c r="CU29">
        <f>CU28+IF(AND(CT29&lt;&gt;"",COUNTIF(CT$4:CT29,CT29)=1),1,0)</f>
        <v/>
      </c>
      <c r="CV29">
        <f>IF(ROW()-3&gt;MAX(CU$4:CU$40),"",INDEX(CT$4:CT$40,MATCH(ROW()-3,CU$4:CU$40,0)))</f>
        <v/>
      </c>
      <c r="CW29" s="55">
        <f>IF('Final Calculation Sheet'!$S$29="","",'Final Calculation Sheet'!$S$29)</f>
        <v/>
      </c>
      <c r="CX29">
        <f>IF(CW29="","",COUNTIFS(CW$4:CW$40,"&lt;"&amp;CW29,CW$4:CW$40,"&lt;&gt;"&amp;"")+COUNTIF(CW$4:CW29,CW29))</f>
        <v/>
      </c>
      <c r="CY29" s="55">
        <f>IF(ROW()-3&gt;COUNTIF(CW$4:CW$40,"&lt;&gt;"&amp;""),"",INDEX(CW$4:CW$40,MATCH(ROW()-3,CX$4:CX$40,0)))</f>
        <v/>
      </c>
      <c r="CZ29">
        <f>CZ28+IF(AND(CY29&lt;&gt;"",COUNTIF(CY$4:CY29,CY29)=1),1,0)</f>
        <v/>
      </c>
      <c r="DA29" s="55">
        <f>IF(ROW()-3&gt;MAX(CZ$4:CZ$40),"",INDEX(CY$4:CY$40,MATCH(ROW()-3,CZ$4:CZ$40,0)))</f>
        <v/>
      </c>
      <c r="DB29" s="55">
        <f>IF('Final Calculation Sheet'!$T$29="","",'Final Calculation Sheet'!$T$29)</f>
        <v/>
      </c>
      <c r="DC29">
        <f>IF(DB29="","",COUNTIFS(DB$4:DB$40,"&lt;"&amp;DB29,DB$4:DB$40,"&lt;&gt;"&amp;"")+COUNTIF(DB$4:DB29,DB29))</f>
        <v/>
      </c>
      <c r="DD29" s="55">
        <f>IF(ROW()-3&gt;COUNTIF(DB$4:DB$40,"&lt;&gt;"&amp;""),"",INDEX(DB$4:DB$40,MATCH(ROW()-3,DC$4:DC$40,0)))</f>
        <v/>
      </c>
      <c r="DE29">
        <f>DE28+IF(AND(DD29&lt;&gt;"",COUNTIF(DD$4:DD29,DD29)=1),1,0)</f>
        <v/>
      </c>
      <c r="DF29" s="55">
        <f>IF(ROW()-3&gt;MAX(DE$4:DE$40),"",INDEX(DD$4:DD$40,MATCH(ROW()-3,DE$4:DE$40,0)))</f>
        <v/>
      </c>
      <c r="DG29" s="140">
        <f>IF('Final Calculation Sheet'!$U$29="","",'Final Calculation Sheet'!$U$29)</f>
        <v/>
      </c>
      <c r="DH29">
        <f>IF(DG29="","",COUNTIFS(DG$4:DG$40,"&lt;"&amp;DG29,DG$4:DG$40,"&lt;&gt;"&amp;"")+COUNTIF(DG$4:DG29,DG29))</f>
        <v/>
      </c>
      <c r="DI29" s="140">
        <f>IF(ROW()-3&gt;COUNTIF(DG$4:DG$40,"&lt;&gt;"&amp;""),"",INDEX(DG$4:DG$40,MATCH(ROW()-3,DH$4:DH$40,0)))</f>
        <v/>
      </c>
      <c r="DJ29">
        <f>DJ28+IF(AND(DI29&lt;&gt;"",COUNTIF(DI$4:DI29,DI29)=1),1,0)</f>
        <v/>
      </c>
      <c r="DK29" s="140">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s="55">
        <f>IF('Final Calculation Sheet'!$W$29="","",'Final Calculation Sheet'!$W$29)</f>
        <v/>
      </c>
      <c r="DR29">
        <f>IF(DQ29="","",COUNTIFS(DQ$4:DQ$40,"&lt;"&amp;DQ29,DQ$4:DQ$40,"&lt;&gt;"&amp;"")+COUNTIF(DQ$4:DQ29,DQ29))</f>
        <v/>
      </c>
      <c r="DS29" s="55">
        <f>IF(ROW()-3&gt;COUNTIF(DQ$4:DQ$40,"&lt;&gt;"&amp;""),"",INDEX(DQ$4:DQ$40,MATCH(ROW()-3,DR$4:DR$40,0)))</f>
        <v/>
      </c>
      <c r="DT29">
        <f>DT28+IF(AND(DS29&lt;&gt;"",COUNTIF(DS$4:DS29,DS29)=1),1,0)</f>
        <v/>
      </c>
      <c r="DU29" s="55">
        <f>IF(ROW()-3&gt;MAX(DT$4:DT$40),"",INDEX(DS$4:DS$40,MATCH(ROW()-3,DT$4:DT$40,0)))</f>
        <v/>
      </c>
      <c r="DV29">
        <f>IF('Final Calculation Sheet'!$X$29="","",'Final Calculation Sheet'!$X$29)</f>
        <v/>
      </c>
      <c r="DW29">
        <f>IF(DV29="","",COUNTIFS(DV$4:DV$40,"&lt;"&amp;DV29,DV$4:DV$40,"&lt;&gt;"&amp;"")+COUNTIF(DV$4:DV29,DV29))</f>
        <v/>
      </c>
      <c r="DX29" s="55">
        <f>IF(ROW()-3&gt;COUNTIF(DV$4:DV$40,"&lt;&gt;"&amp;""),"",INDEX(DV$4:DV$40,MATCH(ROW()-3,DW$4:DW$40,0)))</f>
        <v/>
      </c>
      <c r="DY29">
        <f>DY28+IF(AND(DX29&lt;&gt;"",COUNTIF(DX$4:DX29,DX29)=1),1,0)</f>
        <v/>
      </c>
      <c r="DZ29">
        <f>IF(ROW()-3&gt;MAX(DY$4:DY$40),"",INDEX(DX$4:DX$40,MATCH(ROW()-3,DY$4:DY$40,0)))</f>
        <v/>
      </c>
      <c r="EA29" s="55">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s="55">
        <f>IF('Final Calculation Sheet'!$Z$29="","",'Final Calculation Sheet'!$Z$29)</f>
        <v/>
      </c>
      <c r="EG29">
        <f>IF(EF29="","",COUNTIFS(EF$4:EF$40,"&lt;"&amp;EF29,EF$4:EF$40,"&lt;&gt;"&amp;"")+COUNTIF(EF$4:EF29,EF29))</f>
        <v/>
      </c>
      <c r="EH29" s="55">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s="55">
        <f>IF('Final Calculation Sheet'!$AC$29="","",'Final Calculation Sheet'!$AC$29)</f>
        <v/>
      </c>
      <c r="EV29">
        <f>IF(EU29="","",COUNTIFS(EU$4:EU$40,"&lt;"&amp;EU29,EU$4:EU$40,"&lt;&gt;"&amp;"")+COUNTIF(EU$4:EU29,EU29))</f>
        <v/>
      </c>
      <c r="EW29" s="55">
        <f>IF(ROW()-3&gt;COUNTIF(EU$4:EU$40,"&lt;&gt;"&amp;""),"",INDEX(EU$4:EU$40,MATCH(ROW()-3,EV$4:EV$40,0)))</f>
        <v/>
      </c>
      <c r="EX29">
        <f>EX28+IF(AND(EW29&lt;&gt;"",COUNTIF(EW$4:EW29,EW29)=1),1,0)</f>
        <v/>
      </c>
      <c r="EY29" s="55">
        <f>IF(ROW()-3&gt;MAX(EX$4:EX$40),"",INDEX(EW$4:EW$40,MATCH(ROW()-3,EX$4:EX$40,0)))</f>
        <v/>
      </c>
      <c r="EZ29" s="55">
        <f>IF('Final Calculation Sheet'!$AD$29="","",'Final Calculation Sheet'!$AD$29)</f>
        <v/>
      </c>
      <c r="FA29">
        <f>IF(EZ29="","",COUNTIFS(EZ$4:EZ$40,"&lt;"&amp;EZ29,EZ$4:EZ$40,"&lt;&gt;"&amp;"")+COUNTIF(EZ$4:EZ29,EZ29))</f>
        <v/>
      </c>
      <c r="FB29" s="55">
        <f>IF(ROW()-3&gt;COUNTIF(EZ$4:EZ$40,"&lt;&gt;"&amp;""),"",INDEX(EZ$4:EZ$40,MATCH(ROW()-3,FA$4:FA$40,0)))</f>
        <v/>
      </c>
      <c r="FC29">
        <f>FC28+IF(AND(FB29&lt;&gt;"",COUNTIF(FB$4:FB29,FB29)=1),1,0)</f>
        <v/>
      </c>
      <c r="FD29">
        <f>IF(ROW()-3&gt;MAX(FC$4:FC$40),"",INDEX(FB$4:FB$40,MATCH(ROW()-3,FC$4:FC$40,0)))</f>
        <v/>
      </c>
      <c r="FE29">
        <f>IF('Final Calculation Sheet'!$AF$29="","",'Final Calculation Sheet'!$AF$29)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Sheet'!$AG$29="","",'Final Calculation Sheet'!$AG$29)</f>
        <v/>
      </c>
      <c r="FK29">
        <f>IF(FJ29="","",COUNTIFS(FJ$4:FJ$40,"&lt;"&amp;FJ29,FJ$4:FJ$40,"&lt;&gt;"&amp;"")+COUNTIF(FJ$4:FJ29,FJ29))</f>
        <v/>
      </c>
      <c r="FL29" s="141">
        <f>IF(ROW()-3&gt;COUNTIF(FJ$4:FJ$40,"&lt;&gt;"&amp;""),"",INDEX(FJ$4:FJ$40,MATCH(ROW()-3,FK$4:FK$40,0)))</f>
        <v/>
      </c>
      <c r="FM29">
        <f>FM28+IF(AND(FL29&lt;&gt;"",COUNTIF(FL$4:FL29,FL29)=1),1,0)</f>
        <v/>
      </c>
      <c r="FN29">
        <f>IF(ROW()-3&gt;MAX(FM$4:FM$40),"",INDEX(FL$4:FL$40,MATCH(ROW()-3,FM$4:FM$40,0)))</f>
        <v/>
      </c>
      <c r="FO29">
        <f>IF('Final Calculation Sheet'!$AH$29="","",'Final Calculation Sheet'!$AH$29)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c r="FY29">
        <f>IF(COUNTIF('Live Search'!BM$28:BO$28,0)+COUNTIF('Live Search'!BQ$28:CU$28,0)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29">
        <f>IF($Y$29="",FALSE,SUMPRODUCT(('Final Calculation Sheet'!$B$4:$B$40=$Y$29)*($FY$6:$FY$42=1))&gt;0)</f>
        <v/>
      </c>
      <c r="GA29">
        <f>$GA$28+--($FZ$29)</f>
        <v/>
      </c>
      <c r="GB29">
        <f>IF(ROW()-3&gt;MAX($GA$4:$GA$40),"",INDEX($Y$4:$Y$40,MATCH(ROW()-3,$GA$4:$GA$40,0)))</f>
        <v/>
      </c>
      <c r="GC29">
        <f>IF(COUNTIF('Live Search'!BM$28:BM$28,0)+COUNTIF('Live Search'!BO$28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D29">
        <f>IF($O$29="",FALSE,SUMPRODUCT(('Final Calculation Sheet'!$F$4:$F$40=$O$29)*($GC$6:$GC$42=1))&gt;0)</f>
        <v/>
      </c>
      <c r="GE29">
        <f>$GE$28+--($GD29)</f>
        <v/>
      </c>
      <c r="GF29">
        <f>IF(ROW()-3&gt;MAX($GE$4:$GE$40),"",INDEX($O$4:$O$40,MATCH(ROW()-3,$GE$4:$GE$40,0)))</f>
        <v/>
      </c>
      <c r="GG29">
        <f>IF(COUNTIF('Live Search'!BM$28:BN$28,0)+COUNTIF('Live Search'!BP$28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H29">
        <f>IF($T$29="",FALSE,SUMPRODUCT(('Final Calculation Sheet'!$G$4:$G$40=$T$29)*($GG$6:$GG$42=1))&gt;0)</f>
        <v/>
      </c>
      <c r="GI29">
        <f>$GI$28+--($GH29)</f>
        <v/>
      </c>
      <c r="GJ29">
        <f>IF(ROW()-3&gt;MAX($GI$4:$GI$40),"",INDEX($T$4:$T$40,MATCH(ROW()-3,$GI$4:$GI$40,0)))</f>
        <v/>
      </c>
      <c r="GK29">
        <f>IF(COUNTIF('Live Search'!BM$28:BP$28,0)+COUNTIF('Live Search'!BR$28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L29">
        <f>IF($AD$29="",FALSE,SUMPRODUCT(('Final Calculation Sheet'!$D$4:$D$40=$AD$29)*($GK$6:$GK$42=1))&gt;0)</f>
        <v/>
      </c>
      <c r="GM29">
        <f>$GM$28+--($GL29)</f>
        <v/>
      </c>
      <c r="GN29">
        <f>IF(ROW()-3&gt;MAX($GM$4:$GM$40),"",INDEX($AD$4:$AD$40,MATCH(ROW()-3,$GM$4:$GM$40,0)))</f>
        <v/>
      </c>
      <c r="GO29">
        <f>IF(COUNTIF('Live Search'!BM$28:BQ$28,0)+COUNTIF('Live Search'!BS$28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P29">
        <f>IF($AI$29="",FALSE,SUMPRODUCT(('Final Calculation Sheet'!$A$4:$A$40=$AI$29)*($GO$6:$GO$42=1))&gt;0)</f>
        <v/>
      </c>
      <c r="GQ29">
        <f>$GQ$28+--($GP29)</f>
        <v/>
      </c>
      <c r="GR29">
        <f>IF(ROW()-3&gt;MAX($GQ$4:$GQ$40),"",INDEX($AI$4:$AI$40,MATCH(ROW()-3,$GQ$4:$GQ$40,0)))</f>
        <v/>
      </c>
      <c r="GS29">
        <f>IF(COUNTIF('Live Search'!BM$28:BR$28,0)+COUNTIF('Live Search'!BT$28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T29">
        <f>IF($AN$29="",FALSE,SUMPRODUCT(('Final Calculation Sheet'!$E$4:$E$40=$AN$29)*($GS$6:$GS$42=1))&gt;0)</f>
        <v/>
      </c>
      <c r="GU29">
        <f>$GU$28+--($GT29)</f>
        <v/>
      </c>
      <c r="GV29">
        <f>IF(ROW()-3&gt;MAX($GU$4:$GU$40),"",INDEX($AN$4:$AN$40,MATCH(ROW()-3,$GU$4:$GU$40,0)))</f>
        <v/>
      </c>
      <c r="GW29">
        <f>IF(COUNTIF('Live Search'!BM$28:BS$28,0)+COUNTIF('Live Search'!BU$28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GX29">
        <f>IF($AS$29="",FALSE,SUMPRODUCT(('Final Calculation Sheet'!$C$4:$C$40=$AS$29)*($GW$6:$GW$42=1))&gt;0)</f>
        <v/>
      </c>
      <c r="GY29">
        <f>$GY$28+--($GX29)</f>
        <v/>
      </c>
      <c r="GZ29">
        <f>IF(ROW()-3&gt;MAX($GY$4:$GY$40),"",INDEX($AS$4:$AS$40,MATCH(ROW()-3,$GY$4:$GY$40,0)))</f>
        <v/>
      </c>
      <c r="HA29">
        <f>IF(COUNTIF('Live Search'!BM$28:BT$28,0)+COUNTIF('Live Search'!BV$28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B29">
        <f>IF($AX$29="",FALSE,SUMPRODUCT(('Final Calculation Sheet'!$H$4:$H$40=$AX$29)*($HA$6:$HA$42=1))&gt;0)</f>
        <v/>
      </c>
      <c r="HC29">
        <f>$HC$28+--($HB29)</f>
        <v/>
      </c>
      <c r="HD29">
        <f>IF(ROW()-3&gt;MAX($HC$4:$HC$40),"",INDEX($AX$4:$AX$40,MATCH(ROW()-3,$HC$4:$HC$40,0)))</f>
        <v/>
      </c>
      <c r="HE29">
        <f>IF(COUNTIF('Live Search'!BM$28:BU$28,0)+COUNTIF('Live Search'!BW$28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F29">
        <f>IF($BC$29="",FALSE,SUMPRODUCT(('Final Calculation Sheet'!$I$4:$I$40=$BC$29)*($HE$6:$HE$42=1))&gt;0)</f>
        <v/>
      </c>
      <c r="HG29">
        <f>$HG$28+--($HF29)</f>
        <v/>
      </c>
      <c r="HH29">
        <f>IF(ROW()-3&gt;MAX($HG$4:$HG$40),"",INDEX($BC$4:$BC$40,MATCH(ROW()-3,$HG$4:$HG$40,0)))</f>
        <v/>
      </c>
      <c r="HI29">
        <f>IF(COUNTIF('Live Search'!BM$28:BV$28,0)+COUNTIF('Live Search'!BX$28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J29">
        <f>IF($BH$29="",FALSE,SUMPRODUCT(('Final Calculation Sheet'!$J$4:$J$40=$BH$29)*($HI$6:$HI$42=1))&gt;0)</f>
        <v/>
      </c>
      <c r="HK29">
        <f>$HK$28+--($HJ29)</f>
        <v/>
      </c>
      <c r="HL29">
        <f>IF(ROW()-3&gt;MAX($HK$4:$HK$40),"",INDEX($BH$4:$BH$40,MATCH(ROW()-3,$HK$4:$HK$40,0)))</f>
        <v/>
      </c>
      <c r="HM29">
        <f>IF(COUNTIF('Live Search'!BM$28:BW$28,0)+COUNTIF('Live Search'!BY$28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N29">
        <f>IF($BM$29="",FALSE,SUMPRODUCT(('Final Calculation Sheet'!$K$4:$K$40=$BM$29)*($HM$6:$HM$42=1))&gt;0)</f>
        <v/>
      </c>
      <c r="HO29">
        <f>$HO$28+--($HN29)</f>
        <v/>
      </c>
      <c r="HP29">
        <f>IF(ROW()-3&gt;MAX($HO$4:$HO$40),"",INDEX($BM$4:$BM$40,MATCH(ROW()-3,$HO$4:$HO$40,0)))</f>
        <v/>
      </c>
      <c r="HQ29">
        <f>IF(COUNTIF('Live Search'!BM$28:BX$28,0)+COUNTIF('Live Search'!BZ$28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R29">
        <f>IF($BR$29="",FALSE,SUMPRODUCT(('Final Calculation Sheet'!$L$4:$L$40=$BR$29)*($HQ$6:$HQ$42=1))&gt;0)</f>
        <v/>
      </c>
      <c r="HS29">
        <f>$HS$28+--($HR29)</f>
        <v/>
      </c>
      <c r="HT29">
        <f>IF(ROW()-3&gt;MAX($HS$4:$HS$40),"",INDEX($BR$4:$BR$40,MATCH(ROW()-3,$HS$4:$HS$40,0)))</f>
        <v/>
      </c>
      <c r="HU29">
        <f>IF(COUNTIF('Live Search'!BM$28:BY$28,0)+COUNTIF('Live Search'!CA$28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V29">
        <f>IF($BW$29="",FALSE,SUMPRODUCT(('Final Calculation Sheet'!$M$4:$M$40=$BW$29)*($HU$6:$HU$42=1))&gt;0)</f>
        <v/>
      </c>
      <c r="HW29">
        <f>$HW$28+--($HV29)</f>
        <v/>
      </c>
      <c r="HX29">
        <f>IF(ROW()-3&gt;MAX($HW$4:$HW$40),"",INDEX($BW$4:$BW$40,MATCH(ROW()-3,$HW$4:$HW$40,0)))</f>
        <v/>
      </c>
      <c r="HY29">
        <f>IF(COUNTIF('Live Search'!BM$28:BZ$28,0)+COUNTIF('Live Search'!CB$28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HZ29">
        <f>IF($CB$29="",FALSE,SUMPRODUCT(('Final Calculation Sheet'!$N$4:$N$40=$CB$29)*($HY$6:$HY$42=1))&gt;0)</f>
        <v/>
      </c>
      <c r="IA29">
        <f>$IA$28+--($HZ29)</f>
        <v/>
      </c>
      <c r="IB29">
        <f>IF(ROW()-3&gt;MAX($IA$4:$IA$40),"",INDEX($CB$4:$CB$40,MATCH(ROW()-3,$IA$4:$IA$40,0)))</f>
        <v/>
      </c>
      <c r="IC29">
        <f>IF(COUNTIF('Live Search'!BM$28:CA$28,0)+COUNTIF('Live Search'!CC$28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D29">
        <f>IF($CG$29="",FALSE,SUMPRODUCT(('Final Calculation Sheet'!$O$4:$O$40=$CG$29)*($IC$6:$IC$42=1))&gt;0)</f>
        <v/>
      </c>
      <c r="IE29">
        <f>$IE$28+--($ID29)</f>
        <v/>
      </c>
      <c r="IF29">
        <f>IF(ROW()-3&gt;MAX($IE$4:$IE$40),"",INDEX($CG$4:$CG$40,MATCH(ROW()-3,$IE$4:$IE$40,0)))</f>
        <v/>
      </c>
      <c r="IG29">
        <f>IF(COUNTIF('Live Search'!BM$28:CB$28,0)+COUNTIF('Live Search'!CD$28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H29">
        <f>IF($CL$29="",FALSE,SUMPRODUCT(('Final Calculation Sheet'!$P$4:$P$40=$CL$29)*($IG$6:$IG$42=1))&gt;0)</f>
        <v/>
      </c>
      <c r="II29">
        <f>$II$28+--($IH29)</f>
        <v/>
      </c>
      <c r="IJ29">
        <f>IF(ROW()-3&gt;MAX($II$4:$II$40),"",INDEX($CL$4:$CL$40,MATCH(ROW()-3,$II$4:$II$40,0)))</f>
        <v/>
      </c>
      <c r="IK29">
        <f>IF(COUNTIF('Live Search'!BM$28:CC$28,0)+COUNTIF('Live Search'!CE$28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L29">
        <f>IF($CQ$29="",FALSE,SUMPRODUCT(('Final Calculation Sheet'!$Q$4:$Q$40=$CQ$29)*($IK$6:$IK$42=1))&gt;0)</f>
        <v/>
      </c>
      <c r="IM29">
        <f>$IM$28+--($IL29)</f>
        <v/>
      </c>
      <c r="IN29">
        <f>IF(ROW()-3&gt;MAX($IM$4:$IM$40),"",INDEX($CQ$4:$CQ$40,MATCH(ROW()-3,$IM$4:$IM$40,0)))</f>
        <v/>
      </c>
      <c r="IO29">
        <f>IF(COUNTIF('Live Search'!BM$28:CD$28,0)+COUNTIF('Live Search'!CF$28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P29">
        <f>IF($CV$29="",FALSE,SUMPRODUCT(('Final Calculation Sheet'!$R$4:$R$40=$CV$29)*($IO$6:$IO$42=1))&gt;0)</f>
        <v/>
      </c>
      <c r="IQ29">
        <f>$IQ$28+--($IP29)</f>
        <v/>
      </c>
      <c r="IR29">
        <f>IF(ROW()-3&gt;MAX($IQ$4:$IQ$40),"",INDEX($CV$4:$CV$40,MATCH(ROW()-3,$IQ$4:$IQ$40,0)))</f>
        <v/>
      </c>
      <c r="IS29">
        <f>IF(COUNTIF('Live Search'!BM$28:CE$28,0)+COUNTIF('Live Search'!CG$28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T29">
        <f>IF($DA$29="",FALSE,SUMPRODUCT(('Final Calculation Sheet'!$S$4:$S$40=$DA$29)*($IS$6:$IS$42=1))&gt;0)</f>
        <v/>
      </c>
      <c r="IU29">
        <f>$IU$28+--($IT29)</f>
        <v/>
      </c>
      <c r="IV29">
        <f>IF(ROW()-3&gt;MAX($IU$4:$IU$40),"",INDEX($DA$4:$DA$40,MATCH(ROW()-3,$IU$4:$IU$40,0)))</f>
        <v/>
      </c>
      <c r="IW29">
        <f>IF(COUNTIF('Live Search'!BM$28:CF$28,0)+COUNTIF('Live Search'!CH$28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IX29">
        <f>IF($DF$29="",FALSE,SUMPRODUCT(('Final Calculation Sheet'!$T$4:$T$40=$DF$29)*($IW$6:$IW$42=1))&gt;0)</f>
        <v/>
      </c>
      <c r="IY29">
        <f>$IY$28+--($IX29)</f>
        <v/>
      </c>
      <c r="IZ29">
        <f>IF(ROW()-3&gt;MAX($IY$4:$IY$40),"",INDEX($DF$4:$DF$40,MATCH(ROW()-3,$IY$4:$IY$40,0)))</f>
        <v/>
      </c>
      <c r="JA29">
        <f>IF(COUNTIF('Live Search'!BM$28:CG$28,0)+COUNTIF('Live Search'!CI$28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B29">
        <f>IF($DK$29="",FALSE,SUMPRODUCT(('Final Calculation Sheet'!$U$4:$U$40=$DK$29)*($JA$6:$JA$42=1))&gt;0)</f>
        <v/>
      </c>
      <c r="JC29">
        <f>$JC$28+--($JB29)</f>
        <v/>
      </c>
      <c r="JD29">
        <f>IF(ROW()-3&gt;MAX($JC$4:$JC$40),"",INDEX($DK$4:$DK$40,MATCH(ROW()-3,$JC$4:$JC$40,0)))</f>
        <v/>
      </c>
      <c r="JE29">
        <f>IF(COUNTIF('Live Search'!BM$28:CH$28,0)+COUNTIF('Live Search'!CJ$28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F29">
        <f>IF($DP$29="",FALSE,SUMPRODUCT(('Final Calculation Sheet'!$V$4:$V$40=$DP$29)*($JE$6:$JE$42=1))&gt;0)</f>
        <v/>
      </c>
      <c r="JG29">
        <f>$JG$28+--($JF29)</f>
        <v/>
      </c>
      <c r="JH29">
        <f>IF(ROW()-3&gt;MAX($JG$4:$JG$40),"",INDEX($DP$4:$DP$40,MATCH(ROW()-3,$JG$4:$JG$40,0)))</f>
        <v/>
      </c>
      <c r="JI29">
        <f>IF(COUNTIF('Live Search'!BM$28:CI$28,0)+COUNTIF('Live Search'!CK$28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J29">
        <f>IF($DU$29="",FALSE,SUMPRODUCT(('Final Calculation Sheet'!$W$4:$W$40=$DU$29)*($JI$6:$JI$42=1))&gt;0)</f>
        <v/>
      </c>
      <c r="JK29">
        <f>$JK$28+--($JJ29)</f>
        <v/>
      </c>
      <c r="JL29">
        <f>IF(ROW()-3&gt;MAX($JK$4:$JK$40),"",INDEX($DU$4:$DU$40,MATCH(ROW()-3,$JK$4:$JK$40,0)))</f>
        <v/>
      </c>
      <c r="JM29">
        <f>IF(COUNTIF('Live Search'!BM$28:CJ$28,0)+COUNTIF('Live Search'!CL$28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N29">
        <f>IF($DZ$29="",FALSE,SUMPRODUCT(('Final Calculation Sheet'!$X$4:$X$40=$DZ$29)*($JM$6:$JM$42=1))&gt;0)</f>
        <v/>
      </c>
      <c r="JO29">
        <f>$JO$28+--($JN29)</f>
        <v/>
      </c>
      <c r="JP29">
        <f>IF(ROW()-3&gt;MAX($JO$4:$JO$40),"",INDEX($DZ$4:$DZ$40,MATCH(ROW()-3,$JO$4:$JO$40,0)))</f>
        <v/>
      </c>
      <c r="JQ29">
        <f>IF(COUNTIF('Live Search'!BM$28:CK$28,0)+COUNTIF('Live Search'!C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R29">
        <f>IF($EE$29="",FALSE,SUMPRODUCT(('Final Calculation Sheet'!$Y$4:$Y$40=$EE$29)*($JQ$6:$JQ$42=1))&gt;0)</f>
        <v/>
      </c>
      <c r="JS29">
        <f>$JS$28+--($JR29)</f>
        <v/>
      </c>
      <c r="JT29">
        <f>IF(ROW()-3&gt;MAX($JS$4:$JS$40),"",INDEX($EE$4:$EE$40,MATCH(ROW()-3,$JS$4:$JS$40,0)))</f>
        <v/>
      </c>
      <c r="JU29">
        <f>IF(COUNTIF('Live Search'!BM$28:CL$28,0)+COUNTIF('Live Search'!CN$28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V29">
        <f>IF($EJ$29="",FALSE,SUMPRODUCT(('Final Calculation Sheet'!$Z$4:$Z$40=$EJ$29)*($JU$6:$JU$42=1))&gt;0)</f>
        <v/>
      </c>
      <c r="JW29">
        <f>$JW$28+--($JV29)</f>
        <v/>
      </c>
      <c r="JX29">
        <f>IF(ROW()-3&gt;MAX($JW$4:$JW$40),"",INDEX($EJ$4:$EJ$40,MATCH(ROW()-3,$JW$4:$JW$40,0)))</f>
        <v/>
      </c>
      <c r="JY29">
        <f>IF(COUNTIF('Live Search'!BM$28:CM$28,0)+COUNTIF('Live Search'!CO$28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JZ29">
        <f>IF($EO$29="",FALSE,SUMPRODUCT(('Final Calculation Sheet'!$AA$4:$AA$40=$EO$29)*($JY$6:$JY$42=1))&gt;0)</f>
        <v/>
      </c>
      <c r="KA29">
        <f>$KA$28+--($JZ29)</f>
        <v/>
      </c>
      <c r="KB29">
        <f>IF(ROW()-3&gt;MAX($KA$4:$KA$40),"",INDEX($EO$4:$EO$40,MATCH(ROW()-3,$KA$4:$KA$40,0)))</f>
        <v/>
      </c>
      <c r="KC29">
        <f>IF(COUNTIF('Live Search'!BM$28:CN$28,0)+COUNTIF('Live Search'!CP$28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D29">
        <f>IF($ET$29="",FALSE,SUMPRODUCT(('Final Calculation Sheet'!$AB$4:$AB$40=$ET$29)*($KC$6:$KC$42=1))&gt;0)</f>
        <v/>
      </c>
      <c r="KE29">
        <f>$KE$28+--($KD29)</f>
        <v/>
      </c>
      <c r="KF29">
        <f>IF(ROW()-3&gt;MAX($KE$4:$KE$40),"",INDEX($ET$4:$ET$40,MATCH(ROW()-3,$KE$4:$KE$40,0)))</f>
        <v/>
      </c>
      <c r="KG29">
        <f>IF(COUNTIF('Live Search'!BM$28:CO$28,0)+COUNTIF('Live Search'!CQ$28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H29">
        <f>IF($EY$29="",FALSE,SUMPRODUCT(('Final Calculation Sheet'!$AC$4:$AC$40=$EY$29)*($KG$6:$KG$42=1))&gt;0)</f>
        <v/>
      </c>
      <c r="KI29">
        <f>$KI$28+--($KH29)</f>
        <v/>
      </c>
      <c r="KJ29">
        <f>IF(ROW()-3&gt;MAX($KI$4:$KI$40),"",INDEX($EY$4:$EY$40,MATCH(ROW()-3,$KI$4:$KI$40,0)))</f>
        <v/>
      </c>
      <c r="KK29">
        <f>IF(COUNTIF('Live Search'!BM$28:CP$28,0)+COUNTIF('Live Search'!CR$28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L29">
        <f>IF($FD$29="",FALSE,SUMPRODUCT(('Final Calculation Sheet'!$AD$4:$AD$40=$FD$29)*($KK$6:$KK$42=1))&gt;0)</f>
        <v/>
      </c>
      <c r="KM29">
        <f>$KM$28+--($KL29)</f>
        <v/>
      </c>
      <c r="KN29">
        <f>IF(ROW()-3&gt;MAX($KM$4:$KM$40),"",INDEX($FD$4:$FD$40,MATCH(ROW()-3,$KM$4:$KM$40,0)))</f>
        <v/>
      </c>
      <c r="KO29">
        <f>IF(COUNTIF('Live Search'!BM$28:CT$28,0)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P29">
        <f>IF($FX$29="",FALSE,SUMPRODUCT((IF('Final Calculation Sheet'!$AD$4:$AD$40&lt;=5,"SETTLED","OUTSTANDING")=$FX$29)*($KO$6:$KO$42=1))&gt;0)</f>
        <v/>
      </c>
      <c r="KQ29">
        <f>$KQ$28+--($KP29)</f>
        <v/>
      </c>
      <c r="KR29">
        <f>IF(ROW()-3&gt;MAX($KQ$4:$KQ$40),"",INDEX($FX$4:$FX$40,MATCH(ROW()-3,$KQ$4:$KQ$40,0)))</f>
        <v/>
      </c>
      <c r="KS29">
        <f>IF(COUNTIF('Live Search'!BM$28:CQ$28,0)+COUNTIF('Live Search'!CS$28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T29">
        <f>IF($FI$29="",FALSE,SUMPRODUCT(('Final Calculation Sheet'!$AF$4:$AF$40=$FI$29)*($KS$6:$KS$42=1))&gt;0)</f>
        <v/>
      </c>
      <c r="KU29">
        <f>$KU$28+--($KT29)</f>
        <v/>
      </c>
      <c r="KV29">
        <f>IF(ROW()-3&gt;MAX($KU$4:$KU$40),"",INDEX($FI$4:$FI$40,MATCH(ROW()-3,$KU$4:$KU$40,0)))</f>
        <v/>
      </c>
      <c r="KW29">
        <f>IF(COUNTIF('Live Search'!BM$28:CR$28,0)+COUNTIF('Live Search'!CT$28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KX29">
        <f>IF($FN$29="",FALSE,SUMPRODUCT(('Final Calculation Sheet'!$AG$4:$AG$40=$FN$29)*($KW$6:$KW$42=1))&gt;0)</f>
        <v/>
      </c>
      <c r="KY29">
        <f>$KY$28+--($KX29)</f>
        <v/>
      </c>
      <c r="KZ29">
        <f>IF(ROW()-3&gt;MAX($KY$4:$KY$40),"",INDEX($FN$4:$FN$40,MATCH(ROW()-3,$KY$4:$KY$40,0)))</f>
        <v/>
      </c>
      <c r="LA29">
        <f>IF(COUNTIF('Live Search'!BM$28:CS$28,0)+COUNTIF('Live Search'!CU$28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LB29">
        <f>IF($FS$29="",FALSE,SUMPRODUCT(('Final Calculation Sheet'!$AH$4:$AH$40=$FS$29)*($LA$6:$LA$42=1))&gt;0)</f>
        <v/>
      </c>
      <c r="LC29">
        <f>$LC$28+--($LB29)</f>
        <v/>
      </c>
      <c r="LD29">
        <f>IF(ROW()-3&gt;MAX($LC$4:$LC$40),"",INDEX($FS$4:$FS$40,MATCH(ROW()-3,$LC$4:$LC$40,0)))</f>
        <v/>
      </c>
      <c r="LE29">
        <f>IF(COUNTIF('Buyer Groups'!DH82:EN82,0)&gt;0,0,1)</f>
        <v/>
      </c>
      <c r="LF29">
        <f>IF($O$29="",FALSE,SUMPRODUCT(('Final Calculation Sheet'!$F$4:$F$40=$O$29)*($LE$6:$LE$42=1))&gt;0)</f>
        <v/>
      </c>
      <c r="LG29">
        <f>$LG$28+--($LF29)</f>
        <v/>
      </c>
      <c r="LH29">
        <f>IF(ROW()-3&gt;MAX($LG$4:$LG$40),"",INDEX($O$4:$O$40,MATCH(ROW()-3,$LG$4:$LG$40,0)))</f>
        <v/>
      </c>
      <c r="LI29">
        <f>IF(COUNTIF('Buyer Groups'!DG82:DG82,0)+COUNTIF('Buyer Groups'!DI82:EN82,0)&gt;0,0,1)</f>
        <v/>
      </c>
      <c r="LJ29">
        <f>IF($T$29="",FALSE,SUMPRODUCT(('Final Calculation Sheet'!$G$4:$G$40=$T$29)*($LI$6:$LI$42=1))&gt;0)</f>
        <v/>
      </c>
      <c r="LK29">
        <f>$LK$28+--($LJ29)</f>
        <v/>
      </c>
      <c r="LL29">
        <f>IF(ROW()-3&gt;MAX($LK$4:$LK$40),"",INDEX($T$4:$T$40,MATCH(ROW()-3,$LK$4:$LK$40,0)))</f>
        <v/>
      </c>
      <c r="LM29">
        <f>IF(COUNTIF('Buyer Groups'!DG82:DH82,0)+COUNTIF('Buyer Groups'!DJ82:EN82,0)&gt;0,0,1)</f>
        <v/>
      </c>
      <c r="LN29">
        <f>IF($Y$29="",FALSE,SUMPRODUCT(('Final Calculation Sheet'!$B$4:$B$40=$Y$29)*($LM$6:$LM$42=1))&gt;0)</f>
        <v/>
      </c>
      <c r="LO29">
        <f>$LO$28+--($LN29)</f>
        <v/>
      </c>
      <c r="LP29">
        <f>IF(ROW()-3&gt;MAX($LO$4:$LO$40),"",INDEX($Y$4:$Y$40,MATCH(ROW()-3,$LO$4:$LO$40,0)))</f>
        <v/>
      </c>
      <c r="LQ29">
        <f>IF(COUNTIF('Buyer Groups'!DG82:DI82,0)+COUNTIF('Buyer Groups'!DK82:EN82,0)&gt;0,0,1)</f>
        <v/>
      </c>
      <c r="LR29">
        <f>IF($AD$29="",FALSE,SUMPRODUCT(('Final Calculation Sheet'!$D$4:$D$40=$AD$29)*($LQ$6:$LQ$42=1))&gt;0)</f>
        <v/>
      </c>
      <c r="LS29">
        <f>$LS$28+--($LR29)</f>
        <v/>
      </c>
      <c r="LT29">
        <f>IF(ROW()-3&gt;MAX($LS$4:$LS$40),"",INDEX($AD$4:$AD$40,MATCH(ROW()-3,$LS$4:$LS$40,0)))</f>
        <v/>
      </c>
      <c r="LU29">
        <f>IF(COUNTIF('Buyer Groups'!DG82:DJ82,0)+COUNTIF('Buyer Groups'!DL82:EN82,0)&gt;0,0,1)</f>
        <v/>
      </c>
      <c r="LV29">
        <f>IF($AI$29="",FALSE,SUMPRODUCT(('Final Calculation Sheet'!$A$4:$A$40=$AI$29)*($LU$6:$LU$42=1))&gt;0)</f>
        <v/>
      </c>
      <c r="LW29">
        <f>$LW$28+--($LV29)</f>
        <v/>
      </c>
      <c r="LX29">
        <f>IF(ROW()-3&gt;MAX($LW$4:$LW$40),"",INDEX($AI$4:$AI$40,MATCH(ROW()-3,$LW$4:$LW$40,0)))</f>
        <v/>
      </c>
      <c r="LY29">
        <f>IF(COUNTIF('Buyer Groups'!DG82:DK82,0)+COUNTIF('Buyer Groups'!DM82:EN82,0)&gt;0,0,1)</f>
        <v/>
      </c>
      <c r="LZ29">
        <f>IF($AN$29="",FALSE,SUMPRODUCT(('Final Calculation Sheet'!$E$4:$E$40=$AN$29)*($LY$6:$LY$42=1))&gt;0)</f>
        <v/>
      </c>
      <c r="MA29">
        <f>$MA$28+--($LZ29)</f>
        <v/>
      </c>
      <c r="MB29">
        <f>IF(ROW()-3&gt;MAX($MA$4:$MA$40),"",INDEX($AN$4:$AN$40,MATCH(ROW()-3,$MA$4:$MA$40,0)))</f>
        <v/>
      </c>
      <c r="MC29">
        <f>IF(COUNTIF('Buyer Groups'!DG82:DL82,0)+COUNTIF('Buyer Groups'!DN82:EN82,0)&gt;0,0,1)</f>
        <v/>
      </c>
      <c r="MD29">
        <f>IF($AS$29="",FALSE,SUMPRODUCT(('Final Calculation Sheet'!$C$4:$C$40=$AS$29)*($MC$6:$MC$42=1))&gt;0)</f>
        <v/>
      </c>
      <c r="ME29">
        <f>$ME$28+--($MD29)</f>
        <v/>
      </c>
      <c r="MF29">
        <f>IF(ROW()-3&gt;MAX($ME$4:$ME$40),"",INDEX($AS$4:$AS$40,MATCH(ROW()-3,$ME$4:$ME$40,0)))</f>
        <v/>
      </c>
      <c r="MG29">
        <f>IF(COUNTIF('Buyer Groups'!DG82:DM82,0)+COUNTIF('Buyer Groups'!DO82:EN82,0)&gt;0,0,1)</f>
        <v/>
      </c>
      <c r="MH29">
        <f>IF($AX$29="",FALSE,SUMPRODUCT(('Final Calculation Sheet'!$H$4:$H$40=$AX$29)*($MG$6:$MG$42=1))&gt;0)</f>
        <v/>
      </c>
      <c r="MI29">
        <f>$MI$28+--($MH29)</f>
        <v/>
      </c>
      <c r="MJ29">
        <f>IF(ROW()-3&gt;MAX($MI$4:$MI$40),"",INDEX($AX$4:$AX$40,MATCH(ROW()-3,$MI$4:$MI$40,0)))</f>
        <v/>
      </c>
      <c r="MK29">
        <f>IF(COUNTIF('Buyer Groups'!DG82:DN82,0)+COUNTIF('Buyer Groups'!DP82:EN82,0)&gt;0,0,1)</f>
        <v/>
      </c>
      <c r="ML29">
        <f>IF($BC$29="",FALSE,SUMPRODUCT(('Final Calculation Sheet'!$I$4:$I$40=$BC$29)*($MK$6:$MK$42=1))&gt;0)</f>
        <v/>
      </c>
      <c r="MM29">
        <f>$MM$28+--($ML29)</f>
        <v/>
      </c>
      <c r="MN29">
        <f>IF(ROW()-3&gt;MAX($MM$4:$MM$40),"",INDEX($BC$4:$BC$40,MATCH(ROW()-3,$MM$4:$MM$40,0)))</f>
        <v/>
      </c>
      <c r="MO29">
        <f>IF(COUNTIF('Buyer Groups'!DG82:DO82,0)+COUNTIF('Buyer Groups'!DQ82:EN82,0)&gt;0,0,1)</f>
        <v/>
      </c>
      <c r="MP29">
        <f>IF($BH$29="",FALSE,SUMPRODUCT(('Final Calculation Sheet'!$J$4:$J$40=$BH$29)*($MO$6:$MO$42=1))&gt;0)</f>
        <v/>
      </c>
      <c r="MQ29">
        <f>$MQ$28+--($MP29)</f>
        <v/>
      </c>
      <c r="MR29">
        <f>IF(ROW()-3&gt;MAX($MQ$4:$MQ$40),"",INDEX($BH$4:$BH$40,MATCH(ROW()-3,$MQ$4:$MQ$40,0)))</f>
        <v/>
      </c>
      <c r="MS29">
        <f>IF(COUNTIF('Buyer Groups'!DG82:DP82,0)+COUNTIF('Buyer Groups'!DR82:EN82,0)&gt;0,0,1)</f>
        <v/>
      </c>
      <c r="MT29">
        <f>IF($BM$29="",FALSE,SUMPRODUCT(('Final Calculation Sheet'!$K$4:$K$40=$BM$29)*($MS$6:$MS$42=1))&gt;0)</f>
        <v/>
      </c>
      <c r="MU29">
        <f>$MU$28+--($MT29)</f>
        <v/>
      </c>
      <c r="MV29">
        <f>IF(ROW()-3&gt;MAX($MU$4:$MU$40),"",INDEX($BM$4:$BM$40,MATCH(ROW()-3,$MU$4:$MU$40,0)))</f>
        <v/>
      </c>
      <c r="MW29">
        <f>IF(COUNTIF('Buyer Groups'!DG82:DQ82,0)+COUNTIF('Buyer Groups'!DS82:EN82,0)&gt;0,0,1)</f>
        <v/>
      </c>
      <c r="MX29">
        <f>IF($BR$29="",FALSE,SUMPRODUCT(('Final Calculation Sheet'!$L$4:$L$40=$BR$29)*($MW$6:$MW$42=1))&gt;0)</f>
        <v/>
      </c>
      <c r="MY29">
        <f>$MY$28+--($MX29)</f>
        <v/>
      </c>
      <c r="MZ29">
        <f>IF(ROW()-3&gt;MAX($MY$4:$MY$40),"",INDEX($BR$4:$BR$40,MATCH(ROW()-3,$MY$4:$MY$40,0)))</f>
        <v/>
      </c>
      <c r="NA29">
        <f>IF(COUNTIF('Buyer Groups'!DG82:DR82,0)+COUNTIF('Buyer Groups'!DT82:EN82,0)&gt;0,0,1)</f>
        <v/>
      </c>
      <c r="NB29">
        <f>IF($BW$29="",FALSE,SUMPRODUCT(('Final Calculation Sheet'!$M$4:$M$40=$BW$29)*($NA$6:$NA$42=1))&gt;0)</f>
        <v/>
      </c>
      <c r="NC29">
        <f>$NC$28+--($NB29)</f>
        <v/>
      </c>
      <c r="ND29">
        <f>IF(ROW()-3&gt;MAX($NC$4:$NC$40),"",INDEX($BW$4:$BW$40,MATCH(ROW()-3,$NC$4:$NC$40,0)))</f>
        <v/>
      </c>
      <c r="NE29">
        <f>IF(COUNTIF('Buyer Groups'!DG82:DS82,0)+COUNTIF('Buyer Groups'!DU82:EN82,0)&gt;0,0,1)</f>
        <v/>
      </c>
      <c r="NF29">
        <f>IF($CB$29="",FALSE,SUMPRODUCT(('Final Calculation Sheet'!$N$4:$N$40=$CB$29)*($NE$6:$NE$42=1))&gt;0)</f>
        <v/>
      </c>
      <c r="NG29">
        <f>$NG$28+--($NF29)</f>
        <v/>
      </c>
      <c r="NH29">
        <f>IF(ROW()-3&gt;MAX($NG$4:$NG$40),"",INDEX($CB$4:$CB$40,MATCH(ROW()-3,$NG$4:$NG$40,0)))</f>
        <v/>
      </c>
      <c r="NI29">
        <f>IF(COUNTIF('Buyer Groups'!DG82:DT82,0)+COUNTIF('Buyer Groups'!DV82:EN82,0)&gt;0,0,1)</f>
        <v/>
      </c>
      <c r="NJ29">
        <f>IF($CG$29="",FALSE,SUMPRODUCT(('Final Calculation Sheet'!$O$4:$O$40=$CG$29)*($NI$6:$NI$42=1))&gt;0)</f>
        <v/>
      </c>
      <c r="NK29">
        <f>$NK$28+--($NJ29)</f>
        <v/>
      </c>
      <c r="NL29">
        <f>IF(ROW()-3&gt;MAX($NK$4:$NK$40),"",INDEX($CG$4:$CG$40,MATCH(ROW()-3,$NK$4:$NK$40,0)))</f>
        <v/>
      </c>
      <c r="NM29">
        <f>IF(COUNTIF('Buyer Groups'!DG82:DU82,0)+COUNTIF('Buyer Groups'!DW82:EN82,0)&gt;0,0,1)</f>
        <v/>
      </c>
      <c r="NN29">
        <f>IF($CL$29="",FALSE,SUMPRODUCT(('Final Calculation Sheet'!$P$4:$P$40=$CL$29)*($NM$6:$NM$42=1))&gt;0)</f>
        <v/>
      </c>
      <c r="NO29">
        <f>$NO$28+--($NN29)</f>
        <v/>
      </c>
      <c r="NP29">
        <f>IF(ROW()-3&gt;MAX($NO$4:$NO$40),"",INDEX($CL$4:$CL$40,MATCH(ROW()-3,$NO$4:$NO$40,0)))</f>
        <v/>
      </c>
      <c r="NQ29">
        <f>IF(COUNTIF('Buyer Groups'!DG82:DV82,0)+COUNTIF('Buyer Groups'!DX82:EN82,0)&gt;0,0,1)</f>
        <v/>
      </c>
      <c r="NR29">
        <f>IF($CQ$29="",FALSE,SUMPRODUCT(('Final Calculation Sheet'!$Q$4:$Q$40=$CQ$29)*($NQ$6:$NQ$42=1))&gt;0)</f>
        <v/>
      </c>
      <c r="NS29">
        <f>$NS$28+--($NR29)</f>
        <v/>
      </c>
      <c r="NT29">
        <f>IF(ROW()-3&gt;MAX($NS$4:$NS$40),"",INDEX($CQ$4:$CQ$40,MATCH(ROW()-3,$NS$4:$NS$40,0)))</f>
        <v/>
      </c>
      <c r="NU29">
        <f>IF(COUNTIF('Buyer Groups'!DG82:DW82,0)+COUNTIF('Buyer Groups'!DY82:EN82,0)&gt;0,0,1)</f>
        <v/>
      </c>
      <c r="NV29">
        <f>IF($CV$29="",FALSE,SUMPRODUCT(('Final Calculation Sheet'!$R$4:$R$40=$CV$29)*($NU$6:$NU$42=1))&gt;0)</f>
        <v/>
      </c>
      <c r="NW29">
        <f>$NW$28+--($NV29)</f>
        <v/>
      </c>
      <c r="NX29">
        <f>IF(ROW()-3&gt;MAX($NW$4:$NW$40),"",INDEX($CV$4:$CV$40,MATCH(ROW()-3,$NW$4:$NW$40,0)))</f>
        <v/>
      </c>
      <c r="NY29">
        <f>IF(COUNTIF('Buyer Groups'!DG82:DX82,0)+COUNTIF('Buyer Groups'!DZ82:EN82,0)&gt;0,0,1)</f>
        <v/>
      </c>
      <c r="NZ29">
        <f>IF($DA$29="",FALSE,SUMPRODUCT(('Final Calculation Sheet'!$S$4:$S$40=$DA$29)*($NY$6:$NY$42=1))&gt;0)</f>
        <v/>
      </c>
      <c r="OA29">
        <f>$OA$28+--($NZ29)</f>
        <v/>
      </c>
      <c r="OB29">
        <f>IF(ROW()-3&gt;MAX($OA$4:$OA$40),"",INDEX($DA$4:$DA$40,MATCH(ROW()-3,$OA$4:$OA$40,0)))</f>
        <v/>
      </c>
      <c r="OC29">
        <f>IF(COUNTIF('Buyer Groups'!DG82:DY82,0)+COUNTIF('Buyer Groups'!EA82:EN82,0)&gt;0,0,1)</f>
        <v/>
      </c>
      <c r="OD29">
        <f>IF($DF$29="",FALSE,SUMPRODUCT(('Final Calculation Sheet'!$T$4:$T$40=$DF$29)*($OC$6:$OC$42=1))&gt;0)</f>
        <v/>
      </c>
      <c r="OE29">
        <f>$OE$28+--($OD29)</f>
        <v/>
      </c>
      <c r="OF29">
        <f>IF(ROW()-3&gt;MAX($OE$4:$OE$40),"",INDEX($DF$4:$DF$40,MATCH(ROW()-3,$OE$4:$OE$40,0)))</f>
        <v/>
      </c>
      <c r="OG29">
        <f>IF(COUNTIF('Buyer Groups'!DG82:DZ82,0)+COUNTIF('Buyer Groups'!EB82:EN82,0)&gt;0,0,1)</f>
        <v/>
      </c>
      <c r="OH29">
        <f>IF($DK$29="",FALSE,SUMPRODUCT(('Final Calculation Sheet'!$U$4:$U$40=$DK$29)*($OG$6:$OG$42=1))&gt;0)</f>
        <v/>
      </c>
      <c r="OI29">
        <f>$OI$28+--($OH29)</f>
        <v/>
      </c>
      <c r="OJ29">
        <f>IF(ROW()-3&gt;MAX($OI$4:$OI$40),"",INDEX($DK$4:$DK$40,MATCH(ROW()-3,$OI$4:$OI$40,0)))</f>
        <v/>
      </c>
      <c r="OK29">
        <f>IF(COUNTIF('Buyer Groups'!DG82:EA82,0)+COUNTIF('Buyer Groups'!EC82:EN82,0)&gt;0,0,1)</f>
        <v/>
      </c>
      <c r="OL29">
        <f>IF($DP$29="",FALSE,SUMPRODUCT(('Final Calculation Sheet'!$V$4:$V$40=$DP$29)*($OK$6:$OK$42=1))&gt;0)</f>
        <v/>
      </c>
      <c r="OM29">
        <f>$OM$28+--($OL29)</f>
        <v/>
      </c>
      <c r="ON29">
        <f>IF(ROW()-3&gt;MAX($OM$4:$OM$40),"",INDEX($DP$4:$DP$40,MATCH(ROW()-3,$OM$4:$OM$40,0)))</f>
        <v/>
      </c>
      <c r="OO29">
        <f>IF(COUNTIF('Buyer Groups'!DG82:EB82,0)+COUNTIF('Buyer Groups'!ED82:EN82,0)&gt;0,0,1)</f>
        <v/>
      </c>
      <c r="OP29">
        <f>IF($DU$29="",FALSE,SUMPRODUCT(('Final Calculation Sheet'!$W$4:$W$40=$DU$29)*($OO$6:$OO$42=1))&gt;0)</f>
        <v/>
      </c>
      <c r="OQ29">
        <f>$OQ$28+--($OP29)</f>
        <v/>
      </c>
      <c r="OR29">
        <f>IF(ROW()-3&gt;MAX($OQ$4:$OQ$40),"",INDEX($DU$4:$DU$40,MATCH(ROW()-3,$OQ$4:$OQ$40,0)))</f>
        <v/>
      </c>
      <c r="OS29">
        <f>IF(COUNTIF('Buyer Groups'!DG82:EC82,0)+COUNTIF('Buyer Groups'!EE82:EN82,0)&gt;0,0,1)</f>
        <v/>
      </c>
      <c r="OT29">
        <f>IF($DZ$29="",FALSE,SUMPRODUCT(('Final Calculation Sheet'!$X$4:$X$40=$DZ$29)*($OS$6:$OS$42=1))&gt;0)</f>
        <v/>
      </c>
      <c r="OU29">
        <f>$OU$28+--($OT29)</f>
        <v/>
      </c>
      <c r="OV29">
        <f>IF(ROW()-3&gt;MAX($OU$4:$OU$40),"",INDEX($DZ$4:$DZ$40,MATCH(ROW()-3,$OU$4:$OU$40,0)))</f>
        <v/>
      </c>
      <c r="OW29">
        <f>IF(COUNTIF('Buyer Groups'!DG82:ED82,0)+COUNTIF('Buyer Groups'!EF82:EN82,0)&gt;0,0,1)</f>
        <v/>
      </c>
      <c r="OX29">
        <f>IF($EE$29="",FALSE,SUMPRODUCT(('Final Calculation Sheet'!$Y$4:$Y$40=$EE$29)*($OW$6:$OW$42=1))&gt;0)</f>
        <v/>
      </c>
      <c r="OY29">
        <f>$OY$28+--($OX29)</f>
        <v/>
      </c>
      <c r="OZ29">
        <f>IF(ROW()-3&gt;MAX($OY$4:$OY$40),"",INDEX($EE$4:$EE$40,MATCH(ROW()-3,$OY$4:$OY$40,0)))</f>
        <v/>
      </c>
      <c r="PA29">
        <f>IF(COUNTIF('Buyer Groups'!DG82:EE82,0)+COUNTIF('Buyer Groups'!EG82:EN82,0)&gt;0,0,1)</f>
        <v/>
      </c>
      <c r="PB29">
        <f>IF($EJ$29="",FALSE,SUMPRODUCT(('Final Calculation Sheet'!$Z$4:$Z$40=$EJ$29)*($PA$6:$PA$42=1))&gt;0)</f>
        <v/>
      </c>
      <c r="PC29">
        <f>$PC$28+--($PB29)</f>
        <v/>
      </c>
      <c r="PD29">
        <f>IF(ROW()-3&gt;MAX($PC$4:$PC$40),"",INDEX($EJ$4:$EJ$40,MATCH(ROW()-3,$PC$4:$PC$40,0)))</f>
        <v/>
      </c>
      <c r="PE29">
        <f>IF(COUNTIF('Buyer Groups'!DG82:EF82,0)+COUNTIF('Buyer Groups'!EH82:EN82,0)&gt;0,0,1)</f>
        <v/>
      </c>
      <c r="PF29">
        <f>IF($EO$29="",FALSE,SUMPRODUCT(('Final Calculation Sheet'!$AA$4:$AA$40=$EO$29)*($PE$6:$PE$42=1))&gt;0)</f>
        <v/>
      </c>
      <c r="PG29">
        <f>$PG$28+--($PF29)</f>
        <v/>
      </c>
      <c r="PH29">
        <f>IF(ROW()-3&gt;MAX($PG$4:$PG$40),"",INDEX($EO$4:$EO$40,MATCH(ROW()-3,$PG$4:$PG$40,0)))</f>
        <v/>
      </c>
      <c r="PI29">
        <f>IF(COUNTIF('Buyer Groups'!DG82:EG82,0)+COUNTIF('Buyer Groups'!EI82:EN82,0)&gt;0,0,1)</f>
        <v/>
      </c>
      <c r="PJ29">
        <f>IF($ET$29="",FALSE,SUMPRODUCT(('Final Calculation Sheet'!$AB$4:$AB$40=$ET$29)*($PI$6:$PI$42=1))&gt;0)</f>
        <v/>
      </c>
      <c r="PK29">
        <f>$PK$28+--($PJ29)</f>
        <v/>
      </c>
      <c r="PL29">
        <f>IF(ROW()-3&gt;MAX($PK$4:$PK$40),"",INDEX($ET$4:$ET$40,MATCH(ROW()-3,$PK$4:$PK$40,0)))</f>
        <v/>
      </c>
      <c r="PM29">
        <f>IF(COUNTIF('Buyer Groups'!DG82:EH82,0)+COUNTIF('Buyer Groups'!EJ82:EN82,0)&gt;0,0,1)</f>
        <v/>
      </c>
      <c r="PN29">
        <f>IF($EY$29="",FALSE,SUMPRODUCT(('Final Calculation Sheet'!$AC$4:$AC$40=$EY$29)*($PM$6:$PM$42=1))&gt;0)</f>
        <v/>
      </c>
      <c r="PO29">
        <f>$PO$28+--($PN29)</f>
        <v/>
      </c>
      <c r="PP29">
        <f>IF(ROW()-3&gt;MAX($PO$4:$PO$40),"",INDEX($EY$4:$EY$40,MATCH(ROW()-3,$PO$4:$PO$40,0)))</f>
        <v/>
      </c>
      <c r="PQ29">
        <f>IF(COUNTIF('Buyer Groups'!DG82:EI82,0)+COUNTIF('Buyer Groups'!EK82:EN82,0)&gt;0,0,1)</f>
        <v/>
      </c>
      <c r="PR29">
        <f>IF($FD$29="",FALSE,SUMPRODUCT(('Final Calculation Sheet'!$AD$4:$AD$40=$FD$29)*($PQ$6:$PQ$42=1))&gt;0)</f>
        <v/>
      </c>
      <c r="PS29">
        <f>$PS$28+--($PR29)</f>
        <v/>
      </c>
      <c r="PT29">
        <f>IF(ROW()-3&gt;MAX($PS$4:$PS$40),"",INDEX($FD$4:$FD$40,MATCH(ROW()-3,$PS$4:$PS$40,0)))</f>
        <v/>
      </c>
      <c r="PU29">
        <f>IF(COUNTIF('Buyer Groups'!DG82:EJ82,0)+COUNTIF('Buyer Groups'!EL82:EN82,0)&gt;0,0,1)</f>
        <v/>
      </c>
      <c r="PV29">
        <f>IF($FX$29="",FALSE,SUMPRODUCT((IF('Final Calculation Sheet'!$AD$4:$AD$40&lt;=5,"SETTLED","OUTSTANDING")=$FX$29)*($PU$6:$PU$42=1))&gt;0)</f>
        <v/>
      </c>
      <c r="PW29">
        <f>$PW$28+--($PV29)</f>
        <v/>
      </c>
      <c r="PX29">
        <f>IF(ROW()-3&gt;MAX($PW$4:$PW$40),"",INDEX($FX$4:$FX$40,MATCH(ROW()-3,$PW$4:$PW$40,0)))</f>
        <v/>
      </c>
      <c r="PY29">
        <f>IF(COUNTIF('Buyer Groups'!DG82:EK82,0)+COUNTIF('Buyer Groups'!EM82:EN82,0)&gt;0,0,1)</f>
        <v/>
      </c>
      <c r="PZ29">
        <f>IF($FI$29="",FALSE,SUMPRODUCT(('Final Calculation Sheet'!$AF$4:$AF$40=$FI$29)*($PY$6:$PY$42=1))&gt;0)</f>
        <v/>
      </c>
      <c r="QA29">
        <f>$QA$28+--($PZ29)</f>
        <v/>
      </c>
      <c r="QB29">
        <f>IF(ROW()-3&gt;MAX($QA$4:$QA$40),"",INDEX($FI$4:$FI$40,MATCH(ROW()-3,$QA$4:$QA$40,0)))</f>
        <v/>
      </c>
      <c r="QC29">
        <f>IF(COUNTIF('Buyer Groups'!DG82:EL82,0)+COUNTIF('Buyer Groups'!EN82:EN82,0)&gt;0,0,1)</f>
        <v/>
      </c>
      <c r="QD29">
        <f>IF($FN$29="",FALSE,SUMPRODUCT(('Final Calculation Sheet'!$AG$4:$AG$40=$FN$29)*($QC$6:$QC$42=1))&gt;0)</f>
        <v/>
      </c>
      <c r="QE29">
        <f>$QE$28+--($QD29)</f>
        <v/>
      </c>
      <c r="QF29">
        <f>IF(ROW()-3&gt;MAX($QE$4:$QE$40),"",INDEX($FN$4:$FN$40,MATCH(ROW()-3,$QE$4:$QE$40,0)))</f>
        <v/>
      </c>
      <c r="QG29">
        <f>IF(COUNTIF('Buyer Groups'!DG82:EM82,0)&gt;0,0,1)</f>
        <v/>
      </c>
      <c r="QH29">
        <f>IF($FS$29="",FALSE,SUMPRODUCT(('Final Calculation Sheet'!$AH$4:$AH$40=$FS$29)*($QG$6:$QG$42=1))&gt;0)</f>
        <v/>
      </c>
      <c r="QI29">
        <f>$QI$28+--($QH29)</f>
        <v/>
      </c>
      <c r="QJ29">
        <f>IF(ROW()-3&gt;MAX($QI$4:$QI$40),"",INDEX($FS$4:$FS$40,MATCH(ROW()-3,$QI$4:$QI$40,0)))</f>
        <v/>
      </c>
      <c r="QK29" t="str">
        <f>IF('Final Calculation Sheet'!$AH$29="","",'Final Calculation Sheet'!$AH$29)</f>
      </c>
      <c r="QL29" t="str">
        <f>IF(QK29="","",COUNTIFS(QK$4:QK$40,"&lt;"&amp;QK29,QK$4:QK$40,"&lt;&gt;"&amp;"")+COUNTIF(QK$4:QK29,QK29))</f>
      </c>
      <c r="QM29" t="str">
        <f>IF(ROW()-3&gt;COUNTIF(QK$4:QK$40,"&lt;&gt;"&amp;""),"",INDEX(QK$4:QK$40,MATCH(ROW()-3,QL$4:QL$40,0)))</f>
      </c>
      <c r="QN29" t="str">
        <f>=QN28+F(AND(QM29&lt;&gt;"",COUNTIF(QM$4:QM29,QM29)=1),1,0)</f>
      </c>
      <c r="QO29" t="str">
        <f>IF(ROW()-3&gt;MAX(QN$4:QN$40),"",INDEX(QM$4:QM$40,MATCH(ROW()-3,QN$4:QN$40,0)))</f>
      </c>
      <c r="QP29" t="str">
        <f>IF(COUNTIF('Final Calculation Sheet'!$AM29:$BS29,0)&gt;0,0,1)</f>
      </c>
      <c r="QQ29" t="str">
        <f>IF($AI$29="",FALSE,SUMPRODUCT(('Final Calculation Sheet'!$A$4:$A$40=$AI$29)*($QP$4:$QP$40=1))&gt;0)</f>
      </c>
      <c r="QR29" t="str">
        <f>=$QR28+--($QQ29)</f>
      </c>
      <c r="QS29" t="str">
        <f>IF(ROW()-3&gt;MAX($QR$4:$QR$40),"",INDEX($AI$4:$AI$40,MATCH(ROW()-3,$QR$4:$QR$40,0)))</f>
      </c>
      <c r="QT29" t="str">
        <f>IF(COUNTIF('Final Calculation Sheet'!$AL29:$AL29,0)+COUNTIF('Final Calculation Sheet'!$AN29:$BS29,0)&gt;0,0,1)</f>
      </c>
      <c r="QU29" t="str">
        <f>IF($Y$29="",FALSE,SUMPRODUCT(('Final Calculation Sheet'!$B$4:$B$40=$Y$29)*($QT$4:$QT$40=1))&gt;0)</f>
      </c>
      <c r="QV29" t="str">
        <f>=$QV28+--($QU29)</f>
      </c>
      <c r="QW29" t="str">
        <f>IF(ROW()-3&gt;MAX($QV$4:$QV$40),"",INDEX($Y$4:$Y$40,MATCH(ROW()-3,$QV$4:$QV$40,0)))</f>
      </c>
      <c r="QX29" t="str">
        <f>IF(COUNTIF('Final Calculation Sheet'!$AL29:$AM29,0)+COUNTIF('Final Calculation Sheet'!$AO29:$BS29,0)&gt;0,0,1)</f>
      </c>
      <c r="QY29" t="str">
        <f>IF($AS$29="",FALSE,SUMPRODUCT(('Final Calculation Sheet'!$C$4:$C$40=$AS$29)*($QX$4:$QX$40=1))&gt;0)</f>
      </c>
      <c r="QZ29" t="str">
        <f>=$QZ28+--($QY29)</f>
      </c>
      <c r="RA29" t="str">
        <f>IF(ROW()-3&gt;MAX($QZ$4:$QZ$40),"",INDEX($AS$4:$AS$40,MATCH(ROW()-3,$QZ$4:$QZ$40,0)))</f>
      </c>
      <c r="RB29" t="str">
        <f>IF(COUNTIF('Final Calculation Sheet'!$AL29:$AN29,0)+COUNTIF('Final Calculation Sheet'!$AP29:$BS29,0)&gt;0,0,1)</f>
      </c>
      <c r="RC29" t="str">
        <f>IF($AD$29="",FALSE,SUMPRODUCT(('Final Calculation Sheet'!$D$4:$D$40=$AD$29)*($RB$4:$RB$40=1))&gt;0)</f>
      </c>
      <c r="RD29" t="str">
        <f>=$RD28+--($RC29)</f>
      </c>
      <c r="RE29" t="str">
        <f>IF(ROW()-3&gt;MAX($RD$4:$RD$40),"",INDEX($AD$4:$AD$40,MATCH(ROW()-3,$RD$4:$RD$40,0)))</f>
      </c>
      <c r="RF29" t="str">
        <f>IF(COUNTIF('Final Calculation Sheet'!$AL29:$AO29,0)+COUNTIF('Final Calculation Sheet'!$AQ29:$BS29,0)&gt;0,0,1)</f>
      </c>
      <c r="RG29" t="str">
        <f>IF($AN$29="",FALSE,SUMPRODUCT(('Final Calculation Sheet'!$E$4:$E$40=$AN$29)*($RF$4:$RF$40=1))&gt;0)</f>
      </c>
      <c r="RH29" t="str">
        <f>=$RH28+--($RG29)</f>
      </c>
      <c r="RI29" t="str">
        <f>IF(ROW()-3&gt;MAX($RH$4:$RH$40),"",INDEX($AN$4:$AN$40,MATCH(ROW()-3,$RH$4:$RH$40,0)))</f>
      </c>
      <c r="RJ29" t="str">
        <f>IF(COUNTIF('Final Calculation Sheet'!$AL29:$AP29,0)+COUNTIF('Final Calculation Sheet'!$AR29:$BS29,0)&gt;0,0,1)</f>
      </c>
      <c r="RK29" t="str">
        <f>IF($O$29="",FALSE,SUMPRODUCT(('Final Calculation Sheet'!$F$4:$F$40=$O$29)*($RJ$4:$RJ$40=1))&gt;0)</f>
      </c>
      <c r="RL29" t="str">
        <f>=$RL28+--($RK29)</f>
      </c>
      <c r="RM29" t="str">
        <f>IF(ROW()-3&gt;MAX($RL$4:$RL$40),"",INDEX($O$4:$O$40,MATCH(ROW()-3,$RL$4:$RL$40,0)))</f>
      </c>
      <c r="RN29" t="str">
        <f>IF(COUNTIF('Final Calculation Sheet'!$AL29:$AQ29,0)+COUNTIF('Final Calculation Sheet'!$AS29:$BS29,0)&gt;0,0,1)</f>
      </c>
      <c r="RO29" t="str">
        <f>IF($T$29="",FALSE,SUMPRODUCT(('Final Calculation Sheet'!$G$4:$G$40=$T$29)*($RN$4:$RN$40=1))&gt;0)</f>
      </c>
      <c r="RP29" t="str">
        <f>=$RP28+--($RO29)</f>
      </c>
      <c r="RQ29" t="str">
        <f>IF(ROW()-3&gt;MAX($RP$4:$RP$40),"",INDEX($T$4:$T$40,MATCH(ROW()-3,$RP$4:$RP$40,0)))</f>
      </c>
      <c r="RR29" t="str">
        <f>IF(COUNTIF('Final Calculation Sheet'!$AL29:$AR29,0)+COUNTIF('Final Calculation Sheet'!$AT29:$BS29,0)&gt;0,0,1)</f>
      </c>
      <c r="RS29" t="str">
        <f>IF($AX$29="",FALSE,SUMPRODUCT(('Final Calculation Sheet'!$H$4:$H$40=$AX$29)*($RR$4:$RR$40=1))&gt;0)</f>
      </c>
      <c r="RT29" t="str">
        <f>=$RT28+--($RS29)</f>
      </c>
      <c r="RU29" t="str">
        <f>IF(ROW()-3&gt;MAX($RT$4:$RT$40),"",INDEX($AX$4:$AX$40,MATCH(ROW()-3,$RT$4:$RT$40,0)))</f>
      </c>
      <c r="RV29" t="str">
        <f>IF(COUNTIF('Final Calculation Sheet'!$AL29:$AS29,0)+COUNTIF('Final Calculation Sheet'!$AU29:$BS29,0)&gt;0,0,1)</f>
      </c>
      <c r="RW29" t="str">
        <f>IF($BC$29="",FALSE,SUMPRODUCT(('Final Calculation Sheet'!$I$4:$I$40=$BC$29)*($RV$4:$RV$40=1))&gt;0)</f>
      </c>
      <c r="RX29" t="str">
        <f>=$RX28+--($RW29)</f>
      </c>
      <c r="RY29" t="str">
        <f>IF(ROW()-3&gt;MAX($RX$4:$RX$40),"",INDEX($BC$4:$BC$40,MATCH(ROW()-3,$RX$4:$RX$40,0)))</f>
      </c>
      <c r="RZ29" t="str">
        <f>IF(COUNTIF('Final Calculation Sheet'!$AL29:$AT29,0)+COUNTIF('Final Calculation Sheet'!$AV29:$BS29,0)&gt;0,0,1)</f>
      </c>
      <c r="SA29" t="str">
        <f>IF($BH$29="",FALSE,SUMPRODUCT(('Final Calculation Sheet'!$J$4:$J$40=$BH$29)*($RZ$4:$RZ$40=1))&gt;0)</f>
      </c>
      <c r="SB29" t="str">
        <f>=$SB28+--($SA29)</f>
      </c>
      <c r="SC29" t="str">
        <f>IF(ROW()-3&gt;MAX($SB$4:$SB$40),"",INDEX($BH$4:$BH$40,MATCH(ROW()-3,$SB$4:$SB$40,0)))</f>
      </c>
      <c r="SD29" t="str">
        <f>IF(COUNTIF('Final Calculation Sheet'!$AL29:$AU29,0)+COUNTIF('Final Calculation Sheet'!$AW29:$BS29,0)&gt;0,0,1)</f>
      </c>
      <c r="SE29" t="str">
        <f>IF($BM$29="",FALSE,SUMPRODUCT(('Final Calculation Sheet'!$K$4:$K$40=$BM$29)*($SD$4:$SD$40=1))&gt;0)</f>
      </c>
      <c r="SF29" t="str">
        <f>=$SF28+--($SE29)</f>
      </c>
      <c r="SG29" t="str">
        <f>IF(ROW()-3&gt;MAX($SF$4:$SF$40),"",INDEX($BM$4:$BM$40,MATCH(ROW()-3,$SF$4:$SF$40,0)))</f>
      </c>
      <c r="SH29" t="str">
        <f>IF(COUNTIF('Final Calculation Sheet'!$AL29:$AV29,0)+COUNTIF('Final Calculation Sheet'!$AX29:$BS29,0)&gt;0,0,1)</f>
      </c>
      <c r="SI29" t="str">
        <f>IF($BR$29="",FALSE,SUMPRODUCT(('Final Calculation Sheet'!$L$4:$L$40=$BR$29)*($SH$4:$SH$40=1))&gt;0)</f>
      </c>
      <c r="SJ29" t="str">
        <f>=$SJ28+--($SI29)</f>
      </c>
      <c r="SK29" t="str">
        <f>IF(ROW()-3&gt;MAX($SJ$4:$SJ$40),"",INDEX($BR$4:$BR$40,MATCH(ROW()-3,$SJ$4:$SJ$40,0)))</f>
      </c>
      <c r="SL29" t="str">
        <f>IF(COUNTIF('Final Calculation Sheet'!$AL29:$AW29,0)+COUNTIF('Final Calculation Sheet'!$AY29:$BS29,0)&gt;0,0,1)</f>
      </c>
      <c r="SM29" t="str">
        <f>IF($BW$29="",FALSE,SUMPRODUCT(('Final Calculation Sheet'!$M$4:$M$40=$BW$29)*($SL$4:$SL$40=1))&gt;0)</f>
      </c>
      <c r="SN29" t="str">
        <f>=$SN28+--($SM29)</f>
      </c>
      <c r="SO29" t="str">
        <f>IF(ROW()-3&gt;MAX($SN$4:$SN$40),"",INDEX($BW$4:$BW$40,MATCH(ROW()-3,$SN$4:$SN$40,0)))</f>
      </c>
      <c r="SP29" t="str">
        <f>IF(COUNTIF('Final Calculation Sheet'!$AL29:$AX29,0)+COUNTIF('Final Calculation Sheet'!$AZ29:$BS29,0)&gt;0,0,1)</f>
      </c>
      <c r="SQ29" t="str">
        <f>IF($CB$29="",FALSE,SUMPRODUCT(('Final Calculation Sheet'!$N$4:$N$40=$CB$29)*($SP$4:$SP$40=1))&gt;0)</f>
      </c>
      <c r="SR29" t="str">
        <f>=$SR28+--($SQ29)</f>
      </c>
      <c r="SS29" t="str">
        <f>IF(ROW()-3&gt;MAX($SR$4:$SR$40),"",INDEX($CB$4:$CB$40,MATCH(ROW()-3,$SR$4:$SR$40,0)))</f>
      </c>
      <c r="ST29" t="str">
        <f>IF(COUNTIF('Final Calculation Sheet'!$AL29:$AY29,0)+COUNTIF('Final Calculation Sheet'!$BA29:$BS29,0)&gt;0,0,1)</f>
      </c>
      <c r="SU29" t="str">
        <f>IF($CG$29="",FALSE,SUMPRODUCT(('Final Calculation Sheet'!$O$4:$O$40=$CG$29)*($ST$4:$ST$40=1))&gt;0)</f>
      </c>
      <c r="SV29" t="str">
        <f>=$SV28+--($SU29)</f>
      </c>
      <c r="SW29" t="str">
        <f>IF(ROW()-3&gt;MAX($SV$4:$SV$40),"",INDEX($CG$4:$CG$40,MATCH(ROW()-3,$SV$4:$SV$40,0)))</f>
      </c>
      <c r="SX29" t="str">
        <f>IF(COUNTIF('Final Calculation Sheet'!$AL29:$AZ29,0)+COUNTIF('Final Calculation Sheet'!$BB29:$BS29,0)&gt;0,0,1)</f>
      </c>
      <c r="SY29" t="str">
        <f>IF($CL$29="",FALSE,SUMPRODUCT(('Final Calculation Sheet'!$P$4:$P$40=$CL$29)*($SX$4:$SX$40=1))&gt;0)</f>
      </c>
      <c r="SZ29" t="str">
        <f>=$SZ28+--($SY29)</f>
      </c>
      <c r="TA29" t="str">
        <f>IF(ROW()-3&gt;MAX($SZ$4:$SZ$40),"",INDEX($CL$4:$CL$40,MATCH(ROW()-3,$SZ$4:$SZ$40,0)))</f>
      </c>
      <c r="TB29" t="str">
        <f>IF(COUNTIF('Final Calculation Sheet'!$AL29:$BA29,0)+COUNTIF('Final Calculation Sheet'!$BC29:$BS29,0)&gt;0,0,1)</f>
      </c>
      <c r="TC29" t="str">
        <f>IF($CQ$29="",FALSE,SUMPRODUCT(('Final Calculation Sheet'!$Q$4:$Q$40=$CQ$29)*($TB$4:$TB$40=1))&gt;0)</f>
      </c>
      <c r="TD29" t="str">
        <f>=$TD28+--($TC29)</f>
      </c>
      <c r="TE29" t="str">
        <f>IF(ROW()-3&gt;MAX($TD$4:$TD$40),"",INDEX($CQ$4:$CQ$40,MATCH(ROW()-3,$TD$4:$TD$40,0)))</f>
      </c>
      <c r="TF29" t="str">
        <f>IF(COUNTIF('Final Calculation Sheet'!$AL29:$BB29,0)+COUNTIF('Final Calculation Sheet'!$BD29:$BS29,0)&gt;0,0,1)</f>
      </c>
      <c r="TG29" t="str">
        <f>IF($CV$29="",FALSE,SUMPRODUCT(('Final Calculation Sheet'!$R$4:$R$40=$CV$29)*($TF$4:$TF$40=1))&gt;0)</f>
      </c>
      <c r="TH29" t="str">
        <f>=$TH28+--($TG29)</f>
      </c>
      <c r="TI29" t="str">
        <f>IF(ROW()-3&gt;MAX($TH$4:$TH$40),"",INDEX($CV$4:$CV$40,MATCH(ROW()-3,$TH$4:$TH$40,0)))</f>
      </c>
      <c r="TJ29" t="str">
        <f>IF(COUNTIF('Final Calculation Sheet'!$AL29:$BC29,0)+COUNTIF('Final Calculation Sheet'!$BE29:$BS29,0)&gt;0,0,1)</f>
      </c>
      <c r="TK29" t="str">
        <f>IF($DA$29="",FALSE,SUMPRODUCT(('Final Calculation Sheet'!$S$4:$S$40=$DA$29)*($TJ$4:$TJ$40=1))&gt;0)</f>
      </c>
      <c r="TL29" t="str">
        <f>=$TL28+--($TK29)</f>
      </c>
      <c r="TM29" t="str">
        <f>IF(ROW()-3&gt;MAX($TL$4:$TL$40),"",INDEX($DA$4:$DA$40,MATCH(ROW()-3,$TL$4:$TL$40,0)))</f>
      </c>
      <c r="TN29" t="str">
        <f>IF(COUNTIF('Final Calculation Sheet'!$AL29:$BD29,0)+COUNTIF('Final Calculation Sheet'!$BF29:$BS29,0)&gt;0,0,1)</f>
      </c>
      <c r="TO29" t="str">
        <f>IF($DF$29="",FALSE,SUMPRODUCT(('Final Calculation Sheet'!$T$4:$T$40=$DF$29)*($TN$4:$TN$40=1))&gt;0)</f>
      </c>
      <c r="TP29" t="str">
        <f>=$TP28+--($TO29)</f>
      </c>
      <c r="TQ29" t="str">
        <f>IF(ROW()-3&gt;MAX($TP$4:$TP$40),"",INDEX($DF$4:$DF$40,MATCH(ROW()-3,$TP$4:$TP$40,0)))</f>
      </c>
      <c r="TR29" t="str">
        <f>IF(COUNTIF('Final Calculation Sheet'!$AL29:$BE29,0)+COUNTIF('Final Calculation Sheet'!$BG29:$BS29,0)&gt;0,0,1)</f>
      </c>
      <c r="TS29" t="str">
        <f>IF($DK$29="",FALSE,SUMPRODUCT(('Final Calculation Sheet'!$U$4:$U$40=$DK$29)*($TR$4:$TR$40=1))&gt;0)</f>
      </c>
      <c r="TT29" t="str">
        <f>=$TT28+--($TS29)</f>
      </c>
      <c r="TU29" t="str">
        <f>IF(ROW()-3&gt;MAX($TT$4:$TT$40),"",INDEX($DK$4:$DK$40,MATCH(ROW()-3,$TT$4:$TT$40,0)))</f>
      </c>
      <c r="TV29" t="str">
        <f>IF(COUNTIF('Final Calculation Sheet'!$AL29:$BF29,0)+COUNTIF('Final Calculation Sheet'!$BH29:$BS29,0)&gt;0,0,1)</f>
      </c>
      <c r="TW29" t="str">
        <f>IF($DP$29="",FALSE,SUMPRODUCT(('Final Calculation Sheet'!$V$4:$V$40=$DP$29)*($TV$4:$TV$40=1))&gt;0)</f>
      </c>
      <c r="TX29" t="str">
        <f>=$TX28+--($TW29)</f>
      </c>
      <c r="TY29" t="str">
        <f>IF(ROW()-3&gt;MAX($TX$4:$TX$40),"",INDEX($DP$4:$DP$40,MATCH(ROW()-3,$TX$4:$TX$40,0)))</f>
      </c>
      <c r="TZ29" t="str">
        <f>IF(COUNTIF('Final Calculation Sheet'!$AL29:$BG29,0)+COUNTIF('Final Calculation Sheet'!$BI29:$BS29,0)&gt;0,0,1)</f>
      </c>
      <c r="UA29" t="str">
        <f>IF($DU$29="",FALSE,SUMPRODUCT(('Final Calculation Sheet'!$W$4:$W$40=$DU$29)*($TZ$4:$TZ$40=1))&gt;0)</f>
      </c>
      <c r="UB29" t="str">
        <f>=$UB28+--($UA29)</f>
      </c>
      <c r="UC29" t="str">
        <f>IF(ROW()-3&gt;MAX($UB$4:$UB$40),"",INDEX($DU$4:$DU$40,MATCH(ROW()-3,$UB$4:$UB$40,0)))</f>
      </c>
      <c r="UD29" t="str">
        <f>IF(COUNTIF('Final Calculation Sheet'!$AL29:$BH29,0)+COUNTIF('Final Calculation Sheet'!$BJ29:$BS29,0)&gt;0,0,1)</f>
      </c>
      <c r="UE29" t="str">
        <f>IF($DZ$29="",FALSE,SUMPRODUCT(('Final Calculation Sheet'!$X$4:$X$40=$DZ$29)*($UD$4:$UD$40=1))&gt;0)</f>
      </c>
      <c r="UF29" t="str">
        <f>=$UF28+--($UE29)</f>
      </c>
      <c r="UG29" t="str">
        <f>IF(ROW()-3&gt;MAX($UF$4:$UF$40),"",INDEX($DZ$4:$DZ$40,MATCH(ROW()-3,$UF$4:$UF$40,0)))</f>
      </c>
      <c r="UH29" t="str">
        <f>IF(COUNTIF('Final Calculation Sheet'!$AL29:$BI29,0)+COUNTIF('Final Calculation Sheet'!$BK29:$BS29,0)&gt;0,0,1)</f>
      </c>
      <c r="UI29" t="str">
        <f>IF($EE$29="",FALSE,SUMPRODUCT(('Final Calculation Sheet'!$Y$4:$Y$40=$EE$29)*($UH$4:$UH$40=1))&gt;0)</f>
      </c>
      <c r="UJ29" t="str">
        <f>=$UJ28+--($UI29)</f>
      </c>
      <c r="UK29" t="str">
        <f>IF(ROW()-3&gt;MAX($UJ$4:$UJ$40),"",INDEX($EE$4:$EE$40,MATCH(ROW()-3,$UJ$4:$UJ$40,0)))</f>
      </c>
      <c r="UL29" t="str">
        <f>IF(COUNTIF('Final Calculation Sheet'!$AL29:$BJ29,0)+COUNTIF('Final Calculation Sheet'!$BL29:$BS29,0)&gt;0,0,1)</f>
      </c>
      <c r="UM29" t="str">
        <f>IF($EJ$29="",FALSE,SUMPRODUCT(('Final Calculation Sheet'!$Z$4:$Z$40=$EJ$29)*($UL$4:$UL$40=1))&gt;0)</f>
      </c>
      <c r="UN29" t="str">
        <f>=$UN28+--($UM29)</f>
      </c>
      <c r="UO29" t="str">
        <f>IF(ROW()-3&gt;MAX($UN$4:$UN$40),"",INDEX($EJ$4:$EJ$40,MATCH(ROW()-3,$UN$4:$UN$40,0)))</f>
      </c>
      <c r="UP29" t="str">
        <f>IF(COUNTIF('Final Calculation Sheet'!$AL29:$BK29,0)+COUNTIF('Final Calculation Sheet'!$BM29:$BS29,0)&gt;0,0,1)</f>
      </c>
      <c r="UQ29" t="str">
        <f>IF($EO$29="",FALSE,SUMPRODUCT(('Final Calculation Sheet'!$AA$4:$AA$40=$EO$29)*($UP$4:$UP$40=1))&gt;0)</f>
      </c>
      <c r="UR29" t="str">
        <f>=$UR28+--($UQ29)</f>
      </c>
      <c r="US29" t="str">
        <f>IF(ROW()-3&gt;MAX($UR$4:$UR$40),"",INDEX($EO$4:$EO$40,MATCH(ROW()-3,$UR$4:$UR$40,0)))</f>
      </c>
      <c r="UT29" t="str">
        <f>IF(COUNTIF('Final Calculation Sheet'!$AL29:$BL29,0)+COUNTIF('Final Calculation Sheet'!$BN29:$BS29,0)&gt;0,0,1)</f>
      </c>
      <c r="UU29" t="str">
        <f>IF($ET$29="",FALSE,SUMPRODUCT(('Final Calculation Sheet'!$AB$4:$AB$40=$ET$29)*($UT$4:$UT$40=1))&gt;0)</f>
      </c>
      <c r="UV29" t="str">
        <f>=$UV28+--($UU29)</f>
      </c>
      <c r="UW29" t="str">
        <f>IF(ROW()-3&gt;MAX($UV$4:$UV$40),"",INDEX($ET$4:$ET$40,MATCH(ROW()-3,$UV$4:$UV$40,0)))</f>
      </c>
      <c r="UX29" t="str">
        <f>IF(COUNTIF('Final Calculation Sheet'!$AL29:$BM29,0)+COUNTIF('Final Calculation Sheet'!$BO29:$BS29,0)&gt;0,0,1)</f>
      </c>
      <c r="UY29" t="str">
        <f>IF($EY$29="",FALSE,SUMPRODUCT(('Final Calculation Sheet'!$AC$4:$AC$40=$EY$29)*($UX$4:$UX$40=1))&gt;0)</f>
      </c>
      <c r="UZ29" t="str">
        <f>=$UZ28+--($UY29)</f>
      </c>
      <c r="VA29" t="str">
        <f>IF(ROW()-3&gt;MAX($UZ$4:$UZ$40),"",INDEX($EY$4:$EY$40,MATCH(ROW()-3,$UZ$4:$UZ$40,0)))</f>
      </c>
      <c r="VB29" t="str">
        <f>IF(COUNTIF('Final Calculation Sheet'!$AL29:$BN29,0)+COUNTIF('Final Calculation Sheet'!$BP29:$BS29,0)&gt;0,0,1)</f>
      </c>
      <c r="VC29" t="str">
        <f>IF($FD$29="",FALSE,SUMPRODUCT(('Final Calculation Sheet'!$AD$4:$AD$40=$FD$29)*($VB$4:$VB$40=1))&gt;0)</f>
      </c>
      <c r="VD29" t="str">
        <f>=$VD28+--($VC29)</f>
      </c>
      <c r="VE29" t="str">
        <f>IF(ROW()-3&gt;MAX($VD$4:$VD$40),"",INDEX($FD$4:$FD$40,MATCH(ROW()-3,$VD$4:$VD$40,0)))</f>
      </c>
      <c r="VF29" t="str">
        <f>IF(COUNTIF('Final Calculation Sheet'!$AL29:$BO29,0)+COUNTIF('Final Calculation Sheet'!$BQ29:$BS29,0)&gt;0,0,1)</f>
      </c>
      <c r="VG29" t="str">
        <f>IF($FI$29="",FALSE,SUMPRODUCT(('Final Calculation Sheet'!$AE$4:$AE$40=$FI$29)*($VF$4:$VF$40=1))&gt;0)</f>
      </c>
      <c r="VH29" t="str">
        <f>=$VH28+--($VG29)</f>
      </c>
      <c r="VI29" t="str">
        <f>IF(ROW()-3&gt;MAX($VH$4:$VH$40),"",INDEX($FI$4:$FI$40,MATCH(ROW()-3,$VH$4:$VH$40,0)))</f>
      </c>
      <c r="VJ29" t="str">
        <f>IF(COUNTIF('Final Calculation Sheet'!$AL29:$BP29,0)+COUNTIF('Final Calculation Sheet'!$BR29:$BS29,0)&gt;0,0,1)</f>
      </c>
      <c r="VK29" t="str">
        <f>IF($FN$29="",FALSE,SUMPRODUCT(('Final Calculation Sheet'!$AF$4:$AF$40=$FN$29)*($VJ$4:$VJ$40=1))&gt;0)</f>
      </c>
      <c r="VL29" t="str">
        <f>=$VL28+--($VK29)</f>
      </c>
      <c r="VM29" t="str">
        <f>IF(ROW()-3&gt;MAX($VL$4:$VL$40),"",INDEX($FN$4:$FN$40,MATCH(ROW()-3,$VL$4:$VL$40,0)))</f>
      </c>
      <c r="VN29" t="str">
        <f>IF(COUNTIF('Final Calculation Sheet'!$AL29:$BQ29,0)+COUNTIF('Final Calculation Sheet'!$BS29:$BS29,0)&gt;0,0,1)</f>
      </c>
      <c r="VO29" t="str">
        <f>IF($FS$29="",FALSE,SUMPRODUCT(('Final Calculation Sheet'!$AG$4:$AG$40=$FS$29)*($VN$4:$VN$40=1))&gt;0)</f>
      </c>
      <c r="VP29" t="str">
        <f>=$VP28+--($VO29)</f>
      </c>
      <c r="VQ29" t="str">
        <f>IF(ROW()-3&gt;MAX($VP$4:$VP$40),"",INDEX($FS$4:$FS$40,MATCH(ROW()-3,$VP$4:$VP$40,0)))</f>
      </c>
      <c r="VR29" t="str">
        <f>IF(COUNTIF('Final Calculation Sheet'!$AL29:$BR29,0)&gt;0,0,1)</f>
      </c>
      <c r="VS29" t="str">
        <f>IF($QO$29="",FALSE,SUMPRODUCT(('Final Calculation Sheet'!$AH$4:$AH$40=$QO$29)*($VR$4:$VR$40=1))&gt;0)</f>
      </c>
      <c r="VT29" t="str">
        <f>=$VT28+--($VS29)</f>
      </c>
      <c r="VU29" t="str">
        <f>IF(ROW()-3&gt;MAX($VT$4:$VT$40),"",INDEX($QO$4:$QO$40,MATCH(ROW()-3,$VT$4:$VT$40,0)))</f>
      </c>
    </row>
    <row r="30">
      <c r="A30">
        <f>IF(IFERROR('Final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IF(IFERROR('Final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s="55">
        <f>IF('Final Calculation Sheet'!$C$30="","",'Final Calculation Sheet'!$C$30)</f>
        <v/>
      </c>
      <c r="AP30">
        <f>IF(AO30="","",COUNTIFS(AO$4:AO$40,"&lt;"&amp;AO30,AO$4:AO$40,"&lt;&gt;"&amp;"")+COUNTIF(AO$4:AO30,AO30))</f>
        <v/>
      </c>
      <c r="AQ30" s="55">
        <f>IF(ROW()-3&gt;COUNTIF(AO$4:AO$40,"&lt;&gt;"&amp;""),"",INDEX(AO$4:AO$40,MATCH(ROW()-3,AP$4:AP$40,0)))</f>
        <v/>
      </c>
      <c r="AR30">
        <f>AR29+IF(AND(AQ30&lt;&gt;"",COUNTIF(AQ$4:AQ30,AQ30)=1),1,0)</f>
        <v/>
      </c>
      <c r="AS30" s="55">
        <f>IF(ROW()-3&gt;MAX(AR$4:AR$40),"",INDEX(AQ$4:AQ$40,MATCH(ROW()-3,AR$4:AR$40,0)))</f>
        <v/>
      </c>
      <c r="AT30" s="55">
        <f>IF('Final Calculation Sheet'!$H$30="","",'Final Calculation Sheet'!$H$30)</f>
        <v/>
      </c>
      <c r="AU30">
        <f>IF(AT30="","",COUNTIFS(AT$4:AT$40,"&lt;"&amp;AT30,AT$4:AT$40,"&lt;&gt;"&amp;"")+COUNTIF(AT$4:AT30,AT30))</f>
        <v/>
      </c>
      <c r="AV30" s="55">
        <f>IF(ROW()-3&gt;COUNTIF(AT$4:AT$40,"&lt;&gt;"&amp;""),"",INDEX(AT$4:AT$40,MATCH(ROW()-3,AU$4:AU$40,0)))</f>
        <v/>
      </c>
      <c r="AW30">
        <f>AW29+IF(AND(AV30&lt;&gt;"",COUNTIF(AV$4:AV30,AV30)=1),1,0)</f>
        <v/>
      </c>
      <c r="AX30" s="55">
        <f>IF(ROW()-3&gt;MAX(AW$4:AW$40),"",INDEX(AV$4:AV$40,MATCH(ROW()-3,AW$4:AW$40,0)))</f>
        <v/>
      </c>
      <c r="AY30" s="55">
        <f>IF('Final Calculation Sheet'!$I$30="","",'Final Calculation Sheet'!$I$30)</f>
        <v/>
      </c>
      <c r="AZ30">
        <f>IF(AY30="","",COUNTIFS(AY$4:AY$40,"&lt;"&amp;AY30,AY$4:AY$40,"&lt;&gt;"&amp;"")+COUNTIF(AY$4:AY30,AY30))</f>
        <v/>
      </c>
      <c r="BA30" s="55">
        <f>IF(ROW()-3&gt;COUNTIF(AY$4:AY$40,"&lt;&gt;"&amp;""),"",INDEX(AY$4:AY$40,MATCH(ROW()-3,AZ$4:AZ$40,0)))</f>
        <v/>
      </c>
      <c r="BB30">
        <f>BB29+IF(AND(BA30&lt;&gt;"",COUNTIF(BA$4:BA30,BA30)=1),1,0)</f>
        <v/>
      </c>
      <c r="BC30" s="55">
        <f>IF(ROW()-3&gt;MAX(BB$4:BB$40),"",INDEX(BA$4:BA$40,MATCH(ROW()-3,BB$4:BB$40,0)))</f>
        <v/>
      </c>
      <c r="BD30" s="55">
        <f>IF('Final Calculation Sheet'!$J$30="","",'Final Calculation Sheet'!$J$30)</f>
        <v/>
      </c>
      <c r="BE30">
        <f>IF(BD30="","",COUNTIFS(BD$4:BD$40,"&lt;"&amp;BD30,BD$4:BD$40,"&lt;&gt;"&amp;"")+COUNTIF(BD$4:BD30,BD30))</f>
        <v/>
      </c>
      <c r="BF30" s="55">
        <f>IF(ROW()-3&gt;COUNTIF(BD$4:BD$40,"&lt;&gt;"&amp;""),"",INDEX(BD$4:BD$40,MATCH(ROW()-3,BE$4:BE$40,0)))</f>
        <v/>
      </c>
      <c r="BG30">
        <f>BG29+IF(AND(BF30&lt;&gt;"",COUNTIF(BF$4:BF30,BF30)=1),1,0)</f>
        <v/>
      </c>
      <c r="BH30" s="55">
        <f>IF(ROW()-3&gt;MAX(BG$4:BG$40),"",INDEX(BF$4:BF$40,MATCH(ROW()-3,BG$4:BG$40,0)))</f>
        <v/>
      </c>
      <c r="BI30" s="55">
        <f>IF('Final Calculation Sheet'!$K$30="","",'Final Calculation Sheet'!$K$30)</f>
        <v/>
      </c>
      <c r="BJ30">
        <f>IF(BI30="","",COUNTIFS(BI$4:BI$40,"&lt;"&amp;BI30,BI$4:BI$40,"&lt;&gt;"&amp;"")+COUNTIF(BI$4:BI30,BI30))</f>
        <v/>
      </c>
      <c r="BK30" s="55">
        <f>IF(ROW()-3&gt;COUNTIF(BI$4:BI$40,"&lt;&gt;"&amp;""),"",INDEX(BI$4:BI$40,MATCH(ROW()-3,BJ$4:BJ$40,0)))</f>
        <v/>
      </c>
      <c r="BL30">
        <f>BL29+IF(AND(BK30&lt;&gt;"",COUNTIF(BK$4:BK30,BK30)=1),1,0)</f>
        <v/>
      </c>
      <c r="BM30" s="55">
        <f>IF(ROW()-3&gt;MAX(BL$4:BL$40),"",INDEX(BK$4:BK$40,MATCH(ROW()-3,BL$4:BL$40,0)))</f>
        <v/>
      </c>
      <c r="BN30" s="55">
        <f>IF('Final Calculation Sheet'!$L$30="","",'Final Calculation Sheet'!$L$30)</f>
        <v/>
      </c>
      <c r="BO30">
        <f>IF(BN30="","",COUNTIFS(BN$4:BN$40,"&lt;"&amp;BN30,BN$4:BN$40,"&lt;&gt;"&amp;"")+COUNTIF(BN$4:BN30,BN30))</f>
        <v/>
      </c>
      <c r="BP30" s="55">
        <f>IF(ROW()-3&gt;COUNTIF(BN$4:BN$40,"&lt;&gt;"&amp;""),"",INDEX(BN$4:BN$40,MATCH(ROW()-3,BO$4:BO$40,0)))</f>
        <v/>
      </c>
      <c r="BQ30">
        <f>BQ29+IF(AND(BP30&lt;&gt;"",COUNTIF(BP$4:BP30,BP30)=1),1,0)</f>
        <v/>
      </c>
      <c r="BR30" s="55">
        <f>IF(ROW()-3&gt;MAX(BQ$4:BQ$40),"",INDEX(BP$4:BP$40,MATCH(ROW()-3,BQ$4:BQ$40,0)))</f>
        <v/>
      </c>
      <c r="BS30" s="55">
        <f>IF('Final Calculation Sheet'!$M$30="","",'Final Calculation Sheet'!$M$30)</f>
        <v/>
      </c>
      <c r="BT30">
        <f>IF(BS30="","",COUNTIFS(BS$4:BS$40,"&lt;"&amp;BS30,BS$4:BS$40,"&lt;&gt;"&amp;"")+COUNTIF(BS$4:BS30,BS30))</f>
        <v/>
      </c>
      <c r="BU30" s="55">
        <f>IF(ROW()-3&gt;COUNTIF(BS$4:BS$40,"&lt;&gt;"&amp;""),"",INDEX(BS$4:BS$40,MATCH(ROW()-3,BT$4:BT$40,0)))</f>
        <v/>
      </c>
      <c r="BV30">
        <f>BV29+IF(AND(BU30&lt;&gt;"",COUNTIF(BU$4:BU30,BU30)=1),1,0)</f>
        <v/>
      </c>
      <c r="BW30" s="55">
        <f>IF(ROW()-3&gt;MAX(BV$4:BV$40),"",INDEX(BU$4:BU$40,MATCH(ROW()-3,BV$4:BV$40,0)))</f>
        <v/>
      </c>
      <c r="BX30" s="138">
        <f>IF('Final Calculation Sheet'!$N$30="","",'Final Calculation Sheet'!$N$30)</f>
        <v/>
      </c>
      <c r="BY30">
        <f>IF(BX30="","",COUNTIFS(BX$4:BX$40,"&lt;"&amp;BX30,BX$4:BX$40,"&lt;&gt;"&amp;"")+COUNTIF(BX$4:BX30,BX30))</f>
        <v/>
      </c>
      <c r="BZ30" s="138">
        <f>IF(ROW()-3&gt;COUNTIF(BX$4:BX$40,"&lt;&gt;"&amp;""),"",INDEX(BX$4:BX$40,MATCH(ROW()-3,BY$4:BY$40,0)))</f>
        <v/>
      </c>
      <c r="CA30">
        <f>CA29+IF(AND(BZ30&lt;&gt;"",COUNTIF(BZ$4:BZ30,BZ30)=1),1,0)</f>
        <v/>
      </c>
      <c r="CB30" s="138">
        <f>IF(ROW()-3&gt;MAX(CA$4:CA$40),"",INDEX(BZ$4:BZ$40,MATCH(ROW()-3,CA$4:CA$40,0)))</f>
        <v/>
      </c>
      <c r="CC30" s="55">
        <f>IF('Final Calculation Sheet'!$O$30="","",'Final Calculation Sheet'!$O$30)</f>
        <v/>
      </c>
      <c r="CD30">
        <f>IF(CC30="","",COUNTIFS(CC$4:CC$40,"&lt;"&amp;CC30,CC$4:CC$40,"&lt;&gt;"&amp;"")+COUNTIF(CC$4:CC30,CC30))</f>
        <v/>
      </c>
      <c r="CE30" s="55">
        <f>IF(ROW()-3&gt;COUNTIF(CC$4:CC$40,"&lt;&gt;"&amp;""),"",INDEX(CC$4:CC$40,MATCH(ROW()-3,CD$4:CD$40,0)))</f>
        <v/>
      </c>
      <c r="CF30">
        <f>CF29+IF(AND(CE30&lt;&gt;"",COUNTIF(CE$4:CE30,CE30)=1),1,0)</f>
        <v/>
      </c>
      <c r="CG30" s="55">
        <f>IF(ROW()-3&gt;MAX(CF$4:CF$40),"",INDEX(CE$4:CE$40,MATCH(ROW()-3,CF$4:CF$40,0)))</f>
        <v/>
      </c>
      <c r="CH30" s="55">
        <f>IF('Final Calculation Sheet'!$P$30="","",'Final Calculation Sheet'!$P$30)</f>
        <v/>
      </c>
      <c r="CI30">
        <f>IF(CH30="","",COUNTIFS(CH$4:CH$40,"&lt;"&amp;CH30,CH$4:CH$40,"&lt;&gt;"&amp;"")+COUNTIF(CH$4:CH30,CH30))</f>
        <v/>
      </c>
      <c r="CJ30" s="55">
        <f>IF(ROW()-3&gt;COUNTIF(CH$4:CH$40,"&lt;&gt;"&amp;""),"",INDEX(CH$4:CH$40,MATCH(ROW()-3,CI$4:CI$40,0)))</f>
        <v/>
      </c>
      <c r="CK30">
        <f>CK29+IF(AND(CJ30&lt;&gt;"",COUNTIF(CJ$4:CJ30,CJ30)=1),1,0)</f>
        <v/>
      </c>
      <c r="CL30" s="55">
        <f>IF(ROW()-3&gt;MAX(CK$4:CK$40),"",INDEX(CJ$4:CJ$40,MATCH(ROW()-3,CK$4:CK$40,0)))</f>
        <v/>
      </c>
      <c r="CM30" s="139">
        <f>IF('Final Calculation Sheet'!$Q$30="","",'Final Calculation Sheet'!$Q$30)</f>
        <v/>
      </c>
      <c r="CN30">
        <f>IF(CM30="","",COUNTIFS(CM$4:CM$40,"&lt;"&amp;CM30,CM$4:CM$40,"&lt;&gt;"&amp;"")+COUNTIF(CM$4:CM30,CM30))</f>
        <v/>
      </c>
      <c r="CO30" s="139">
        <f>IF(ROW()-3&gt;COUNTIF(CM$4:CM$40,"&lt;&gt;"&amp;""),"",INDEX(CM$4:CM$40,MATCH(ROW()-3,CN$4:CN$40,0)))</f>
        <v/>
      </c>
      <c r="CP30">
        <f>CP29+IF(AND(CO30&lt;&gt;"",COUNTIF(CO$4:CO30,CO30)=1),1,0)</f>
        <v/>
      </c>
      <c r="CQ30">
        <f>IF(ROW()-3&gt;MAX(CP$4:CP$40),"",INDEX(CO$4:CO$40,MATCH(ROW()-3,CP$4:CP$40,0)))</f>
        <v/>
      </c>
      <c r="CR30" s="55">
        <f>IF('Final Calculation Sheet'!$R$30="","",'Final Calculation Sheet'!$R$30)</f>
        <v/>
      </c>
      <c r="CS30">
        <f>IF(CR30="","",COUNTIFS(CR$4:CR$40,"&lt;"&amp;CR30,CR$4:CR$40,"&lt;&gt;"&amp;"")+COUNTIF(CR$4:CR30,CR30))</f>
        <v/>
      </c>
      <c r="CT30" s="55">
        <f>IF(ROW()-3&gt;COUNTIF(CR$4:CR$40,"&lt;&gt;"&amp;""),"",INDEX(CR$4:CR$40,MATCH(ROW()-3,CS$4:CS$40,0)))</f>
        <v/>
      </c>
      <c r="CU30">
        <f>CU29+IF(AND(CT30&lt;&gt;"",COUNTIF(CT$4:CT30,CT30)=1),1,0)</f>
        <v/>
      </c>
      <c r="CV30">
        <f>IF(ROW()-3&gt;MAX(CU$4:CU$40),"",INDEX(CT$4:CT$40,MATCH(ROW()-3,CU$4:CU$40,0)))</f>
        <v/>
      </c>
      <c r="CW30" s="55">
        <f>IF('Final Calculation Sheet'!$S$30="","",'Final Calculation Sheet'!$S$30)</f>
        <v/>
      </c>
      <c r="CX30">
        <f>IF(CW30="","",COUNTIFS(CW$4:CW$40,"&lt;"&amp;CW30,CW$4:CW$40,"&lt;&gt;"&amp;"")+COUNTIF(CW$4:CW30,CW30))</f>
        <v/>
      </c>
      <c r="CY30" s="55">
        <f>IF(ROW()-3&gt;COUNTIF(CW$4:CW$40,"&lt;&gt;"&amp;""),"",INDEX(CW$4:CW$40,MATCH(ROW()-3,CX$4:CX$40,0)))</f>
        <v/>
      </c>
      <c r="CZ30">
        <f>CZ29+IF(AND(CY30&lt;&gt;"",COUNTIF(CY$4:CY30,CY30)=1),1,0)</f>
        <v/>
      </c>
      <c r="DA30" s="55">
        <f>IF(ROW()-3&gt;MAX(CZ$4:CZ$40),"",INDEX(CY$4:CY$40,MATCH(ROW()-3,CZ$4:CZ$40,0)))</f>
        <v/>
      </c>
      <c r="DB30" s="55">
        <f>IF('Final Calculation Sheet'!$T$30="","",'Final Calculation Sheet'!$T$30)</f>
        <v/>
      </c>
      <c r="DC30">
        <f>IF(DB30="","",COUNTIFS(DB$4:DB$40,"&lt;"&amp;DB30,DB$4:DB$40,"&lt;&gt;"&amp;"")+COUNTIF(DB$4:DB30,DB30))</f>
        <v/>
      </c>
      <c r="DD30" s="55">
        <f>IF(ROW()-3&gt;COUNTIF(DB$4:DB$40,"&lt;&gt;"&amp;""),"",INDEX(DB$4:DB$40,MATCH(ROW()-3,DC$4:DC$40,0)))</f>
        <v/>
      </c>
      <c r="DE30">
        <f>DE29+IF(AND(DD30&lt;&gt;"",COUNTIF(DD$4:DD30,DD30)=1),1,0)</f>
        <v/>
      </c>
      <c r="DF30" s="55">
        <f>IF(ROW()-3&gt;MAX(DE$4:DE$40),"",INDEX(DD$4:DD$40,MATCH(ROW()-3,DE$4:DE$40,0)))</f>
        <v/>
      </c>
      <c r="DG30" s="140">
        <f>IF('Final Calculation Sheet'!$U$30="","",'Final Calculation Sheet'!$U$30)</f>
        <v/>
      </c>
      <c r="DH30">
        <f>IF(DG30="","",COUNTIFS(DG$4:DG$40,"&lt;"&amp;DG30,DG$4:DG$40,"&lt;&gt;"&amp;"")+COUNTIF(DG$4:DG30,DG30))</f>
        <v/>
      </c>
      <c r="DI30" s="140">
        <f>IF(ROW()-3&gt;COUNTIF(DG$4:DG$40,"&lt;&gt;"&amp;""),"",INDEX(DG$4:DG$40,MATCH(ROW()-3,DH$4:DH$40,0)))</f>
        <v/>
      </c>
      <c r="DJ30">
        <f>DJ29+IF(AND(DI30&lt;&gt;"",COUNTIF(DI$4:DI30,DI30)=1),1,0)</f>
        <v/>
      </c>
      <c r="DK30" s="14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s="55">
        <f>IF('Final Calculation Sheet'!$W$30="","",'Final Calculation Sheet'!$W$30)</f>
        <v/>
      </c>
      <c r="DR30">
        <f>IF(DQ30="","",COUNTIFS(DQ$4:DQ$40,"&lt;"&amp;DQ30,DQ$4:DQ$40,"&lt;&gt;"&amp;"")+COUNTIF(DQ$4:DQ30,DQ30))</f>
        <v/>
      </c>
      <c r="DS30" s="55">
        <f>IF(ROW()-3&gt;COUNTIF(DQ$4:DQ$40,"&lt;&gt;"&amp;""),"",INDEX(DQ$4:DQ$40,MATCH(ROW()-3,DR$4:DR$40,0)))</f>
        <v/>
      </c>
      <c r="DT30">
        <f>DT29+IF(AND(DS30&lt;&gt;"",COUNTIF(DS$4:DS30,DS30)=1),1,0)</f>
        <v/>
      </c>
      <c r="DU30" s="55">
        <f>IF(ROW()-3&gt;MAX(DT$4:DT$40),"",INDEX(DS$4:DS$40,MATCH(ROW()-3,DT$4:DT$40,0)))</f>
        <v/>
      </c>
      <c r="DV30" s="55">
        <f>IF('Final Calculation Sheet'!$X$30="","",'Final Calculation Sheet'!$X$30)</f>
        <v/>
      </c>
      <c r="DW30">
        <f>IF(DV30="","",COUNTIFS(DV$4:DV$40,"&lt;"&amp;DV30,DV$4:DV$40,"&lt;&gt;"&amp;"")+COUNTIF(DV$4:DV30,DV30))</f>
        <v/>
      </c>
      <c r="DX30" s="55">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s="55">
        <f>IF('Final Calculation Sheet'!$Z$30="","",'Final Calculation Sheet'!$Z$30)</f>
        <v/>
      </c>
      <c r="EG30">
        <f>IF(EF30="","",COUNTIFS(EF$4:EF$40,"&lt;"&amp;EF30,EF$4:EF$40,"&lt;&gt;"&amp;"")+COUNTIF(EF$4:EF30,EF30))</f>
        <v/>
      </c>
      <c r="EH30" s="55">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s="55">
        <f>IF('Final Calculation Sheet'!$AC$30="","",'Final Calculation Sheet'!$AC$30)</f>
        <v/>
      </c>
      <c r="EV30">
        <f>IF(EU30="","",COUNTIFS(EU$4:EU$40,"&lt;"&amp;EU30,EU$4:EU$40,"&lt;&gt;"&amp;"")+COUNTIF(EU$4:EU30,EU30))</f>
        <v/>
      </c>
      <c r="EW30" s="55">
        <f>IF(ROW()-3&gt;COUNTIF(EU$4:EU$40,"&lt;&gt;"&amp;""),"",INDEX(EU$4:EU$40,MATCH(ROW()-3,EV$4:EV$40,0)))</f>
        <v/>
      </c>
      <c r="EX30">
        <f>EX29+IF(AND(EW30&lt;&gt;"",COUNTIF(EW$4:EW30,EW30)=1),1,0)</f>
        <v/>
      </c>
      <c r="EY30" s="55">
        <f>IF(ROW()-3&gt;MAX(EX$4:EX$40),"",INDEX(EW$4:EW$40,MATCH(ROW()-3,EX$4:EX$40,0)))</f>
        <v/>
      </c>
      <c r="EZ30" s="55">
        <f>IF('Final Calculation Sheet'!$AD$30="","",'Final Calculation Sheet'!$AD$30)</f>
        <v/>
      </c>
      <c r="FA30">
        <f>IF(EZ30="","",COUNTIFS(EZ$4:EZ$40,"&lt;"&amp;EZ30,EZ$4:EZ$40,"&lt;&gt;"&amp;"")+COUNTIF(EZ$4:EZ30,EZ30))</f>
        <v/>
      </c>
      <c r="FB30" s="55">
        <f>IF(ROW()-3&gt;COUNTIF(EZ$4:EZ$40,"&lt;&gt;"&amp;""),"",INDEX(EZ$4:EZ$40,MATCH(ROW()-3,FA$4:FA$40,0)))</f>
        <v/>
      </c>
      <c r="FC30">
        <f>FC29+IF(AND(FB30&lt;&gt;"",COUNTIF(FB$4:FB30,FB30)=1),1,0)</f>
        <v/>
      </c>
      <c r="FD30">
        <f>IF(ROW()-3&gt;MAX(FC$4:FC$40),"",INDEX(FB$4:FB$40,MATCH(ROW()-3,FC$4:FC$40,0)))</f>
        <v/>
      </c>
      <c r="FE30">
        <f>IF('Final Calculation Sheet'!$AF$30="","",'Final Calculation Sheet'!$AF$30)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s="141">
        <f>IF('Final Calculation Sheet'!$AG$30="","",'Final Calculation Sheet'!$AG$30)</f>
        <v/>
      </c>
      <c r="FK30">
        <f>IF(FJ30="","",COUNTIFS(FJ$4:FJ$40,"&lt;"&amp;FJ30,FJ$4:FJ$40,"&lt;&gt;"&amp;"")+COUNTIF(FJ$4:FJ30,FJ30))</f>
        <v/>
      </c>
      <c r="FL30" s="141">
        <f>IF(ROW()-3&gt;COUNTIF(FJ$4:FJ$40,"&lt;&gt;"&amp;""),"",INDEX(FJ$4:FJ$40,MATCH(ROW()-3,FK$4:FK$40,0)))</f>
        <v/>
      </c>
      <c r="FM30">
        <f>FM29+IF(AND(FL30&lt;&gt;"",COUNTIF(FL$4:FL30,FL30)=1),1,0)</f>
        <v/>
      </c>
      <c r="FN30">
        <f>IF(ROW()-3&gt;MAX(FM$4:FM$40),"",INDEX(FL$4:FL$40,MATCH(ROW()-3,FM$4:FM$40,0)))</f>
        <v/>
      </c>
      <c r="FO30">
        <f>IF('Final Calculation Sheet'!$AH$30="","",'Final Calculation Sheet'!$AH$30)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c r="FY30">
        <f>IF(COUNTIF('Live Search'!BM$29:BO$29,0)+COUNTIF('Live Search'!BQ$29:CU$29,0)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0">
        <f>IF($Y$30="",FALSE,SUMPRODUCT(('Final Calculation Sheet'!$B$4:$B$40=$Y$30)*($FY$6:$FY$42=1))&gt;0)</f>
        <v/>
      </c>
      <c r="GA30">
        <f>$GA$29+--($FZ$30)</f>
        <v/>
      </c>
      <c r="GB30">
        <f>IF(ROW()-3&gt;MAX($GA$4:$GA$40),"",INDEX($Y$4:$Y$40,MATCH(ROW()-3,$GA$4:$GA$40,0)))</f>
        <v/>
      </c>
      <c r="GC30">
        <f>IF(COUNTIF('Live Search'!BM$29:BM$29,0)+COUNTIF('Live Search'!BO$29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D30">
        <f>IF($O$30="",FALSE,SUMPRODUCT(('Final Calculation Sheet'!$F$4:$F$40=$O$30)*($GC$6:$GC$42=1))&gt;0)</f>
        <v/>
      </c>
      <c r="GE30">
        <f>$GE$29+--($GD30)</f>
        <v/>
      </c>
      <c r="GF30">
        <f>IF(ROW()-3&gt;MAX($GE$4:$GE$40),"",INDEX($O$4:$O$40,MATCH(ROW()-3,$GE$4:$GE$40,0)))</f>
        <v/>
      </c>
      <c r="GG30">
        <f>IF(COUNTIF('Live Search'!BM$29:BN$29,0)+COUNTIF('Live Search'!BP$29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H30">
        <f>IF($T$30="",FALSE,SUMPRODUCT(('Final Calculation Sheet'!$G$4:$G$40=$T$30)*($GG$6:$GG$42=1))&gt;0)</f>
        <v/>
      </c>
      <c r="GI30">
        <f>$GI$29+--($GH30)</f>
        <v/>
      </c>
      <c r="GJ30">
        <f>IF(ROW()-3&gt;MAX($GI$4:$GI$40),"",INDEX($T$4:$T$40,MATCH(ROW()-3,$GI$4:$GI$40,0)))</f>
        <v/>
      </c>
      <c r="GK30">
        <f>IF(COUNTIF('Live Search'!BM$29:BP$29,0)+COUNTIF('Live Search'!BR$29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L30">
        <f>IF($AD$30="",FALSE,SUMPRODUCT(('Final Calculation Sheet'!$D$4:$D$40=$AD$30)*($GK$6:$GK$42=1))&gt;0)</f>
        <v/>
      </c>
      <c r="GM30">
        <f>$GM$29+--($GL30)</f>
        <v/>
      </c>
      <c r="GN30">
        <f>IF(ROW()-3&gt;MAX($GM$4:$GM$40),"",INDEX($AD$4:$AD$40,MATCH(ROW()-3,$GM$4:$GM$40,0)))</f>
        <v/>
      </c>
      <c r="GO30">
        <f>IF(COUNTIF('Live Search'!BM$29:BQ$29,0)+COUNTIF('Live Search'!BS$29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P30">
        <f>IF($AI$30="",FALSE,SUMPRODUCT(('Final Calculation Sheet'!$A$4:$A$40=$AI$30)*($GO$6:$GO$42=1))&gt;0)</f>
        <v/>
      </c>
      <c r="GQ30">
        <f>$GQ$29+--($GP30)</f>
        <v/>
      </c>
      <c r="GR30">
        <f>IF(ROW()-3&gt;MAX($GQ$4:$GQ$40),"",INDEX($AI$4:$AI$40,MATCH(ROW()-3,$GQ$4:$GQ$40,0)))</f>
        <v/>
      </c>
      <c r="GS30">
        <f>IF(COUNTIF('Live Search'!BM$29:BR$29,0)+COUNTIF('Live Search'!BT$29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T30">
        <f>IF($AN$30="",FALSE,SUMPRODUCT(('Final Calculation Sheet'!$E$4:$E$40=$AN$30)*($GS$6:$GS$42=1))&gt;0)</f>
        <v/>
      </c>
      <c r="GU30">
        <f>$GU$29+--($GT30)</f>
        <v/>
      </c>
      <c r="GV30">
        <f>IF(ROW()-3&gt;MAX($GU$4:$GU$40),"",INDEX($AN$4:$AN$40,MATCH(ROW()-3,$GU$4:$GU$40,0)))</f>
        <v/>
      </c>
      <c r="GW30">
        <f>IF(COUNTIF('Live Search'!BM$29:BS$29,0)+COUNTIF('Live Search'!BU$29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GX30">
        <f>IF($AS$30="",FALSE,SUMPRODUCT(('Final Calculation Sheet'!$C$4:$C$40=$AS$30)*($GW$6:$GW$42=1))&gt;0)</f>
        <v/>
      </c>
      <c r="GY30">
        <f>$GY$29+--($GX30)</f>
        <v/>
      </c>
      <c r="GZ30">
        <f>IF(ROW()-3&gt;MAX($GY$4:$GY$40),"",INDEX($AS$4:$AS$40,MATCH(ROW()-3,$GY$4:$GY$40,0)))</f>
        <v/>
      </c>
      <c r="HA30">
        <f>IF(COUNTIF('Live Search'!BM$29:BT$29,0)+COUNTIF('Live Search'!BV$29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B30">
        <f>IF($AX$30="",FALSE,SUMPRODUCT(('Final Calculation Sheet'!$H$4:$H$40=$AX$30)*($HA$6:$HA$42=1))&gt;0)</f>
        <v/>
      </c>
      <c r="HC30">
        <f>$HC$29+--($HB30)</f>
        <v/>
      </c>
      <c r="HD30">
        <f>IF(ROW()-3&gt;MAX($HC$4:$HC$40),"",INDEX($AX$4:$AX$40,MATCH(ROW()-3,$HC$4:$HC$40,0)))</f>
        <v/>
      </c>
      <c r="HE30">
        <f>IF(COUNTIF('Live Search'!BM$29:BU$29,0)+COUNTIF('Live Search'!BW$29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F30">
        <f>IF($BC$30="",FALSE,SUMPRODUCT(('Final Calculation Sheet'!$I$4:$I$40=$BC$30)*($HE$6:$HE$42=1))&gt;0)</f>
        <v/>
      </c>
      <c r="HG30">
        <f>$HG$29+--($HF30)</f>
        <v/>
      </c>
      <c r="HH30">
        <f>IF(ROW()-3&gt;MAX($HG$4:$HG$40),"",INDEX($BC$4:$BC$40,MATCH(ROW()-3,$HG$4:$HG$40,0)))</f>
        <v/>
      </c>
      <c r="HI30">
        <f>IF(COUNTIF('Live Search'!BM$29:BV$29,0)+COUNTIF('Live Search'!BX$29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J30">
        <f>IF($BH$30="",FALSE,SUMPRODUCT(('Final Calculation Sheet'!$J$4:$J$40=$BH$30)*($HI$6:$HI$42=1))&gt;0)</f>
        <v/>
      </c>
      <c r="HK30">
        <f>$HK$29+--($HJ30)</f>
        <v/>
      </c>
      <c r="HL30">
        <f>IF(ROW()-3&gt;MAX($HK$4:$HK$40),"",INDEX($BH$4:$BH$40,MATCH(ROW()-3,$HK$4:$HK$40,0)))</f>
        <v/>
      </c>
      <c r="HM30">
        <f>IF(COUNTIF('Live Search'!BM$29:BW$29,0)+COUNTIF('Live Search'!BY$29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N30">
        <f>IF($BM$30="",FALSE,SUMPRODUCT(('Final Calculation Sheet'!$K$4:$K$40=$BM$30)*($HM$6:$HM$42=1))&gt;0)</f>
        <v/>
      </c>
      <c r="HO30">
        <f>$HO$29+--($HN30)</f>
        <v/>
      </c>
      <c r="HP30">
        <f>IF(ROW()-3&gt;MAX($HO$4:$HO$40),"",INDEX($BM$4:$BM$40,MATCH(ROW()-3,$HO$4:$HO$40,0)))</f>
        <v/>
      </c>
      <c r="HQ30">
        <f>IF(COUNTIF('Live Search'!BM$29:BX$29,0)+COUNTIF('Live Search'!BZ$29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R30">
        <f>IF($BR$30="",FALSE,SUMPRODUCT(('Final Calculation Sheet'!$L$4:$L$40=$BR$30)*($HQ$6:$HQ$42=1))&gt;0)</f>
        <v/>
      </c>
      <c r="HS30">
        <f>$HS$29+--($HR30)</f>
        <v/>
      </c>
      <c r="HT30">
        <f>IF(ROW()-3&gt;MAX($HS$4:$HS$40),"",INDEX($BR$4:$BR$40,MATCH(ROW()-3,$HS$4:$HS$40,0)))</f>
        <v/>
      </c>
      <c r="HU30">
        <f>IF(COUNTIF('Live Search'!BM$29:BY$29,0)+COUNTIF('Live Search'!CA$29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V30">
        <f>IF($BW$30="",FALSE,SUMPRODUCT(('Final Calculation Sheet'!$M$4:$M$40=$BW$30)*($HU$6:$HU$42=1))&gt;0)</f>
        <v/>
      </c>
      <c r="HW30">
        <f>$HW$29+--($HV30)</f>
        <v/>
      </c>
      <c r="HX30">
        <f>IF(ROW()-3&gt;MAX($HW$4:$HW$40),"",INDEX($BW$4:$BW$40,MATCH(ROW()-3,$HW$4:$HW$40,0)))</f>
        <v/>
      </c>
      <c r="HY30">
        <f>IF(COUNTIF('Live Search'!BM$29:BZ$29,0)+COUNTIF('Live Search'!CB$29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HZ30">
        <f>IF($CB$30="",FALSE,SUMPRODUCT(('Final Calculation Sheet'!$N$4:$N$40=$CB$30)*($HY$6:$HY$42=1))&gt;0)</f>
        <v/>
      </c>
      <c r="IA30">
        <f>$IA$29+--($HZ30)</f>
        <v/>
      </c>
      <c r="IB30">
        <f>IF(ROW()-3&gt;MAX($IA$4:$IA$40),"",INDEX($CB$4:$CB$40,MATCH(ROW()-3,$IA$4:$IA$40,0)))</f>
        <v/>
      </c>
      <c r="IC30">
        <f>IF(COUNTIF('Live Search'!BM$29:CA$29,0)+COUNTIF('Live Search'!CC$29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D30">
        <f>IF($CG$30="",FALSE,SUMPRODUCT(('Final Calculation Sheet'!$O$4:$O$40=$CG$30)*($IC$6:$IC$42=1))&gt;0)</f>
        <v/>
      </c>
      <c r="IE30">
        <f>$IE$29+--($ID30)</f>
        <v/>
      </c>
      <c r="IF30">
        <f>IF(ROW()-3&gt;MAX($IE$4:$IE$40),"",INDEX($CG$4:$CG$40,MATCH(ROW()-3,$IE$4:$IE$40,0)))</f>
        <v/>
      </c>
      <c r="IG30">
        <f>IF(COUNTIF('Live Search'!BM$29:CB$29,0)+COUNTIF('Live Search'!CD$29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H30">
        <f>IF($CL$30="",FALSE,SUMPRODUCT(('Final Calculation Sheet'!$P$4:$P$40=$CL$30)*($IG$6:$IG$42=1))&gt;0)</f>
        <v/>
      </c>
      <c r="II30">
        <f>$II$29+--($IH30)</f>
        <v/>
      </c>
      <c r="IJ30">
        <f>IF(ROW()-3&gt;MAX($II$4:$II$40),"",INDEX($CL$4:$CL$40,MATCH(ROW()-3,$II$4:$II$40,0)))</f>
        <v/>
      </c>
      <c r="IK30">
        <f>IF(COUNTIF('Live Search'!BM$29:CC$29,0)+COUNTIF('Live Search'!CE$29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L30">
        <f>IF($CQ$30="",FALSE,SUMPRODUCT(('Final Calculation Sheet'!$Q$4:$Q$40=$CQ$30)*($IK$6:$IK$42=1))&gt;0)</f>
        <v/>
      </c>
      <c r="IM30">
        <f>$IM$29+--($IL30)</f>
        <v/>
      </c>
      <c r="IN30">
        <f>IF(ROW()-3&gt;MAX($IM$4:$IM$40),"",INDEX($CQ$4:$CQ$40,MATCH(ROW()-3,$IM$4:$IM$40,0)))</f>
        <v/>
      </c>
      <c r="IO30">
        <f>IF(COUNTIF('Live Search'!BM$29:CD$29,0)+COUNTIF('Live Search'!CF$29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P30">
        <f>IF($CV$30="",FALSE,SUMPRODUCT(('Final Calculation Sheet'!$R$4:$R$40=$CV$30)*($IO$6:$IO$42=1))&gt;0)</f>
        <v/>
      </c>
      <c r="IQ30">
        <f>$IQ$29+--($IP30)</f>
        <v/>
      </c>
      <c r="IR30">
        <f>IF(ROW()-3&gt;MAX($IQ$4:$IQ$40),"",INDEX($CV$4:$CV$40,MATCH(ROW()-3,$IQ$4:$IQ$40,0)))</f>
        <v/>
      </c>
      <c r="IS30">
        <f>IF(COUNTIF('Live Search'!BM$29:CE$29,0)+COUNTIF('Live Search'!CG$29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T30">
        <f>IF($DA$30="",FALSE,SUMPRODUCT(('Final Calculation Sheet'!$S$4:$S$40=$DA$30)*($IS$6:$IS$42=1))&gt;0)</f>
        <v/>
      </c>
      <c r="IU30">
        <f>$IU$29+--($IT30)</f>
        <v/>
      </c>
      <c r="IV30">
        <f>IF(ROW()-3&gt;MAX($IU$4:$IU$40),"",INDEX($DA$4:$DA$40,MATCH(ROW()-3,$IU$4:$IU$40,0)))</f>
        <v/>
      </c>
      <c r="IW30">
        <f>IF(COUNTIF('Live Search'!BM$29:CF$29,0)+COUNTIF('Live Search'!CH$29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IX30">
        <f>IF($DF$30="",FALSE,SUMPRODUCT(('Final Calculation Sheet'!$T$4:$T$40=$DF$30)*($IW$6:$IW$42=1))&gt;0)</f>
        <v/>
      </c>
      <c r="IY30">
        <f>$IY$29+--($IX30)</f>
        <v/>
      </c>
      <c r="IZ30">
        <f>IF(ROW()-3&gt;MAX($IY$4:$IY$40),"",INDEX($DF$4:$DF$40,MATCH(ROW()-3,$IY$4:$IY$40,0)))</f>
        <v/>
      </c>
      <c r="JA30">
        <f>IF(COUNTIF('Live Search'!BM$29:CG$29,0)+COUNTIF('Live Search'!CI$29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B30">
        <f>IF($DK$30="",FALSE,SUMPRODUCT(('Final Calculation Sheet'!$U$4:$U$40=$DK$30)*($JA$6:$JA$42=1))&gt;0)</f>
        <v/>
      </c>
      <c r="JC30">
        <f>$JC$29+--($JB30)</f>
        <v/>
      </c>
      <c r="JD30">
        <f>IF(ROW()-3&gt;MAX($JC$4:$JC$40),"",INDEX($DK$4:$DK$40,MATCH(ROW()-3,$JC$4:$JC$40,0)))</f>
        <v/>
      </c>
      <c r="JE30">
        <f>IF(COUNTIF('Live Search'!BM$29:CH$29,0)+COUNTIF('Live Search'!CJ$29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F30">
        <f>IF($DP$30="",FALSE,SUMPRODUCT(('Final Calculation Sheet'!$V$4:$V$40=$DP$30)*($JE$6:$JE$42=1))&gt;0)</f>
        <v/>
      </c>
      <c r="JG30">
        <f>$JG$29+--($JF30)</f>
        <v/>
      </c>
      <c r="JH30">
        <f>IF(ROW()-3&gt;MAX($JG$4:$JG$40),"",INDEX($DP$4:$DP$40,MATCH(ROW()-3,$JG$4:$JG$40,0)))</f>
        <v/>
      </c>
      <c r="JI30">
        <f>IF(COUNTIF('Live Search'!BM$29:CI$29,0)+COUNTIF('Live Search'!CK$29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J30">
        <f>IF($DU$30="",FALSE,SUMPRODUCT(('Final Calculation Sheet'!$W$4:$W$40=$DU$30)*($JI$6:$JI$42=1))&gt;0)</f>
        <v/>
      </c>
      <c r="JK30">
        <f>$JK$29+--($JJ30)</f>
        <v/>
      </c>
      <c r="JL30">
        <f>IF(ROW()-3&gt;MAX($JK$4:$JK$40),"",INDEX($DU$4:$DU$40,MATCH(ROW()-3,$JK$4:$JK$40,0)))</f>
        <v/>
      </c>
      <c r="JM30">
        <f>IF(COUNTIF('Live Search'!BM$29:CJ$29,0)+COUNTIF('Live Search'!CL$29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N30">
        <f>IF($DZ$30="",FALSE,SUMPRODUCT(('Final Calculation Sheet'!$X$4:$X$40=$DZ$30)*($JM$6:$JM$42=1))&gt;0)</f>
        <v/>
      </c>
      <c r="JO30">
        <f>$JO$29+--($JN30)</f>
        <v/>
      </c>
      <c r="JP30">
        <f>IF(ROW()-3&gt;MAX($JO$4:$JO$40),"",INDEX($DZ$4:$DZ$40,MATCH(ROW()-3,$JO$4:$JO$40,0)))</f>
        <v/>
      </c>
      <c r="JQ30">
        <f>IF(COUNTIF('Live Search'!BM$29:CK$29,0)+COUNTIF('Live Search'!C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R30">
        <f>IF($EE$30="",FALSE,SUMPRODUCT(('Final Calculation Sheet'!$Y$4:$Y$40=$EE$30)*($JQ$6:$JQ$42=1))&gt;0)</f>
        <v/>
      </c>
      <c r="JS30">
        <f>$JS$29+--($JR30)</f>
        <v/>
      </c>
      <c r="JT30">
        <f>IF(ROW()-3&gt;MAX($JS$4:$JS$40),"",INDEX($EE$4:$EE$40,MATCH(ROW()-3,$JS$4:$JS$40,0)))</f>
        <v/>
      </c>
      <c r="JU30">
        <f>IF(COUNTIF('Live Search'!BM$29:CL$29,0)+COUNTIF('Live Search'!CN$29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V30">
        <f>IF($EJ$30="",FALSE,SUMPRODUCT(('Final Calculation Sheet'!$Z$4:$Z$40=$EJ$30)*($JU$6:$JU$42=1))&gt;0)</f>
        <v/>
      </c>
      <c r="JW30">
        <f>$JW$29+--($JV30)</f>
        <v/>
      </c>
      <c r="JX30">
        <f>IF(ROW()-3&gt;MAX($JW$4:$JW$40),"",INDEX($EJ$4:$EJ$40,MATCH(ROW()-3,$JW$4:$JW$40,0)))</f>
        <v/>
      </c>
      <c r="JY30">
        <f>IF(COUNTIF('Live Search'!BM$29:CM$29,0)+COUNTIF('Live Search'!CO$29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JZ30">
        <f>IF($EO$30="",FALSE,SUMPRODUCT(('Final Calculation Sheet'!$AA$4:$AA$40=$EO$30)*($JY$6:$JY$42=1))&gt;0)</f>
        <v/>
      </c>
      <c r="KA30">
        <f>$KA$29+--($JZ30)</f>
        <v/>
      </c>
      <c r="KB30">
        <f>IF(ROW()-3&gt;MAX($KA$4:$KA$40),"",INDEX($EO$4:$EO$40,MATCH(ROW()-3,$KA$4:$KA$40,0)))</f>
        <v/>
      </c>
      <c r="KC30">
        <f>IF(COUNTIF('Live Search'!BM$29:CN$29,0)+COUNTIF('Live Search'!CP$29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D30">
        <f>IF($ET$30="",FALSE,SUMPRODUCT(('Final Calculation Sheet'!$AB$4:$AB$40=$ET$30)*($KC$6:$KC$42=1))&gt;0)</f>
        <v/>
      </c>
      <c r="KE30">
        <f>$KE$29+--($KD30)</f>
        <v/>
      </c>
      <c r="KF30">
        <f>IF(ROW()-3&gt;MAX($KE$4:$KE$40),"",INDEX($ET$4:$ET$40,MATCH(ROW()-3,$KE$4:$KE$40,0)))</f>
        <v/>
      </c>
      <c r="KG30">
        <f>IF(COUNTIF('Live Search'!BM$29:CO$29,0)+COUNTIF('Live Search'!CQ$29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H30">
        <f>IF($EY$30="",FALSE,SUMPRODUCT(('Final Calculation Sheet'!$AC$4:$AC$40=$EY$30)*($KG$6:$KG$42=1))&gt;0)</f>
        <v/>
      </c>
      <c r="KI30">
        <f>$KI$29+--($KH30)</f>
        <v/>
      </c>
      <c r="KJ30">
        <f>IF(ROW()-3&gt;MAX($KI$4:$KI$40),"",INDEX($EY$4:$EY$40,MATCH(ROW()-3,$KI$4:$KI$40,0)))</f>
        <v/>
      </c>
      <c r="KK30">
        <f>IF(COUNTIF('Live Search'!BM$29:CP$29,0)+COUNTIF('Live Search'!CR$29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L30">
        <f>IF($FD$30="",FALSE,SUMPRODUCT(('Final Calculation Sheet'!$AD$4:$AD$40=$FD$30)*($KK$6:$KK$42=1))&gt;0)</f>
        <v/>
      </c>
      <c r="KM30">
        <f>$KM$29+--($KL30)</f>
        <v/>
      </c>
      <c r="KN30">
        <f>IF(ROW()-3&gt;MAX($KM$4:$KM$40),"",INDEX($FD$4:$FD$40,MATCH(ROW()-3,$KM$4:$KM$40,0)))</f>
        <v/>
      </c>
      <c r="KO30">
        <f>IF(COUNTIF('Live Search'!BM$29:CT$29,0)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P30">
        <f>IF($FX$30="",FALSE,SUMPRODUCT((IF('Final Calculation Sheet'!$AD$4:$AD$40&lt;=5,"SETTLED","OUTSTANDING")=$FX$30)*($KO$6:$KO$42=1))&gt;0)</f>
        <v/>
      </c>
      <c r="KQ30">
        <f>$KQ$29+--($KP30)</f>
        <v/>
      </c>
      <c r="KR30">
        <f>IF(ROW()-3&gt;MAX($KQ$4:$KQ$40),"",INDEX($FX$4:$FX$40,MATCH(ROW()-3,$KQ$4:$KQ$40,0)))</f>
        <v/>
      </c>
      <c r="KS30">
        <f>IF(COUNTIF('Live Search'!BM$29:CQ$29,0)+COUNTIF('Live Search'!CS$29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T30">
        <f>IF($FI$30="",FALSE,SUMPRODUCT(('Final Calculation Sheet'!$AF$4:$AF$40=$FI$30)*($KS$6:$KS$42=1))&gt;0)</f>
        <v/>
      </c>
      <c r="KU30">
        <f>$KU$29+--($KT30)</f>
        <v/>
      </c>
      <c r="KV30">
        <f>IF(ROW()-3&gt;MAX($KU$4:$KU$40),"",INDEX($FI$4:$FI$40,MATCH(ROW()-3,$KU$4:$KU$40,0)))</f>
        <v/>
      </c>
      <c r="KW30">
        <f>IF(COUNTIF('Live Search'!BM$29:CR$29,0)+COUNTIF('Live Search'!CT$29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KX30">
        <f>IF($FN$30="",FALSE,SUMPRODUCT(('Final Calculation Sheet'!$AG$4:$AG$40=$FN$30)*($KW$6:$KW$42=1))&gt;0)</f>
        <v/>
      </c>
      <c r="KY30">
        <f>$KY$29+--($KX30)</f>
        <v/>
      </c>
      <c r="KZ30">
        <f>IF(ROW()-3&gt;MAX($KY$4:$KY$40),"",INDEX($FN$4:$FN$40,MATCH(ROW()-3,$KY$4:$KY$40,0)))</f>
        <v/>
      </c>
      <c r="LA30">
        <f>IF(COUNTIF('Live Search'!BM$29:CS$29,0)+COUNTIF('Live Search'!CU$29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LB30">
        <f>IF($FS$30="",FALSE,SUMPRODUCT(('Final Calculation Sheet'!$AH$4:$AH$40=$FS$30)*($LA$6:$LA$42=1))&gt;0)</f>
        <v/>
      </c>
      <c r="LC30">
        <f>$LC$29+--($LB30)</f>
        <v/>
      </c>
      <c r="LD30">
        <f>IF(ROW()-3&gt;MAX($LC$4:$LC$40),"",INDEX($FS$4:$FS$40,MATCH(ROW()-3,$LC$4:$LC$40,0)))</f>
        <v/>
      </c>
      <c r="LE30">
        <f>IF(COUNTIF('Buyer Groups'!DH83:EN83,0)&gt;0,0,1)</f>
        <v/>
      </c>
      <c r="LF30">
        <f>IF($O$30="",FALSE,SUMPRODUCT(('Final Calculation Sheet'!$F$4:$F$40=$O$30)*($LE$6:$LE$42=1))&gt;0)</f>
        <v/>
      </c>
      <c r="LG30">
        <f>$LG$29+--($LF30)</f>
        <v/>
      </c>
      <c r="LH30">
        <f>IF(ROW()-3&gt;MAX($LG$4:$LG$40),"",INDEX($O$4:$O$40,MATCH(ROW()-3,$LG$4:$LG$40,0)))</f>
        <v/>
      </c>
      <c r="LI30">
        <f>IF(COUNTIF('Buyer Groups'!DG83:DG83,0)+COUNTIF('Buyer Groups'!DI83:EN83,0)&gt;0,0,1)</f>
        <v/>
      </c>
      <c r="LJ30">
        <f>IF($T$30="",FALSE,SUMPRODUCT(('Final Calculation Sheet'!$G$4:$G$40=$T$30)*($LI$6:$LI$42=1))&gt;0)</f>
        <v/>
      </c>
      <c r="LK30">
        <f>$LK$29+--($LJ30)</f>
        <v/>
      </c>
      <c r="LL30">
        <f>IF(ROW()-3&gt;MAX($LK$4:$LK$40),"",INDEX($T$4:$T$40,MATCH(ROW()-3,$LK$4:$LK$40,0)))</f>
        <v/>
      </c>
      <c r="LM30">
        <f>IF(COUNTIF('Buyer Groups'!DG83:DH83,0)+COUNTIF('Buyer Groups'!DJ83:EN83,0)&gt;0,0,1)</f>
        <v/>
      </c>
      <c r="LN30">
        <f>IF($Y$30="",FALSE,SUMPRODUCT(('Final Calculation Sheet'!$B$4:$B$40=$Y$30)*($LM$6:$LM$42=1))&gt;0)</f>
        <v/>
      </c>
      <c r="LO30">
        <f>$LO$29+--($LN30)</f>
        <v/>
      </c>
      <c r="LP30">
        <f>IF(ROW()-3&gt;MAX($LO$4:$LO$40),"",INDEX($Y$4:$Y$40,MATCH(ROW()-3,$LO$4:$LO$40,0)))</f>
        <v/>
      </c>
      <c r="LQ30">
        <f>IF(COUNTIF('Buyer Groups'!DG83:DI83,0)+COUNTIF('Buyer Groups'!DK83:EN83,0)&gt;0,0,1)</f>
        <v/>
      </c>
      <c r="LR30">
        <f>IF($AD$30="",FALSE,SUMPRODUCT(('Final Calculation Sheet'!$D$4:$D$40=$AD$30)*($LQ$6:$LQ$42=1))&gt;0)</f>
        <v/>
      </c>
      <c r="LS30">
        <f>$LS$29+--($LR30)</f>
        <v/>
      </c>
      <c r="LT30">
        <f>IF(ROW()-3&gt;MAX($LS$4:$LS$40),"",INDEX($AD$4:$AD$40,MATCH(ROW()-3,$LS$4:$LS$40,0)))</f>
        <v/>
      </c>
      <c r="LU30">
        <f>IF(COUNTIF('Buyer Groups'!DG83:DJ83,0)+COUNTIF('Buyer Groups'!DL83:EN83,0)&gt;0,0,1)</f>
        <v/>
      </c>
      <c r="LV30">
        <f>IF($AI$30="",FALSE,SUMPRODUCT(('Final Calculation Sheet'!$A$4:$A$40=$AI$30)*($LU$6:$LU$42=1))&gt;0)</f>
        <v/>
      </c>
      <c r="LW30">
        <f>$LW$29+--($LV30)</f>
        <v/>
      </c>
      <c r="LX30">
        <f>IF(ROW()-3&gt;MAX($LW$4:$LW$40),"",INDEX($AI$4:$AI$40,MATCH(ROW()-3,$LW$4:$LW$40,0)))</f>
        <v/>
      </c>
      <c r="LY30">
        <f>IF(COUNTIF('Buyer Groups'!DG83:DK83,0)+COUNTIF('Buyer Groups'!DM83:EN83,0)&gt;0,0,1)</f>
        <v/>
      </c>
      <c r="LZ30">
        <f>IF($AN$30="",FALSE,SUMPRODUCT(('Final Calculation Sheet'!$E$4:$E$40=$AN$30)*($LY$6:$LY$42=1))&gt;0)</f>
        <v/>
      </c>
      <c r="MA30">
        <f>$MA$29+--($LZ30)</f>
        <v/>
      </c>
      <c r="MB30">
        <f>IF(ROW()-3&gt;MAX($MA$4:$MA$40),"",INDEX($AN$4:$AN$40,MATCH(ROW()-3,$MA$4:$MA$40,0)))</f>
        <v/>
      </c>
      <c r="MC30">
        <f>IF(COUNTIF('Buyer Groups'!DG83:DL83,0)+COUNTIF('Buyer Groups'!DN83:EN83,0)&gt;0,0,1)</f>
        <v/>
      </c>
      <c r="MD30">
        <f>IF($AS$30="",FALSE,SUMPRODUCT(('Final Calculation Sheet'!$C$4:$C$40=$AS$30)*($MC$6:$MC$42=1))&gt;0)</f>
        <v/>
      </c>
      <c r="ME30">
        <f>$ME$29+--($MD30)</f>
        <v/>
      </c>
      <c r="MF30">
        <f>IF(ROW()-3&gt;MAX($ME$4:$ME$40),"",INDEX($AS$4:$AS$40,MATCH(ROW()-3,$ME$4:$ME$40,0)))</f>
        <v/>
      </c>
      <c r="MG30">
        <f>IF(COUNTIF('Buyer Groups'!DG83:DM83,0)+COUNTIF('Buyer Groups'!DO83:EN83,0)&gt;0,0,1)</f>
        <v/>
      </c>
      <c r="MH30">
        <f>IF($AX$30="",FALSE,SUMPRODUCT(('Final Calculation Sheet'!$H$4:$H$40=$AX$30)*($MG$6:$MG$42=1))&gt;0)</f>
        <v/>
      </c>
      <c r="MI30">
        <f>$MI$29+--($MH30)</f>
        <v/>
      </c>
      <c r="MJ30">
        <f>IF(ROW()-3&gt;MAX($MI$4:$MI$40),"",INDEX($AX$4:$AX$40,MATCH(ROW()-3,$MI$4:$MI$40,0)))</f>
        <v/>
      </c>
      <c r="MK30">
        <f>IF(COUNTIF('Buyer Groups'!DG83:DN83,0)+COUNTIF('Buyer Groups'!DP83:EN83,0)&gt;0,0,1)</f>
        <v/>
      </c>
      <c r="ML30">
        <f>IF($BC$30="",FALSE,SUMPRODUCT(('Final Calculation Sheet'!$I$4:$I$40=$BC$30)*($MK$6:$MK$42=1))&gt;0)</f>
        <v/>
      </c>
      <c r="MM30">
        <f>$MM$29+--($ML30)</f>
        <v/>
      </c>
      <c r="MN30">
        <f>IF(ROW()-3&gt;MAX($MM$4:$MM$40),"",INDEX($BC$4:$BC$40,MATCH(ROW()-3,$MM$4:$MM$40,0)))</f>
        <v/>
      </c>
      <c r="MO30">
        <f>IF(COUNTIF('Buyer Groups'!DG83:DO83,0)+COUNTIF('Buyer Groups'!DQ83:EN83,0)&gt;0,0,1)</f>
        <v/>
      </c>
      <c r="MP30">
        <f>IF($BH$30="",FALSE,SUMPRODUCT(('Final Calculation Sheet'!$J$4:$J$40=$BH$30)*($MO$6:$MO$42=1))&gt;0)</f>
        <v/>
      </c>
      <c r="MQ30">
        <f>$MQ$29+--($MP30)</f>
        <v/>
      </c>
      <c r="MR30">
        <f>IF(ROW()-3&gt;MAX($MQ$4:$MQ$40),"",INDEX($BH$4:$BH$40,MATCH(ROW()-3,$MQ$4:$MQ$40,0)))</f>
        <v/>
      </c>
      <c r="MS30">
        <f>IF(COUNTIF('Buyer Groups'!DG83:DP83,0)+COUNTIF('Buyer Groups'!DR83:EN83,0)&gt;0,0,1)</f>
        <v/>
      </c>
      <c r="MT30">
        <f>IF($BM$30="",FALSE,SUMPRODUCT(('Final Calculation Sheet'!$K$4:$K$40=$BM$30)*($MS$6:$MS$42=1))&gt;0)</f>
        <v/>
      </c>
      <c r="MU30">
        <f>$MU$29+--($MT30)</f>
        <v/>
      </c>
      <c r="MV30">
        <f>IF(ROW()-3&gt;MAX($MU$4:$MU$40),"",INDEX($BM$4:$BM$40,MATCH(ROW()-3,$MU$4:$MU$40,0)))</f>
        <v/>
      </c>
      <c r="MW30">
        <f>IF(COUNTIF('Buyer Groups'!DG83:DQ83,0)+COUNTIF('Buyer Groups'!DS83:EN83,0)&gt;0,0,1)</f>
        <v/>
      </c>
      <c r="MX30">
        <f>IF($BR$30="",FALSE,SUMPRODUCT(('Final Calculation Sheet'!$L$4:$L$40=$BR$30)*($MW$6:$MW$42=1))&gt;0)</f>
        <v/>
      </c>
      <c r="MY30">
        <f>$MY$29+--($MX30)</f>
        <v/>
      </c>
      <c r="MZ30">
        <f>IF(ROW()-3&gt;MAX($MY$4:$MY$40),"",INDEX($BR$4:$BR$40,MATCH(ROW()-3,$MY$4:$MY$40,0)))</f>
        <v/>
      </c>
      <c r="NA30">
        <f>IF(COUNTIF('Buyer Groups'!DG83:DR83,0)+COUNTIF('Buyer Groups'!DT83:EN83,0)&gt;0,0,1)</f>
        <v/>
      </c>
      <c r="NB30">
        <f>IF($BW$30="",FALSE,SUMPRODUCT(('Final Calculation Sheet'!$M$4:$M$40=$BW$30)*($NA$6:$NA$42=1))&gt;0)</f>
        <v/>
      </c>
      <c r="NC30">
        <f>$NC$29+--($NB30)</f>
        <v/>
      </c>
      <c r="ND30">
        <f>IF(ROW()-3&gt;MAX($NC$4:$NC$40),"",INDEX($BW$4:$BW$40,MATCH(ROW()-3,$NC$4:$NC$40,0)))</f>
        <v/>
      </c>
      <c r="NE30">
        <f>IF(COUNTIF('Buyer Groups'!DG83:DS83,0)+COUNTIF('Buyer Groups'!DU83:EN83,0)&gt;0,0,1)</f>
        <v/>
      </c>
      <c r="NF30">
        <f>IF($CB$30="",FALSE,SUMPRODUCT(('Final Calculation Sheet'!$N$4:$N$40=$CB$30)*($NE$6:$NE$42=1))&gt;0)</f>
        <v/>
      </c>
      <c r="NG30">
        <f>$NG$29+--($NF30)</f>
        <v/>
      </c>
      <c r="NH30">
        <f>IF(ROW()-3&gt;MAX($NG$4:$NG$40),"",INDEX($CB$4:$CB$40,MATCH(ROW()-3,$NG$4:$NG$40,0)))</f>
        <v/>
      </c>
      <c r="NI30">
        <f>IF(COUNTIF('Buyer Groups'!DG83:DT83,0)+COUNTIF('Buyer Groups'!DV83:EN83,0)&gt;0,0,1)</f>
        <v/>
      </c>
      <c r="NJ30">
        <f>IF($CG$30="",FALSE,SUMPRODUCT(('Final Calculation Sheet'!$O$4:$O$40=$CG$30)*($NI$6:$NI$42=1))&gt;0)</f>
        <v/>
      </c>
      <c r="NK30">
        <f>$NK$29+--($NJ30)</f>
        <v/>
      </c>
      <c r="NL30">
        <f>IF(ROW()-3&gt;MAX($NK$4:$NK$40),"",INDEX($CG$4:$CG$40,MATCH(ROW()-3,$NK$4:$NK$40,0)))</f>
        <v/>
      </c>
      <c r="NM30">
        <f>IF(COUNTIF('Buyer Groups'!DG83:DU83,0)+COUNTIF('Buyer Groups'!DW83:EN83,0)&gt;0,0,1)</f>
        <v/>
      </c>
      <c r="NN30">
        <f>IF($CL$30="",FALSE,SUMPRODUCT(('Final Calculation Sheet'!$P$4:$P$40=$CL$30)*($NM$6:$NM$42=1))&gt;0)</f>
        <v/>
      </c>
      <c r="NO30">
        <f>$NO$29+--($NN30)</f>
        <v/>
      </c>
      <c r="NP30">
        <f>IF(ROW()-3&gt;MAX($NO$4:$NO$40),"",INDEX($CL$4:$CL$40,MATCH(ROW()-3,$NO$4:$NO$40,0)))</f>
        <v/>
      </c>
      <c r="NQ30">
        <f>IF(COUNTIF('Buyer Groups'!DG83:DV83,0)+COUNTIF('Buyer Groups'!DX83:EN83,0)&gt;0,0,1)</f>
        <v/>
      </c>
      <c r="NR30">
        <f>IF($CQ$30="",FALSE,SUMPRODUCT(('Final Calculation Sheet'!$Q$4:$Q$40=$CQ$30)*($NQ$6:$NQ$42=1))&gt;0)</f>
        <v/>
      </c>
      <c r="NS30">
        <f>$NS$29+--($NR30)</f>
        <v/>
      </c>
      <c r="NT30">
        <f>IF(ROW()-3&gt;MAX($NS$4:$NS$40),"",INDEX($CQ$4:$CQ$40,MATCH(ROW()-3,$NS$4:$NS$40,0)))</f>
        <v/>
      </c>
      <c r="NU30">
        <f>IF(COUNTIF('Buyer Groups'!DG83:DW83,0)+COUNTIF('Buyer Groups'!DY83:EN83,0)&gt;0,0,1)</f>
        <v/>
      </c>
      <c r="NV30">
        <f>IF($CV$30="",FALSE,SUMPRODUCT(('Final Calculation Sheet'!$R$4:$R$40=$CV$30)*($NU$6:$NU$42=1))&gt;0)</f>
        <v/>
      </c>
      <c r="NW30">
        <f>$NW$29+--($NV30)</f>
        <v/>
      </c>
      <c r="NX30">
        <f>IF(ROW()-3&gt;MAX($NW$4:$NW$40),"",INDEX($CV$4:$CV$40,MATCH(ROW()-3,$NW$4:$NW$40,0)))</f>
        <v/>
      </c>
      <c r="NY30">
        <f>IF(COUNTIF('Buyer Groups'!DG83:DX83,0)+COUNTIF('Buyer Groups'!DZ83:EN83,0)&gt;0,0,1)</f>
        <v/>
      </c>
      <c r="NZ30">
        <f>IF($DA$30="",FALSE,SUMPRODUCT(('Final Calculation Sheet'!$S$4:$S$40=$DA$30)*($NY$6:$NY$42=1))&gt;0)</f>
        <v/>
      </c>
      <c r="OA30">
        <f>$OA$29+--($NZ30)</f>
        <v/>
      </c>
      <c r="OB30">
        <f>IF(ROW()-3&gt;MAX($OA$4:$OA$40),"",INDEX($DA$4:$DA$40,MATCH(ROW()-3,$OA$4:$OA$40,0)))</f>
        <v/>
      </c>
      <c r="OC30">
        <f>IF(COUNTIF('Buyer Groups'!DG83:DY83,0)+COUNTIF('Buyer Groups'!EA83:EN83,0)&gt;0,0,1)</f>
        <v/>
      </c>
      <c r="OD30">
        <f>IF($DF$30="",FALSE,SUMPRODUCT(('Final Calculation Sheet'!$T$4:$T$40=$DF$30)*($OC$6:$OC$42=1))&gt;0)</f>
        <v/>
      </c>
      <c r="OE30">
        <f>$OE$29+--($OD30)</f>
        <v/>
      </c>
      <c r="OF30">
        <f>IF(ROW()-3&gt;MAX($OE$4:$OE$40),"",INDEX($DF$4:$DF$40,MATCH(ROW()-3,$OE$4:$OE$40,0)))</f>
        <v/>
      </c>
      <c r="OG30">
        <f>IF(COUNTIF('Buyer Groups'!DG83:DZ83,0)+COUNTIF('Buyer Groups'!EB83:EN83,0)&gt;0,0,1)</f>
        <v/>
      </c>
      <c r="OH30">
        <f>IF($DK$30="",FALSE,SUMPRODUCT(('Final Calculation Sheet'!$U$4:$U$40=$DK$30)*($OG$6:$OG$42=1))&gt;0)</f>
        <v/>
      </c>
      <c r="OI30">
        <f>$OI$29+--($OH30)</f>
        <v/>
      </c>
      <c r="OJ30">
        <f>IF(ROW()-3&gt;MAX($OI$4:$OI$40),"",INDEX($DK$4:$DK$40,MATCH(ROW()-3,$OI$4:$OI$40,0)))</f>
        <v/>
      </c>
      <c r="OK30">
        <f>IF(COUNTIF('Buyer Groups'!DG83:EA83,0)+COUNTIF('Buyer Groups'!EC83:EN83,0)&gt;0,0,1)</f>
        <v/>
      </c>
      <c r="OL30">
        <f>IF($DP$30="",FALSE,SUMPRODUCT(('Final Calculation Sheet'!$V$4:$V$40=$DP$30)*($OK$6:$OK$42=1))&gt;0)</f>
        <v/>
      </c>
      <c r="OM30">
        <f>$OM$29+--($OL30)</f>
        <v/>
      </c>
      <c r="ON30">
        <f>IF(ROW()-3&gt;MAX($OM$4:$OM$40),"",INDEX($DP$4:$DP$40,MATCH(ROW()-3,$OM$4:$OM$40,0)))</f>
        <v/>
      </c>
      <c r="OO30">
        <f>IF(COUNTIF('Buyer Groups'!DG83:EB83,0)+COUNTIF('Buyer Groups'!ED83:EN83,0)&gt;0,0,1)</f>
        <v/>
      </c>
      <c r="OP30">
        <f>IF($DU$30="",FALSE,SUMPRODUCT(('Final Calculation Sheet'!$W$4:$W$40=$DU$30)*($OO$6:$OO$42=1))&gt;0)</f>
        <v/>
      </c>
      <c r="OQ30">
        <f>$OQ$29+--($OP30)</f>
        <v/>
      </c>
      <c r="OR30">
        <f>IF(ROW()-3&gt;MAX($OQ$4:$OQ$40),"",INDEX($DU$4:$DU$40,MATCH(ROW()-3,$OQ$4:$OQ$40,0)))</f>
        <v/>
      </c>
      <c r="OS30">
        <f>IF(COUNTIF('Buyer Groups'!DG83:EC83,0)+COUNTIF('Buyer Groups'!EE83:EN83,0)&gt;0,0,1)</f>
        <v/>
      </c>
      <c r="OT30">
        <f>IF($DZ$30="",FALSE,SUMPRODUCT(('Final Calculation Sheet'!$X$4:$X$40=$DZ$30)*($OS$6:$OS$42=1))&gt;0)</f>
        <v/>
      </c>
      <c r="OU30">
        <f>$OU$29+--($OT30)</f>
        <v/>
      </c>
      <c r="OV30">
        <f>IF(ROW()-3&gt;MAX($OU$4:$OU$40),"",INDEX($DZ$4:$DZ$40,MATCH(ROW()-3,$OU$4:$OU$40,0)))</f>
        <v/>
      </c>
      <c r="OW30">
        <f>IF(COUNTIF('Buyer Groups'!DG83:ED83,0)+COUNTIF('Buyer Groups'!EF83:EN83,0)&gt;0,0,1)</f>
        <v/>
      </c>
      <c r="OX30">
        <f>IF($EE$30="",FALSE,SUMPRODUCT(('Final Calculation Sheet'!$Y$4:$Y$40=$EE$30)*($OW$6:$OW$42=1))&gt;0)</f>
        <v/>
      </c>
      <c r="OY30">
        <f>$OY$29+--($OX30)</f>
        <v/>
      </c>
      <c r="OZ30">
        <f>IF(ROW()-3&gt;MAX($OY$4:$OY$40),"",INDEX($EE$4:$EE$40,MATCH(ROW()-3,$OY$4:$OY$40,0)))</f>
        <v/>
      </c>
      <c r="PA30">
        <f>IF(COUNTIF('Buyer Groups'!DG83:EE83,0)+COUNTIF('Buyer Groups'!EG83:EN83,0)&gt;0,0,1)</f>
        <v/>
      </c>
      <c r="PB30">
        <f>IF($EJ$30="",FALSE,SUMPRODUCT(('Final Calculation Sheet'!$Z$4:$Z$40=$EJ$30)*($PA$6:$PA$42=1))&gt;0)</f>
        <v/>
      </c>
      <c r="PC30">
        <f>$PC$29+--($PB30)</f>
        <v/>
      </c>
      <c r="PD30">
        <f>IF(ROW()-3&gt;MAX($PC$4:$PC$40),"",INDEX($EJ$4:$EJ$40,MATCH(ROW()-3,$PC$4:$PC$40,0)))</f>
        <v/>
      </c>
      <c r="PE30">
        <f>IF(COUNTIF('Buyer Groups'!DG83:EF83,0)+COUNTIF('Buyer Groups'!EH83:EN83,0)&gt;0,0,1)</f>
        <v/>
      </c>
      <c r="PF30">
        <f>IF($EO$30="",FALSE,SUMPRODUCT(('Final Calculation Sheet'!$AA$4:$AA$40=$EO$30)*($PE$6:$PE$42=1))&gt;0)</f>
        <v/>
      </c>
      <c r="PG30">
        <f>$PG$29+--($PF30)</f>
        <v/>
      </c>
      <c r="PH30">
        <f>IF(ROW()-3&gt;MAX($PG$4:$PG$40),"",INDEX($EO$4:$EO$40,MATCH(ROW()-3,$PG$4:$PG$40,0)))</f>
        <v/>
      </c>
      <c r="PI30">
        <f>IF(COUNTIF('Buyer Groups'!DG83:EG83,0)+COUNTIF('Buyer Groups'!EI83:EN83,0)&gt;0,0,1)</f>
        <v/>
      </c>
      <c r="PJ30">
        <f>IF($ET$30="",FALSE,SUMPRODUCT(('Final Calculation Sheet'!$AB$4:$AB$40=$ET$30)*($PI$6:$PI$42=1))&gt;0)</f>
        <v/>
      </c>
      <c r="PK30">
        <f>$PK$29+--($PJ30)</f>
        <v/>
      </c>
      <c r="PL30">
        <f>IF(ROW()-3&gt;MAX($PK$4:$PK$40),"",INDEX($ET$4:$ET$40,MATCH(ROW()-3,$PK$4:$PK$40,0)))</f>
        <v/>
      </c>
      <c r="PM30">
        <f>IF(COUNTIF('Buyer Groups'!DG83:EH83,0)+COUNTIF('Buyer Groups'!EJ83:EN83,0)&gt;0,0,1)</f>
        <v/>
      </c>
      <c r="PN30">
        <f>IF($EY$30="",FALSE,SUMPRODUCT(('Final Calculation Sheet'!$AC$4:$AC$40=$EY$30)*($PM$6:$PM$42=1))&gt;0)</f>
        <v/>
      </c>
      <c r="PO30">
        <f>$PO$29+--($PN30)</f>
        <v/>
      </c>
      <c r="PP30">
        <f>IF(ROW()-3&gt;MAX($PO$4:$PO$40),"",INDEX($EY$4:$EY$40,MATCH(ROW()-3,$PO$4:$PO$40,0)))</f>
        <v/>
      </c>
      <c r="PQ30">
        <f>IF(COUNTIF('Buyer Groups'!DG83:EI83,0)+COUNTIF('Buyer Groups'!EK83:EN83,0)&gt;0,0,1)</f>
        <v/>
      </c>
      <c r="PR30">
        <f>IF($FD$30="",FALSE,SUMPRODUCT(('Final Calculation Sheet'!$AD$4:$AD$40=$FD$30)*($PQ$6:$PQ$42=1))&gt;0)</f>
        <v/>
      </c>
      <c r="PS30">
        <f>$PS$29+--($PR30)</f>
        <v/>
      </c>
      <c r="PT30">
        <f>IF(ROW()-3&gt;MAX($PS$4:$PS$40),"",INDEX($FD$4:$FD$40,MATCH(ROW()-3,$PS$4:$PS$40,0)))</f>
        <v/>
      </c>
      <c r="PU30">
        <f>IF(COUNTIF('Buyer Groups'!DG83:EJ83,0)+COUNTIF('Buyer Groups'!EL83:EN83,0)&gt;0,0,1)</f>
        <v/>
      </c>
      <c r="PV30">
        <f>IF($FX$30="",FALSE,SUMPRODUCT((IF('Final Calculation Sheet'!$AD$4:$AD$40&lt;=5,"SETTLED","OUTSTANDING")=$FX$30)*($PU$6:$PU$42=1))&gt;0)</f>
        <v/>
      </c>
      <c r="PW30">
        <f>$PW$29+--($PV30)</f>
        <v/>
      </c>
      <c r="PX30">
        <f>IF(ROW()-3&gt;MAX($PW$4:$PW$40),"",INDEX($FX$4:$FX$40,MATCH(ROW()-3,$PW$4:$PW$40,0)))</f>
        <v/>
      </c>
      <c r="PY30">
        <f>IF(COUNTIF('Buyer Groups'!DG83:EK83,0)+COUNTIF('Buyer Groups'!EM83:EN83,0)&gt;0,0,1)</f>
        <v/>
      </c>
      <c r="PZ30">
        <f>IF($FI$30="",FALSE,SUMPRODUCT(('Final Calculation Sheet'!$AF$4:$AF$40=$FI$30)*($PY$6:$PY$42=1))&gt;0)</f>
        <v/>
      </c>
      <c r="QA30">
        <f>$QA$29+--($PZ30)</f>
        <v/>
      </c>
      <c r="QB30">
        <f>IF(ROW()-3&gt;MAX($QA$4:$QA$40),"",INDEX($FI$4:$FI$40,MATCH(ROW()-3,$QA$4:$QA$40,0)))</f>
        <v/>
      </c>
      <c r="QC30">
        <f>IF(COUNTIF('Buyer Groups'!DG83:EL83,0)+COUNTIF('Buyer Groups'!EN83:EN83,0)&gt;0,0,1)</f>
        <v/>
      </c>
      <c r="QD30">
        <f>IF($FN$30="",FALSE,SUMPRODUCT(('Final Calculation Sheet'!$AG$4:$AG$40=$FN$30)*($QC$6:$QC$42=1))&gt;0)</f>
        <v/>
      </c>
      <c r="QE30">
        <f>$QE$29+--($QD30)</f>
        <v/>
      </c>
      <c r="QF30">
        <f>IF(ROW()-3&gt;MAX($QE$4:$QE$40),"",INDEX($FN$4:$FN$40,MATCH(ROW()-3,$QE$4:$QE$40,0)))</f>
        <v/>
      </c>
      <c r="QG30">
        <f>IF(COUNTIF('Buyer Groups'!DG83:EM83,0)&gt;0,0,1)</f>
        <v/>
      </c>
      <c r="QH30">
        <f>IF($FS$30="",FALSE,SUMPRODUCT(('Final Calculation Sheet'!$AH$4:$AH$40=$FS$30)*($QG$6:$QG$42=1))&gt;0)</f>
        <v/>
      </c>
      <c r="QI30">
        <f>$QI$29+--($QH30)</f>
        <v/>
      </c>
      <c r="QJ30">
        <f>IF(ROW()-3&gt;MAX($QI$4:$QI$40),"",INDEX($FS$4:$FS$40,MATCH(ROW()-3,$QI$4:$QI$40,0)))</f>
        <v/>
      </c>
      <c r="QK30" t="str">
        <f>IF('Final Calculation Sheet'!$AH$30="","",'Final Calculation Sheet'!$AH$30)</f>
      </c>
      <c r="QL30" t="str">
        <f>IF(QK30="","",COUNTIFS(QK$4:QK$40,"&lt;"&amp;QK30,QK$4:QK$40,"&lt;&gt;"&amp;"")+COUNTIF(QK$4:QK30,QK30))</f>
      </c>
      <c r="QM30" t="str">
        <f>IF(ROW()-3&gt;COUNTIF(QK$4:QK$40,"&lt;&gt;"&amp;""),"",INDEX(QK$4:QK$40,MATCH(ROW()-3,QL$4:QL$40,0)))</f>
      </c>
      <c r="QN30" t="str">
        <f>=QN29+F(AND(QM30&lt;&gt;"",COUNTIF(QM$4:QM30,QM30)=1),1,0)</f>
      </c>
      <c r="QO30" t="str">
        <f>IF(ROW()-3&gt;MAX(QN$4:QN$40),"",INDEX(QM$4:QM$40,MATCH(ROW()-3,QN$4:QN$40,0)))</f>
      </c>
      <c r="QP30" t="str">
        <f>IF(COUNTIF('Final Calculation Sheet'!$AM30:$BS30,0)&gt;0,0,1)</f>
      </c>
      <c r="QQ30" t="str">
        <f>IF($AI$30="",FALSE,SUMPRODUCT(('Final Calculation Sheet'!$A$4:$A$40=$AI$30)*($QP$4:$QP$40=1))&gt;0)</f>
      </c>
      <c r="QR30" t="str">
        <f>=$QR29+--($QQ30)</f>
      </c>
      <c r="QS30" t="str">
        <f>IF(ROW()-3&gt;MAX($QR$4:$QR$40),"",INDEX($AI$4:$AI$40,MATCH(ROW()-3,$QR$4:$QR$40,0)))</f>
      </c>
      <c r="QT30" t="str">
        <f>IF(COUNTIF('Final Calculation Sheet'!$AL30:$AL30,0)+COUNTIF('Final Calculation Sheet'!$AN30:$BS30,0)&gt;0,0,1)</f>
      </c>
      <c r="QU30" t="str">
        <f>IF($Y$30="",FALSE,SUMPRODUCT(('Final Calculation Sheet'!$B$4:$B$40=$Y$30)*($QT$4:$QT$40=1))&gt;0)</f>
      </c>
      <c r="QV30" t="str">
        <f>=$QV29+--($QU30)</f>
      </c>
      <c r="QW30" t="str">
        <f>IF(ROW()-3&gt;MAX($QV$4:$QV$40),"",INDEX($Y$4:$Y$40,MATCH(ROW()-3,$QV$4:$QV$40,0)))</f>
      </c>
      <c r="QX30" t="str">
        <f>IF(COUNTIF('Final Calculation Sheet'!$AL30:$AM30,0)+COUNTIF('Final Calculation Sheet'!$AO30:$BS30,0)&gt;0,0,1)</f>
      </c>
      <c r="QY30" t="str">
        <f>IF($AS$30="",FALSE,SUMPRODUCT(('Final Calculation Sheet'!$C$4:$C$40=$AS$30)*($QX$4:$QX$40=1))&gt;0)</f>
      </c>
      <c r="QZ30" t="str">
        <f>=$QZ29+--($QY30)</f>
      </c>
      <c r="RA30" t="str">
        <f>IF(ROW()-3&gt;MAX($QZ$4:$QZ$40),"",INDEX($AS$4:$AS$40,MATCH(ROW()-3,$QZ$4:$QZ$40,0)))</f>
      </c>
      <c r="RB30" t="str">
        <f>IF(COUNTIF('Final Calculation Sheet'!$AL30:$AN30,0)+COUNTIF('Final Calculation Sheet'!$AP30:$BS30,0)&gt;0,0,1)</f>
      </c>
      <c r="RC30" t="str">
        <f>IF($AD$30="",FALSE,SUMPRODUCT(('Final Calculation Sheet'!$D$4:$D$40=$AD$30)*($RB$4:$RB$40=1))&gt;0)</f>
      </c>
      <c r="RD30" t="str">
        <f>=$RD29+--($RC30)</f>
      </c>
      <c r="RE30" t="str">
        <f>IF(ROW()-3&gt;MAX($RD$4:$RD$40),"",INDEX($AD$4:$AD$40,MATCH(ROW()-3,$RD$4:$RD$40,0)))</f>
      </c>
      <c r="RF30" t="str">
        <f>IF(COUNTIF('Final Calculation Sheet'!$AL30:$AO30,0)+COUNTIF('Final Calculation Sheet'!$AQ30:$BS30,0)&gt;0,0,1)</f>
      </c>
      <c r="RG30" t="str">
        <f>IF($AN$30="",FALSE,SUMPRODUCT(('Final Calculation Sheet'!$E$4:$E$40=$AN$30)*($RF$4:$RF$40=1))&gt;0)</f>
      </c>
      <c r="RH30" t="str">
        <f>=$RH29+--($RG30)</f>
      </c>
      <c r="RI30" t="str">
        <f>IF(ROW()-3&gt;MAX($RH$4:$RH$40),"",INDEX($AN$4:$AN$40,MATCH(ROW()-3,$RH$4:$RH$40,0)))</f>
      </c>
      <c r="RJ30" t="str">
        <f>IF(COUNTIF('Final Calculation Sheet'!$AL30:$AP30,0)+COUNTIF('Final Calculation Sheet'!$AR30:$BS30,0)&gt;0,0,1)</f>
      </c>
      <c r="RK30" t="str">
        <f>IF($O$30="",FALSE,SUMPRODUCT(('Final Calculation Sheet'!$F$4:$F$40=$O$30)*($RJ$4:$RJ$40=1))&gt;0)</f>
      </c>
      <c r="RL30" t="str">
        <f>=$RL29+--($RK30)</f>
      </c>
      <c r="RM30" t="str">
        <f>IF(ROW()-3&gt;MAX($RL$4:$RL$40),"",INDEX($O$4:$O$40,MATCH(ROW()-3,$RL$4:$RL$40,0)))</f>
      </c>
      <c r="RN30" t="str">
        <f>IF(COUNTIF('Final Calculation Sheet'!$AL30:$AQ30,0)+COUNTIF('Final Calculation Sheet'!$AS30:$BS30,0)&gt;0,0,1)</f>
      </c>
      <c r="RO30" t="str">
        <f>IF($T$30="",FALSE,SUMPRODUCT(('Final Calculation Sheet'!$G$4:$G$40=$T$30)*($RN$4:$RN$40=1))&gt;0)</f>
      </c>
      <c r="RP30" t="str">
        <f>=$RP29+--($RO30)</f>
      </c>
      <c r="RQ30" t="str">
        <f>IF(ROW()-3&gt;MAX($RP$4:$RP$40),"",INDEX($T$4:$T$40,MATCH(ROW()-3,$RP$4:$RP$40,0)))</f>
      </c>
      <c r="RR30" t="str">
        <f>IF(COUNTIF('Final Calculation Sheet'!$AL30:$AR30,0)+COUNTIF('Final Calculation Sheet'!$AT30:$BS30,0)&gt;0,0,1)</f>
      </c>
      <c r="RS30" t="str">
        <f>IF($AX$30="",FALSE,SUMPRODUCT(('Final Calculation Sheet'!$H$4:$H$40=$AX$30)*($RR$4:$RR$40=1))&gt;0)</f>
      </c>
      <c r="RT30" t="str">
        <f>=$RT29+--($RS30)</f>
      </c>
      <c r="RU30" t="str">
        <f>IF(ROW()-3&gt;MAX($RT$4:$RT$40),"",INDEX($AX$4:$AX$40,MATCH(ROW()-3,$RT$4:$RT$40,0)))</f>
      </c>
      <c r="RV30" t="str">
        <f>IF(COUNTIF('Final Calculation Sheet'!$AL30:$AS30,0)+COUNTIF('Final Calculation Sheet'!$AU30:$BS30,0)&gt;0,0,1)</f>
      </c>
      <c r="RW30" t="str">
        <f>IF($BC$30="",FALSE,SUMPRODUCT(('Final Calculation Sheet'!$I$4:$I$40=$BC$30)*($RV$4:$RV$40=1))&gt;0)</f>
      </c>
      <c r="RX30" t="str">
        <f>=$RX29+--($RW30)</f>
      </c>
      <c r="RY30" t="str">
        <f>IF(ROW()-3&gt;MAX($RX$4:$RX$40),"",INDEX($BC$4:$BC$40,MATCH(ROW()-3,$RX$4:$RX$40,0)))</f>
      </c>
      <c r="RZ30" t="str">
        <f>IF(COUNTIF('Final Calculation Sheet'!$AL30:$AT30,0)+COUNTIF('Final Calculation Sheet'!$AV30:$BS30,0)&gt;0,0,1)</f>
      </c>
      <c r="SA30" t="str">
        <f>IF($BH$30="",FALSE,SUMPRODUCT(('Final Calculation Sheet'!$J$4:$J$40=$BH$30)*($RZ$4:$RZ$40=1))&gt;0)</f>
      </c>
      <c r="SB30" t="str">
        <f>=$SB29+--($SA30)</f>
      </c>
      <c r="SC30" t="str">
        <f>IF(ROW()-3&gt;MAX($SB$4:$SB$40),"",INDEX($BH$4:$BH$40,MATCH(ROW()-3,$SB$4:$SB$40,0)))</f>
      </c>
      <c r="SD30" t="str">
        <f>IF(COUNTIF('Final Calculation Sheet'!$AL30:$AU30,0)+COUNTIF('Final Calculation Sheet'!$AW30:$BS30,0)&gt;0,0,1)</f>
      </c>
      <c r="SE30" t="str">
        <f>IF($BM$30="",FALSE,SUMPRODUCT(('Final Calculation Sheet'!$K$4:$K$40=$BM$30)*($SD$4:$SD$40=1))&gt;0)</f>
      </c>
      <c r="SF30" t="str">
        <f>=$SF29+--($SE30)</f>
      </c>
      <c r="SG30" t="str">
        <f>IF(ROW()-3&gt;MAX($SF$4:$SF$40),"",INDEX($BM$4:$BM$40,MATCH(ROW()-3,$SF$4:$SF$40,0)))</f>
      </c>
      <c r="SH30" t="str">
        <f>IF(COUNTIF('Final Calculation Sheet'!$AL30:$AV30,0)+COUNTIF('Final Calculation Sheet'!$AX30:$BS30,0)&gt;0,0,1)</f>
      </c>
      <c r="SI30" t="str">
        <f>IF($BR$30="",FALSE,SUMPRODUCT(('Final Calculation Sheet'!$L$4:$L$40=$BR$30)*($SH$4:$SH$40=1))&gt;0)</f>
      </c>
      <c r="SJ30" t="str">
        <f>=$SJ29+--($SI30)</f>
      </c>
      <c r="SK30" t="str">
        <f>IF(ROW()-3&gt;MAX($SJ$4:$SJ$40),"",INDEX($BR$4:$BR$40,MATCH(ROW()-3,$SJ$4:$SJ$40,0)))</f>
      </c>
      <c r="SL30" t="str">
        <f>IF(COUNTIF('Final Calculation Sheet'!$AL30:$AW30,0)+COUNTIF('Final Calculation Sheet'!$AY30:$BS30,0)&gt;0,0,1)</f>
      </c>
      <c r="SM30" t="str">
        <f>IF($BW$30="",FALSE,SUMPRODUCT(('Final Calculation Sheet'!$M$4:$M$40=$BW$30)*($SL$4:$SL$40=1))&gt;0)</f>
      </c>
      <c r="SN30" t="str">
        <f>=$SN29+--($SM30)</f>
      </c>
      <c r="SO30" t="str">
        <f>IF(ROW()-3&gt;MAX($SN$4:$SN$40),"",INDEX($BW$4:$BW$40,MATCH(ROW()-3,$SN$4:$SN$40,0)))</f>
      </c>
      <c r="SP30" t="str">
        <f>IF(COUNTIF('Final Calculation Sheet'!$AL30:$AX30,0)+COUNTIF('Final Calculation Sheet'!$AZ30:$BS30,0)&gt;0,0,1)</f>
      </c>
      <c r="SQ30" t="str">
        <f>IF($CB$30="",FALSE,SUMPRODUCT(('Final Calculation Sheet'!$N$4:$N$40=$CB$30)*($SP$4:$SP$40=1))&gt;0)</f>
      </c>
      <c r="SR30" t="str">
        <f>=$SR29+--($SQ30)</f>
      </c>
      <c r="SS30" t="str">
        <f>IF(ROW()-3&gt;MAX($SR$4:$SR$40),"",INDEX($CB$4:$CB$40,MATCH(ROW()-3,$SR$4:$SR$40,0)))</f>
      </c>
      <c r="ST30" t="str">
        <f>IF(COUNTIF('Final Calculation Sheet'!$AL30:$AY30,0)+COUNTIF('Final Calculation Sheet'!$BA30:$BS30,0)&gt;0,0,1)</f>
      </c>
      <c r="SU30" t="str">
        <f>IF($CG$30="",FALSE,SUMPRODUCT(('Final Calculation Sheet'!$O$4:$O$40=$CG$30)*($ST$4:$ST$40=1))&gt;0)</f>
      </c>
      <c r="SV30" t="str">
        <f>=$SV29+--($SU30)</f>
      </c>
      <c r="SW30" t="str">
        <f>IF(ROW()-3&gt;MAX($SV$4:$SV$40),"",INDEX($CG$4:$CG$40,MATCH(ROW()-3,$SV$4:$SV$40,0)))</f>
      </c>
      <c r="SX30" t="str">
        <f>IF(COUNTIF('Final Calculation Sheet'!$AL30:$AZ30,0)+COUNTIF('Final Calculation Sheet'!$BB30:$BS30,0)&gt;0,0,1)</f>
      </c>
      <c r="SY30" t="str">
        <f>IF($CL$30="",FALSE,SUMPRODUCT(('Final Calculation Sheet'!$P$4:$P$40=$CL$30)*($SX$4:$SX$40=1))&gt;0)</f>
      </c>
      <c r="SZ30" t="str">
        <f>=$SZ29+--($SY30)</f>
      </c>
      <c r="TA30" t="str">
        <f>IF(ROW()-3&gt;MAX($SZ$4:$SZ$40),"",INDEX($CL$4:$CL$40,MATCH(ROW()-3,$SZ$4:$SZ$40,0)))</f>
      </c>
      <c r="TB30" t="str">
        <f>IF(COUNTIF('Final Calculation Sheet'!$AL30:$BA30,0)+COUNTIF('Final Calculation Sheet'!$BC30:$BS30,0)&gt;0,0,1)</f>
      </c>
      <c r="TC30" t="str">
        <f>IF($CQ$30="",FALSE,SUMPRODUCT(('Final Calculation Sheet'!$Q$4:$Q$40=$CQ$30)*($TB$4:$TB$40=1))&gt;0)</f>
      </c>
      <c r="TD30" t="str">
        <f>=$TD29+--($TC30)</f>
      </c>
      <c r="TE30" t="str">
        <f>IF(ROW()-3&gt;MAX($TD$4:$TD$40),"",INDEX($CQ$4:$CQ$40,MATCH(ROW()-3,$TD$4:$TD$40,0)))</f>
      </c>
      <c r="TF30" t="str">
        <f>IF(COUNTIF('Final Calculation Sheet'!$AL30:$BB30,0)+COUNTIF('Final Calculation Sheet'!$BD30:$BS30,0)&gt;0,0,1)</f>
      </c>
      <c r="TG30" t="str">
        <f>IF($CV$30="",FALSE,SUMPRODUCT(('Final Calculation Sheet'!$R$4:$R$40=$CV$30)*($TF$4:$TF$40=1))&gt;0)</f>
      </c>
      <c r="TH30" t="str">
        <f>=$TH29+--($TG30)</f>
      </c>
      <c r="TI30" t="str">
        <f>IF(ROW()-3&gt;MAX($TH$4:$TH$40),"",INDEX($CV$4:$CV$40,MATCH(ROW()-3,$TH$4:$TH$40,0)))</f>
      </c>
      <c r="TJ30" t="str">
        <f>IF(COUNTIF('Final Calculation Sheet'!$AL30:$BC30,0)+COUNTIF('Final Calculation Sheet'!$BE30:$BS30,0)&gt;0,0,1)</f>
      </c>
      <c r="TK30" t="str">
        <f>IF($DA$30="",FALSE,SUMPRODUCT(('Final Calculation Sheet'!$S$4:$S$40=$DA$30)*($TJ$4:$TJ$40=1))&gt;0)</f>
      </c>
      <c r="TL30" t="str">
        <f>=$TL29+--($TK30)</f>
      </c>
      <c r="TM30" t="str">
        <f>IF(ROW()-3&gt;MAX($TL$4:$TL$40),"",INDEX($DA$4:$DA$40,MATCH(ROW()-3,$TL$4:$TL$40,0)))</f>
      </c>
      <c r="TN30" t="str">
        <f>IF(COUNTIF('Final Calculation Sheet'!$AL30:$BD30,0)+COUNTIF('Final Calculation Sheet'!$BF30:$BS30,0)&gt;0,0,1)</f>
      </c>
      <c r="TO30" t="str">
        <f>IF($DF$30="",FALSE,SUMPRODUCT(('Final Calculation Sheet'!$T$4:$T$40=$DF$30)*($TN$4:$TN$40=1))&gt;0)</f>
      </c>
      <c r="TP30" t="str">
        <f>=$TP29+--($TO30)</f>
      </c>
      <c r="TQ30" t="str">
        <f>IF(ROW()-3&gt;MAX($TP$4:$TP$40),"",INDEX($DF$4:$DF$40,MATCH(ROW()-3,$TP$4:$TP$40,0)))</f>
      </c>
      <c r="TR30" t="str">
        <f>IF(COUNTIF('Final Calculation Sheet'!$AL30:$BE30,0)+COUNTIF('Final Calculation Sheet'!$BG30:$BS30,0)&gt;0,0,1)</f>
      </c>
      <c r="TS30" t="str">
        <f>IF($DK$30="",FALSE,SUMPRODUCT(('Final Calculation Sheet'!$U$4:$U$40=$DK$30)*($TR$4:$TR$40=1))&gt;0)</f>
      </c>
      <c r="TT30" t="str">
        <f>=$TT29+--($TS30)</f>
      </c>
      <c r="TU30" t="str">
        <f>IF(ROW()-3&gt;MAX($TT$4:$TT$40),"",INDEX($DK$4:$DK$40,MATCH(ROW()-3,$TT$4:$TT$40,0)))</f>
      </c>
      <c r="TV30" t="str">
        <f>IF(COUNTIF('Final Calculation Sheet'!$AL30:$BF30,0)+COUNTIF('Final Calculation Sheet'!$BH30:$BS30,0)&gt;0,0,1)</f>
      </c>
      <c r="TW30" t="str">
        <f>IF($DP$30="",FALSE,SUMPRODUCT(('Final Calculation Sheet'!$V$4:$V$40=$DP$30)*($TV$4:$TV$40=1))&gt;0)</f>
      </c>
      <c r="TX30" t="str">
        <f>=$TX29+--($TW30)</f>
      </c>
      <c r="TY30" t="str">
        <f>IF(ROW()-3&gt;MAX($TX$4:$TX$40),"",INDEX($DP$4:$DP$40,MATCH(ROW()-3,$TX$4:$TX$40,0)))</f>
      </c>
      <c r="TZ30" t="str">
        <f>IF(COUNTIF('Final Calculation Sheet'!$AL30:$BG30,0)+COUNTIF('Final Calculation Sheet'!$BI30:$BS30,0)&gt;0,0,1)</f>
      </c>
      <c r="UA30" t="str">
        <f>IF($DU$30="",FALSE,SUMPRODUCT(('Final Calculation Sheet'!$W$4:$W$40=$DU$30)*($TZ$4:$TZ$40=1))&gt;0)</f>
      </c>
      <c r="UB30" t="str">
        <f>=$UB29+--($UA30)</f>
      </c>
      <c r="UC30" t="str">
        <f>IF(ROW()-3&gt;MAX($UB$4:$UB$40),"",INDEX($DU$4:$DU$40,MATCH(ROW()-3,$UB$4:$UB$40,0)))</f>
      </c>
      <c r="UD30" t="str">
        <f>IF(COUNTIF('Final Calculation Sheet'!$AL30:$BH30,0)+COUNTIF('Final Calculation Sheet'!$BJ30:$BS30,0)&gt;0,0,1)</f>
      </c>
      <c r="UE30" t="str">
        <f>IF($DZ$30="",FALSE,SUMPRODUCT(('Final Calculation Sheet'!$X$4:$X$40=$DZ$30)*($UD$4:$UD$40=1))&gt;0)</f>
      </c>
      <c r="UF30" t="str">
        <f>=$UF29+--($UE30)</f>
      </c>
      <c r="UG30" t="str">
        <f>IF(ROW()-3&gt;MAX($UF$4:$UF$40),"",INDEX($DZ$4:$DZ$40,MATCH(ROW()-3,$UF$4:$UF$40,0)))</f>
      </c>
      <c r="UH30" t="str">
        <f>IF(COUNTIF('Final Calculation Sheet'!$AL30:$BI30,0)+COUNTIF('Final Calculation Sheet'!$BK30:$BS30,0)&gt;0,0,1)</f>
      </c>
      <c r="UI30" t="str">
        <f>IF($EE$30="",FALSE,SUMPRODUCT(('Final Calculation Sheet'!$Y$4:$Y$40=$EE$30)*($UH$4:$UH$40=1))&gt;0)</f>
      </c>
      <c r="UJ30" t="str">
        <f>=$UJ29+--($UI30)</f>
      </c>
      <c r="UK30" t="str">
        <f>IF(ROW()-3&gt;MAX($UJ$4:$UJ$40),"",INDEX($EE$4:$EE$40,MATCH(ROW()-3,$UJ$4:$UJ$40,0)))</f>
      </c>
      <c r="UL30" t="str">
        <f>IF(COUNTIF('Final Calculation Sheet'!$AL30:$BJ30,0)+COUNTIF('Final Calculation Sheet'!$BL30:$BS30,0)&gt;0,0,1)</f>
      </c>
      <c r="UM30" t="str">
        <f>IF($EJ$30="",FALSE,SUMPRODUCT(('Final Calculation Sheet'!$Z$4:$Z$40=$EJ$30)*($UL$4:$UL$40=1))&gt;0)</f>
      </c>
      <c r="UN30" t="str">
        <f>=$UN29+--($UM30)</f>
      </c>
      <c r="UO30" t="str">
        <f>IF(ROW()-3&gt;MAX($UN$4:$UN$40),"",INDEX($EJ$4:$EJ$40,MATCH(ROW()-3,$UN$4:$UN$40,0)))</f>
      </c>
      <c r="UP30" t="str">
        <f>IF(COUNTIF('Final Calculation Sheet'!$AL30:$BK30,0)+COUNTIF('Final Calculation Sheet'!$BM30:$BS30,0)&gt;0,0,1)</f>
      </c>
      <c r="UQ30" t="str">
        <f>IF($EO$30="",FALSE,SUMPRODUCT(('Final Calculation Sheet'!$AA$4:$AA$40=$EO$30)*($UP$4:$UP$40=1))&gt;0)</f>
      </c>
      <c r="UR30" t="str">
        <f>=$UR29+--($UQ30)</f>
      </c>
      <c r="US30" t="str">
        <f>IF(ROW()-3&gt;MAX($UR$4:$UR$40),"",INDEX($EO$4:$EO$40,MATCH(ROW()-3,$UR$4:$UR$40,0)))</f>
      </c>
      <c r="UT30" t="str">
        <f>IF(COUNTIF('Final Calculation Sheet'!$AL30:$BL30,0)+COUNTIF('Final Calculation Sheet'!$BN30:$BS30,0)&gt;0,0,1)</f>
      </c>
      <c r="UU30" t="str">
        <f>IF($ET$30="",FALSE,SUMPRODUCT(('Final Calculation Sheet'!$AB$4:$AB$40=$ET$30)*($UT$4:$UT$40=1))&gt;0)</f>
      </c>
      <c r="UV30" t="str">
        <f>=$UV29+--($UU30)</f>
      </c>
      <c r="UW30" t="str">
        <f>IF(ROW()-3&gt;MAX($UV$4:$UV$40),"",INDEX($ET$4:$ET$40,MATCH(ROW()-3,$UV$4:$UV$40,0)))</f>
      </c>
      <c r="UX30" t="str">
        <f>IF(COUNTIF('Final Calculation Sheet'!$AL30:$BM30,0)+COUNTIF('Final Calculation Sheet'!$BO30:$BS30,0)&gt;0,0,1)</f>
      </c>
      <c r="UY30" t="str">
        <f>IF($EY$30="",FALSE,SUMPRODUCT(('Final Calculation Sheet'!$AC$4:$AC$40=$EY$30)*($UX$4:$UX$40=1))&gt;0)</f>
      </c>
      <c r="UZ30" t="str">
        <f>=$UZ29+--($UY30)</f>
      </c>
      <c r="VA30" t="str">
        <f>IF(ROW()-3&gt;MAX($UZ$4:$UZ$40),"",INDEX($EY$4:$EY$40,MATCH(ROW()-3,$UZ$4:$UZ$40,0)))</f>
      </c>
      <c r="VB30" t="str">
        <f>IF(COUNTIF('Final Calculation Sheet'!$AL30:$BN30,0)+COUNTIF('Final Calculation Sheet'!$BP30:$BS30,0)&gt;0,0,1)</f>
      </c>
      <c r="VC30" t="str">
        <f>IF($FD$30="",FALSE,SUMPRODUCT(('Final Calculation Sheet'!$AD$4:$AD$40=$FD$30)*($VB$4:$VB$40=1))&gt;0)</f>
      </c>
      <c r="VD30" t="str">
        <f>=$VD29+--($VC30)</f>
      </c>
      <c r="VE30" t="str">
        <f>IF(ROW()-3&gt;MAX($VD$4:$VD$40),"",INDEX($FD$4:$FD$40,MATCH(ROW()-3,$VD$4:$VD$40,0)))</f>
      </c>
      <c r="VF30" t="str">
        <f>IF(COUNTIF('Final Calculation Sheet'!$AL30:$BO30,0)+COUNTIF('Final Calculation Sheet'!$BQ30:$BS30,0)&gt;0,0,1)</f>
      </c>
      <c r="VG30" t="str">
        <f>IF($FI$30="",FALSE,SUMPRODUCT(('Final Calculation Sheet'!$AE$4:$AE$40=$FI$30)*($VF$4:$VF$40=1))&gt;0)</f>
      </c>
      <c r="VH30" t="str">
        <f>=$VH29+--($VG30)</f>
      </c>
      <c r="VI30" t="str">
        <f>IF(ROW()-3&gt;MAX($VH$4:$VH$40),"",INDEX($FI$4:$FI$40,MATCH(ROW()-3,$VH$4:$VH$40,0)))</f>
      </c>
      <c r="VJ30" t="str">
        <f>IF(COUNTIF('Final Calculation Sheet'!$AL30:$BP30,0)+COUNTIF('Final Calculation Sheet'!$BR30:$BS30,0)&gt;0,0,1)</f>
      </c>
      <c r="VK30" t="str">
        <f>IF($FN$30="",FALSE,SUMPRODUCT(('Final Calculation Sheet'!$AF$4:$AF$40=$FN$30)*($VJ$4:$VJ$40=1))&gt;0)</f>
      </c>
      <c r="VL30" t="str">
        <f>=$VL29+--($VK30)</f>
      </c>
      <c r="VM30" t="str">
        <f>IF(ROW()-3&gt;MAX($VL$4:$VL$40),"",INDEX($FN$4:$FN$40,MATCH(ROW()-3,$VL$4:$VL$40,0)))</f>
      </c>
      <c r="VN30" t="str">
        <f>IF(COUNTIF('Final Calculation Sheet'!$AL30:$BQ30,0)+COUNTIF('Final Calculation Sheet'!$BS30:$BS30,0)&gt;0,0,1)</f>
      </c>
      <c r="VO30" t="str">
        <f>IF($FS$30="",FALSE,SUMPRODUCT(('Final Calculation Sheet'!$AG$4:$AG$40=$FS$30)*($VN$4:$VN$40=1))&gt;0)</f>
      </c>
      <c r="VP30" t="str">
        <f>=$VP29+--($VO30)</f>
      </c>
      <c r="VQ30" t="str">
        <f>IF(ROW()-3&gt;MAX($VP$4:$VP$40),"",INDEX($FS$4:$FS$40,MATCH(ROW()-3,$VP$4:$VP$40,0)))</f>
      </c>
      <c r="VR30" t="str">
        <f>IF(COUNTIF('Final Calculation Sheet'!$AL30:$BR30,0)&gt;0,0,1)</f>
      </c>
      <c r="VS30" t="str">
        <f>IF($QO$30="",FALSE,SUMPRODUCT(('Final Calculation Sheet'!$AH$4:$AH$40=$QO$30)*($VR$4:$VR$40=1))&gt;0)</f>
      </c>
      <c r="VT30" t="str">
        <f>=$VT29+--($VS30)</f>
      </c>
      <c r="VU30" t="str">
        <f>IF(ROW()-3&gt;MAX($VT$4:$VT$40),"",INDEX($QO$4:$QO$40,MATCH(ROW()-3,$VT$4:$VT$40,0)))</f>
      </c>
    </row>
    <row r="31">
      <c r="A31">
        <f>IF(IFERROR('Final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IF(IFERROR('Final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s="55">
        <f>IF('Final Calculation Sheet'!$C$31="","",'Final Calculation Sheet'!$C$31)</f>
        <v/>
      </c>
      <c r="AP31">
        <f>IF(AO31="","",COUNTIFS(AO$4:AO$40,"&lt;"&amp;AO31,AO$4:AO$40,"&lt;&gt;"&amp;"")+COUNTIF(AO$4:AO31,AO31))</f>
        <v/>
      </c>
      <c r="AQ31" s="55">
        <f>IF(ROW()-3&gt;COUNTIF(AO$4:AO$40,"&lt;&gt;"&amp;""),"",INDEX(AO$4:AO$40,MATCH(ROW()-3,AP$4:AP$40,0)))</f>
        <v/>
      </c>
      <c r="AR31">
        <f>AR30+IF(AND(AQ31&lt;&gt;"",COUNTIF(AQ$4:AQ31,AQ31)=1),1,0)</f>
        <v/>
      </c>
      <c r="AS31" s="55">
        <f>IF(ROW()-3&gt;MAX(AR$4:AR$40),"",INDEX(AQ$4:AQ$40,MATCH(ROW()-3,AR$4:AR$40,0)))</f>
        <v/>
      </c>
      <c r="AT31" s="55">
        <f>IF('Final Calculation Sheet'!$H$31="","",'Final Calculation Sheet'!$H$31)</f>
        <v/>
      </c>
      <c r="AU31">
        <f>IF(AT31="","",COUNTIFS(AT$4:AT$40,"&lt;"&amp;AT31,AT$4:AT$40,"&lt;&gt;"&amp;"")+COUNTIF(AT$4:AT31,AT31))</f>
        <v/>
      </c>
      <c r="AV31" s="55">
        <f>IF(ROW()-3&gt;COUNTIF(AT$4:AT$40,"&lt;&gt;"&amp;""),"",INDEX(AT$4:AT$40,MATCH(ROW()-3,AU$4:AU$40,0)))</f>
        <v/>
      </c>
      <c r="AW31">
        <f>AW30+IF(AND(AV31&lt;&gt;"",COUNTIF(AV$4:AV31,AV31)=1),1,0)</f>
        <v/>
      </c>
      <c r="AX31" s="55">
        <f>IF(ROW()-3&gt;MAX(AW$4:AW$40),"",INDEX(AV$4:AV$40,MATCH(ROW()-3,AW$4:AW$40,0)))</f>
        <v/>
      </c>
      <c r="AY31" s="55">
        <f>IF('Final Calculation Sheet'!$I$31="","",'Final Calculation Sheet'!$I$31)</f>
        <v/>
      </c>
      <c r="AZ31">
        <f>IF(AY31="","",COUNTIFS(AY$4:AY$40,"&lt;"&amp;AY31,AY$4:AY$40,"&lt;&gt;"&amp;"")+COUNTIF(AY$4:AY31,AY31))</f>
        <v/>
      </c>
      <c r="BA31" s="55">
        <f>IF(ROW()-3&gt;COUNTIF(AY$4:AY$40,"&lt;&gt;"&amp;""),"",INDEX(AY$4:AY$40,MATCH(ROW()-3,AZ$4:AZ$40,0)))</f>
        <v/>
      </c>
      <c r="BB31">
        <f>BB30+IF(AND(BA31&lt;&gt;"",COUNTIF(BA$4:BA31,BA31)=1),1,0)</f>
        <v/>
      </c>
      <c r="BC31" s="55">
        <f>IF(ROW()-3&gt;MAX(BB$4:BB$40),"",INDEX(BA$4:BA$40,MATCH(ROW()-3,BB$4:BB$40,0)))</f>
        <v/>
      </c>
      <c r="BD31" s="55">
        <f>IF('Final Calculation Sheet'!$J$31="","",'Final Calculation Sheet'!$J$31)</f>
        <v/>
      </c>
      <c r="BE31">
        <f>IF(BD31="","",COUNTIFS(BD$4:BD$40,"&lt;"&amp;BD31,BD$4:BD$40,"&lt;&gt;"&amp;"")+COUNTIF(BD$4:BD31,BD31))</f>
        <v/>
      </c>
      <c r="BF31" s="55">
        <f>IF(ROW()-3&gt;COUNTIF(BD$4:BD$40,"&lt;&gt;"&amp;""),"",INDEX(BD$4:BD$40,MATCH(ROW()-3,BE$4:BE$40,0)))</f>
        <v/>
      </c>
      <c r="BG31">
        <f>BG30+IF(AND(BF31&lt;&gt;"",COUNTIF(BF$4:BF31,BF31)=1),1,0)</f>
        <v/>
      </c>
      <c r="BH31" s="55">
        <f>IF(ROW()-3&gt;MAX(BG$4:BG$40),"",INDEX(BF$4:BF$40,MATCH(ROW()-3,BG$4:BG$40,0)))</f>
        <v/>
      </c>
      <c r="BI31" s="55">
        <f>IF('Final Calculation Sheet'!$K$31="","",'Final Calculation Sheet'!$K$31)</f>
        <v/>
      </c>
      <c r="BJ31">
        <f>IF(BI31="","",COUNTIFS(BI$4:BI$40,"&lt;"&amp;BI31,BI$4:BI$40,"&lt;&gt;"&amp;"")+COUNTIF(BI$4:BI31,BI31))</f>
        <v/>
      </c>
      <c r="BK31" s="55">
        <f>IF(ROW()-3&gt;COUNTIF(BI$4:BI$40,"&lt;&gt;"&amp;""),"",INDEX(BI$4:BI$40,MATCH(ROW()-3,BJ$4:BJ$40,0)))</f>
        <v/>
      </c>
      <c r="BL31">
        <f>BL30+IF(AND(BK31&lt;&gt;"",COUNTIF(BK$4:BK31,BK31)=1),1,0)</f>
        <v/>
      </c>
      <c r="BM31" s="55">
        <f>IF(ROW()-3&gt;MAX(BL$4:BL$40),"",INDEX(BK$4:BK$40,MATCH(ROW()-3,BL$4:BL$40,0)))</f>
        <v/>
      </c>
      <c r="BN31" s="55">
        <f>IF('Final Calculation Sheet'!$L$31="","",'Final Calculation Sheet'!$L$31)</f>
        <v/>
      </c>
      <c r="BO31">
        <f>IF(BN31="","",COUNTIFS(BN$4:BN$40,"&lt;"&amp;BN31,BN$4:BN$40,"&lt;&gt;"&amp;"")+COUNTIF(BN$4:BN31,BN31))</f>
        <v/>
      </c>
      <c r="BP31" s="55">
        <f>IF(ROW()-3&gt;COUNTIF(BN$4:BN$40,"&lt;&gt;"&amp;""),"",INDEX(BN$4:BN$40,MATCH(ROW()-3,BO$4:BO$40,0)))</f>
        <v/>
      </c>
      <c r="BQ31">
        <f>BQ30+IF(AND(BP31&lt;&gt;"",COUNTIF(BP$4:BP31,BP31)=1),1,0)</f>
        <v/>
      </c>
      <c r="BR31" s="55">
        <f>IF(ROW()-3&gt;MAX(BQ$4:BQ$40),"",INDEX(BP$4:BP$40,MATCH(ROW()-3,BQ$4:BQ$40,0)))</f>
        <v/>
      </c>
      <c r="BS31" s="55">
        <f>IF('Final Calculation Sheet'!$M$31="","",'Final Calculation Sheet'!$M$31)</f>
        <v/>
      </c>
      <c r="BT31">
        <f>IF(BS31="","",COUNTIFS(BS$4:BS$40,"&lt;"&amp;BS31,BS$4:BS$40,"&lt;&gt;"&amp;"")+COUNTIF(BS$4:BS31,BS31))</f>
        <v/>
      </c>
      <c r="BU31" s="55">
        <f>IF(ROW()-3&gt;COUNTIF(BS$4:BS$40,"&lt;&gt;"&amp;""),"",INDEX(BS$4:BS$40,MATCH(ROW()-3,BT$4:BT$40,0)))</f>
        <v/>
      </c>
      <c r="BV31">
        <f>BV30+IF(AND(BU31&lt;&gt;"",COUNTIF(BU$4:BU31,BU31)=1),1,0)</f>
        <v/>
      </c>
      <c r="BW31" s="55">
        <f>IF(ROW()-3&gt;MAX(BV$4:BV$40),"",INDEX(BU$4:BU$40,MATCH(ROW()-3,BV$4:BV$40,0)))</f>
        <v/>
      </c>
      <c r="BX31" s="138">
        <f>IF('Final Calculation Sheet'!$N$31="","",'Final Calculation Sheet'!$N$31)</f>
        <v/>
      </c>
      <c r="BY31">
        <f>IF(BX31="","",COUNTIFS(BX$4:BX$40,"&lt;"&amp;BX31,BX$4:BX$40,"&lt;&gt;"&amp;"")+COUNTIF(BX$4:BX31,BX31))</f>
        <v/>
      </c>
      <c r="BZ31" s="138">
        <f>IF(ROW()-3&gt;COUNTIF(BX$4:BX$40,"&lt;&gt;"&amp;""),"",INDEX(BX$4:BX$40,MATCH(ROW()-3,BY$4:BY$40,0)))</f>
        <v/>
      </c>
      <c r="CA31">
        <f>CA30+IF(AND(BZ31&lt;&gt;"",COUNTIF(BZ$4:BZ31,BZ31)=1),1,0)</f>
        <v/>
      </c>
      <c r="CB31" s="138">
        <f>IF(ROW()-3&gt;MAX(CA$4:CA$40),"",INDEX(BZ$4:BZ$40,MATCH(ROW()-3,CA$4:CA$40,0)))</f>
        <v/>
      </c>
      <c r="CC31" s="55">
        <f>IF('Final Calculation Sheet'!$O$31="","",'Final Calculation Sheet'!$O$31)</f>
        <v/>
      </c>
      <c r="CD31">
        <f>IF(CC31="","",COUNTIFS(CC$4:CC$40,"&lt;"&amp;CC31,CC$4:CC$40,"&lt;&gt;"&amp;"")+COUNTIF(CC$4:CC31,CC31))</f>
        <v/>
      </c>
      <c r="CE31" s="55">
        <f>IF(ROW()-3&gt;COUNTIF(CC$4:CC$40,"&lt;&gt;"&amp;""),"",INDEX(CC$4:CC$40,MATCH(ROW()-3,CD$4:CD$40,0)))</f>
        <v/>
      </c>
      <c r="CF31">
        <f>CF30+IF(AND(CE31&lt;&gt;"",COUNTIF(CE$4:CE31,CE31)=1),1,0)</f>
        <v/>
      </c>
      <c r="CG31" s="55">
        <f>IF(ROW()-3&gt;MAX(CF$4:CF$40),"",INDEX(CE$4:CE$40,MATCH(ROW()-3,CF$4:CF$40,0)))</f>
        <v/>
      </c>
      <c r="CH31" s="55">
        <f>IF('Final Calculation Sheet'!$P$31="","",'Final Calculation Sheet'!$P$31)</f>
        <v/>
      </c>
      <c r="CI31">
        <f>IF(CH31="","",COUNTIFS(CH$4:CH$40,"&lt;"&amp;CH31,CH$4:CH$40,"&lt;&gt;"&amp;"")+COUNTIF(CH$4:CH31,CH31))</f>
        <v/>
      </c>
      <c r="CJ31" s="55">
        <f>IF(ROW()-3&gt;COUNTIF(CH$4:CH$40,"&lt;&gt;"&amp;""),"",INDEX(CH$4:CH$40,MATCH(ROW()-3,CI$4:CI$40,0)))</f>
        <v/>
      </c>
      <c r="CK31">
        <f>CK30+IF(AND(CJ31&lt;&gt;"",COUNTIF(CJ$4:CJ31,CJ31)=1),1,0)</f>
        <v/>
      </c>
      <c r="CL31" s="55">
        <f>IF(ROW()-3&gt;MAX(CK$4:CK$40),"",INDEX(CJ$4:CJ$40,MATCH(ROW()-3,CK$4:CK$40,0)))</f>
        <v/>
      </c>
      <c r="CM31" s="139">
        <f>IF('Final Calculation Sheet'!$Q$31="","",'Final Calculation Sheet'!$Q$31)</f>
        <v/>
      </c>
      <c r="CN31">
        <f>IF(CM31="","",COUNTIFS(CM$4:CM$40,"&lt;"&amp;CM31,CM$4:CM$40,"&lt;&gt;"&amp;"")+COUNTIF(CM$4:CM31,CM31))</f>
        <v/>
      </c>
      <c r="CO31" s="139">
        <f>IF(ROW()-3&gt;COUNTIF(CM$4:CM$40,"&lt;&gt;"&amp;""),"",INDEX(CM$4:CM$40,MATCH(ROW()-3,CN$4:CN$40,0)))</f>
        <v/>
      </c>
      <c r="CP31">
        <f>CP30+IF(AND(CO31&lt;&gt;"",COUNTIF(CO$4:CO31,CO31)=1),1,0)</f>
        <v/>
      </c>
      <c r="CQ31">
        <f>IF(ROW()-3&gt;MAX(CP$4:CP$40),"",INDEX(CO$4:CO$40,MATCH(ROW()-3,CP$4:CP$40,0)))</f>
        <v/>
      </c>
      <c r="CR31" s="55">
        <f>IF('Final Calculation Sheet'!$R$31="","",'Final Calculation Sheet'!$R$31)</f>
        <v/>
      </c>
      <c r="CS31">
        <f>IF(CR31="","",COUNTIFS(CR$4:CR$40,"&lt;"&amp;CR31,CR$4:CR$40,"&lt;&gt;"&amp;"")+COUNTIF(CR$4:CR31,CR31))</f>
        <v/>
      </c>
      <c r="CT31" s="55">
        <f>IF(ROW()-3&gt;COUNTIF(CR$4:CR$40,"&lt;&gt;"&amp;""),"",INDEX(CR$4:CR$40,MATCH(ROW()-3,CS$4:CS$40,0)))</f>
        <v/>
      </c>
      <c r="CU31">
        <f>CU30+IF(AND(CT31&lt;&gt;"",COUNTIF(CT$4:CT31,CT31)=1),1,0)</f>
        <v/>
      </c>
      <c r="CV31">
        <f>IF(ROW()-3&gt;MAX(CU$4:CU$40),"",INDEX(CT$4:CT$40,MATCH(ROW()-3,CU$4:CU$40,0)))</f>
        <v/>
      </c>
      <c r="CW31" s="55">
        <f>IF('Final Calculation Sheet'!$S$31="","",'Final Calculation Sheet'!$S$31)</f>
        <v/>
      </c>
      <c r="CX31">
        <f>IF(CW31="","",COUNTIFS(CW$4:CW$40,"&lt;"&amp;CW31,CW$4:CW$40,"&lt;&gt;"&amp;"")+COUNTIF(CW$4:CW31,CW31))</f>
        <v/>
      </c>
      <c r="CY31" s="55">
        <f>IF(ROW()-3&gt;COUNTIF(CW$4:CW$40,"&lt;&gt;"&amp;""),"",INDEX(CW$4:CW$40,MATCH(ROW()-3,CX$4:CX$40,0)))</f>
        <v/>
      </c>
      <c r="CZ31">
        <f>CZ30+IF(AND(CY31&lt;&gt;"",COUNTIF(CY$4:CY31,CY31)=1),1,0)</f>
        <v/>
      </c>
      <c r="DA31" s="55">
        <f>IF(ROW()-3&gt;MAX(CZ$4:CZ$40),"",INDEX(CY$4:CY$40,MATCH(ROW()-3,CZ$4:CZ$40,0)))</f>
        <v/>
      </c>
      <c r="DB31" s="55">
        <f>IF('Final Calculation Sheet'!$T$31="","",'Final Calculation Sheet'!$T$31)</f>
        <v/>
      </c>
      <c r="DC31">
        <f>IF(DB31="","",COUNTIFS(DB$4:DB$40,"&lt;"&amp;DB31,DB$4:DB$40,"&lt;&gt;"&amp;"")+COUNTIF(DB$4:DB31,DB31))</f>
        <v/>
      </c>
      <c r="DD31" s="55">
        <f>IF(ROW()-3&gt;COUNTIF(DB$4:DB$40,"&lt;&gt;"&amp;""),"",INDEX(DB$4:DB$40,MATCH(ROW()-3,DC$4:DC$40,0)))</f>
        <v/>
      </c>
      <c r="DE31">
        <f>DE30+IF(AND(DD31&lt;&gt;"",COUNTIF(DD$4:DD31,DD31)=1),1,0)</f>
        <v/>
      </c>
      <c r="DF31" s="55">
        <f>IF(ROW()-3&gt;MAX(DE$4:DE$40),"",INDEX(DD$4:DD$40,MATCH(ROW()-3,DE$4:DE$40,0)))</f>
        <v/>
      </c>
      <c r="DG31" s="140">
        <f>IF('Final Calculation Sheet'!$U$31="","",'Final Calculation Sheet'!$U$31)</f>
        <v/>
      </c>
      <c r="DH31">
        <f>IF(DG31="","",COUNTIFS(DG$4:DG$40,"&lt;"&amp;DG31,DG$4:DG$40,"&lt;&gt;"&amp;"")+COUNTIF(DG$4:DG31,DG31))</f>
        <v/>
      </c>
      <c r="DI31" s="140">
        <f>IF(ROW()-3&gt;COUNTIF(DG$4:DG$40,"&lt;&gt;"&amp;""),"",INDEX(DG$4:DG$40,MATCH(ROW()-3,DH$4:DH$40,0)))</f>
        <v/>
      </c>
      <c r="DJ31">
        <f>DJ30+IF(AND(DI31&lt;&gt;"",COUNTIF(DI$4:DI31,DI31)=1),1,0)</f>
        <v/>
      </c>
      <c r="DK31" s="140">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s="55">
        <f>IF('Final Calculation Sheet'!$W$31="","",'Final Calculation Sheet'!$W$31)</f>
        <v/>
      </c>
      <c r="DR31">
        <f>IF(DQ31="","",COUNTIFS(DQ$4:DQ$40,"&lt;"&amp;DQ31,DQ$4:DQ$40,"&lt;&gt;"&amp;"")+COUNTIF(DQ$4:DQ31,DQ31))</f>
        <v/>
      </c>
      <c r="DS31" s="55">
        <f>IF(ROW()-3&gt;COUNTIF(DQ$4:DQ$40,"&lt;&gt;"&amp;""),"",INDEX(DQ$4:DQ$40,MATCH(ROW()-3,DR$4:DR$40,0)))</f>
        <v/>
      </c>
      <c r="DT31">
        <f>DT30+IF(AND(DS31&lt;&gt;"",COUNTIF(DS$4:DS31,DS31)=1),1,0)</f>
        <v/>
      </c>
      <c r="DU31" s="55">
        <f>IF(ROW()-3&gt;MAX(DT$4:DT$40),"",INDEX(DS$4:DS$40,MATCH(ROW()-3,DT$4:DT$40,0)))</f>
        <v/>
      </c>
      <c r="DV31" s="55">
        <f>IF('Final Calculation Sheet'!$X$31="","",'Final Calculation Sheet'!$X$31)</f>
        <v/>
      </c>
      <c r="DW31">
        <f>IF(DV31="","",COUNTIFS(DV$4:DV$40,"&lt;"&amp;DV31,DV$4:DV$40,"&lt;&gt;"&amp;"")+COUNTIF(DV$4:DV31,DV31))</f>
        <v/>
      </c>
      <c r="DX31" s="55">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s="55">
        <f>IF('Final Calculation Sheet'!$Z$31="","",'Final Calculation Sheet'!$Z$31)</f>
        <v/>
      </c>
      <c r="EG31">
        <f>IF(EF31="","",COUNTIFS(EF$4:EF$40,"&lt;"&amp;EF31,EF$4:EF$40,"&lt;&gt;"&amp;"")+COUNTIF(EF$4:EF31,EF31))</f>
        <v/>
      </c>
      <c r="EH31" s="55">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s="55">
        <f>IF('Final Calculation Sheet'!$AC$31="","",'Final Calculation Sheet'!$AC$31)</f>
        <v/>
      </c>
      <c r="EV31">
        <f>IF(EU31="","",COUNTIFS(EU$4:EU$40,"&lt;"&amp;EU31,EU$4:EU$40,"&lt;&gt;"&amp;"")+COUNTIF(EU$4:EU31,EU31))</f>
        <v/>
      </c>
      <c r="EW31" s="55">
        <f>IF(ROW()-3&gt;COUNTIF(EU$4:EU$40,"&lt;&gt;"&amp;""),"",INDEX(EU$4:EU$40,MATCH(ROW()-3,EV$4:EV$40,0)))</f>
        <v/>
      </c>
      <c r="EX31">
        <f>EX30+IF(AND(EW31&lt;&gt;"",COUNTIF(EW$4:EW31,EW31)=1),1,0)</f>
        <v/>
      </c>
      <c r="EY31" s="55">
        <f>IF(ROW()-3&gt;MAX(EX$4:EX$40),"",INDEX(EW$4:EW$40,MATCH(ROW()-3,EX$4:EX$40,0)))</f>
        <v/>
      </c>
      <c r="EZ31" s="55">
        <f>IF('Final Calculation Sheet'!$AD$31="","",'Final Calculation Sheet'!$AD$31)</f>
        <v/>
      </c>
      <c r="FA31">
        <f>IF(EZ31="","",COUNTIFS(EZ$4:EZ$40,"&lt;"&amp;EZ31,EZ$4:EZ$40,"&lt;&gt;"&amp;"")+COUNTIF(EZ$4:EZ31,EZ31))</f>
        <v/>
      </c>
      <c r="FB31" s="55">
        <f>IF(ROW()-3&gt;COUNTIF(EZ$4:EZ$40,"&lt;&gt;"&amp;""),"",INDEX(EZ$4:EZ$40,MATCH(ROW()-3,FA$4:FA$40,0)))</f>
        <v/>
      </c>
      <c r="FC31">
        <f>FC30+IF(AND(FB31&lt;&gt;"",COUNTIF(FB$4:FB31,FB31)=1),1,0)</f>
        <v/>
      </c>
      <c r="FD31">
        <f>IF(ROW()-3&gt;MAX(FC$4:FC$40),"",INDEX(FB$4:FB$40,MATCH(ROW()-3,FC$4:FC$40,0)))</f>
        <v/>
      </c>
      <c r="FE31">
        <f>IF('Final Calculation Sheet'!$AF$31="","",'Final Calculation Sheet'!$AF$31)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s="141">
        <f>IF('Final Calculation Sheet'!$AG$31="","",'Final Calculation Sheet'!$AG$31)</f>
        <v/>
      </c>
      <c r="FK31">
        <f>IF(FJ31="","",COUNTIFS(FJ$4:FJ$40,"&lt;"&amp;FJ31,FJ$4:FJ$40,"&lt;&gt;"&amp;"")+COUNTIF(FJ$4:FJ31,FJ31))</f>
        <v/>
      </c>
      <c r="FL31" s="141">
        <f>IF(ROW()-3&gt;COUNTIF(FJ$4:FJ$40,"&lt;&gt;"&amp;""),"",INDEX(FJ$4:FJ$40,MATCH(ROW()-3,FK$4:FK$40,0)))</f>
        <v/>
      </c>
      <c r="FM31">
        <f>FM30+IF(AND(FL31&lt;&gt;"",COUNTIF(FL$4:FL31,FL31)=1),1,0)</f>
        <v/>
      </c>
      <c r="FN31">
        <f>IF(ROW()-3&gt;MAX(FM$4:FM$40),"",INDEX(FL$4:FL$40,MATCH(ROW()-3,FM$4:FM$40,0)))</f>
        <v/>
      </c>
      <c r="FO31">
        <f>IF('Final Calculation Sheet'!$AH$31="","",'Final Calculation Sheet'!$AH$31)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c r="FY31">
        <f>IF(COUNTIF('Live Search'!BM$30:BO$30,0)+COUNTIF('Live Search'!BQ$30:CU$30,0)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1">
        <f>IF($Y$31="",FALSE,SUMPRODUCT(('Final Calculation Sheet'!$B$4:$B$40=$Y$31)*($FY$6:$FY$42=1))&gt;0)</f>
        <v/>
      </c>
      <c r="GA31">
        <f>$GA$30+--($FZ$31)</f>
        <v/>
      </c>
      <c r="GB31">
        <f>IF(ROW()-3&gt;MAX($GA$4:$GA$40),"",INDEX($Y$4:$Y$40,MATCH(ROW()-3,$GA$4:$GA$40,0)))</f>
        <v/>
      </c>
      <c r="GC31">
        <f>IF(COUNTIF('Live Search'!BM$30:BM$30,0)+COUNTIF('Live Search'!BO$30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D31">
        <f>IF($O$31="",FALSE,SUMPRODUCT(('Final Calculation Sheet'!$F$4:$F$40=$O$31)*($GC$6:$GC$42=1))&gt;0)</f>
        <v/>
      </c>
      <c r="GE31">
        <f>$GE$30+--($GD31)</f>
        <v/>
      </c>
      <c r="GF31">
        <f>IF(ROW()-3&gt;MAX($GE$4:$GE$40),"",INDEX($O$4:$O$40,MATCH(ROW()-3,$GE$4:$GE$40,0)))</f>
        <v/>
      </c>
      <c r="GG31">
        <f>IF(COUNTIF('Live Search'!BM$30:BN$30,0)+COUNTIF('Live Search'!BP$30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H31">
        <f>IF($T$31="",FALSE,SUMPRODUCT(('Final Calculation Sheet'!$G$4:$G$40=$T$31)*($GG$6:$GG$42=1))&gt;0)</f>
        <v/>
      </c>
      <c r="GI31">
        <f>$GI$30+--($GH31)</f>
        <v/>
      </c>
      <c r="GJ31">
        <f>IF(ROW()-3&gt;MAX($GI$4:$GI$40),"",INDEX($T$4:$T$40,MATCH(ROW()-3,$GI$4:$GI$40,0)))</f>
        <v/>
      </c>
      <c r="GK31">
        <f>IF(COUNTIF('Live Search'!BM$30:BP$30,0)+COUNTIF('Live Search'!BR$30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L31">
        <f>IF($AD$31="",FALSE,SUMPRODUCT(('Final Calculation Sheet'!$D$4:$D$40=$AD$31)*($GK$6:$GK$42=1))&gt;0)</f>
        <v/>
      </c>
      <c r="GM31">
        <f>$GM$30+--($GL31)</f>
        <v/>
      </c>
      <c r="GN31">
        <f>IF(ROW()-3&gt;MAX($GM$4:$GM$40),"",INDEX($AD$4:$AD$40,MATCH(ROW()-3,$GM$4:$GM$40,0)))</f>
        <v/>
      </c>
      <c r="GO31">
        <f>IF(COUNTIF('Live Search'!BM$30:BQ$30,0)+COUNTIF('Live Search'!BS$30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P31">
        <f>IF($AI$31="",FALSE,SUMPRODUCT(('Final Calculation Sheet'!$A$4:$A$40=$AI$31)*($GO$6:$GO$42=1))&gt;0)</f>
        <v/>
      </c>
      <c r="GQ31">
        <f>$GQ$30+--($GP31)</f>
        <v/>
      </c>
      <c r="GR31">
        <f>IF(ROW()-3&gt;MAX($GQ$4:$GQ$40),"",INDEX($AI$4:$AI$40,MATCH(ROW()-3,$GQ$4:$GQ$40,0)))</f>
        <v/>
      </c>
      <c r="GS31">
        <f>IF(COUNTIF('Live Search'!BM$30:BR$30,0)+COUNTIF('Live Search'!BT$30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T31">
        <f>IF($AN$31="",FALSE,SUMPRODUCT(('Final Calculation Sheet'!$E$4:$E$40=$AN$31)*($GS$6:$GS$42=1))&gt;0)</f>
        <v/>
      </c>
      <c r="GU31">
        <f>$GU$30+--($GT31)</f>
        <v/>
      </c>
      <c r="GV31">
        <f>IF(ROW()-3&gt;MAX($GU$4:$GU$40),"",INDEX($AN$4:$AN$40,MATCH(ROW()-3,$GU$4:$GU$40,0)))</f>
        <v/>
      </c>
      <c r="GW31">
        <f>IF(COUNTIF('Live Search'!BM$30:BS$30,0)+COUNTIF('Live Search'!BU$30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GX31">
        <f>IF($AS$31="",FALSE,SUMPRODUCT(('Final Calculation Sheet'!$C$4:$C$40=$AS$31)*($GW$6:$GW$42=1))&gt;0)</f>
        <v/>
      </c>
      <c r="GY31">
        <f>$GY$30+--($GX31)</f>
        <v/>
      </c>
      <c r="GZ31">
        <f>IF(ROW()-3&gt;MAX($GY$4:$GY$40),"",INDEX($AS$4:$AS$40,MATCH(ROW()-3,$GY$4:$GY$40,0)))</f>
        <v/>
      </c>
      <c r="HA31">
        <f>IF(COUNTIF('Live Search'!BM$30:BT$30,0)+COUNTIF('Live Search'!BV$30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B31">
        <f>IF($AX$31="",FALSE,SUMPRODUCT(('Final Calculation Sheet'!$H$4:$H$40=$AX$31)*($HA$6:$HA$42=1))&gt;0)</f>
        <v/>
      </c>
      <c r="HC31">
        <f>$HC$30+--($HB31)</f>
        <v/>
      </c>
      <c r="HD31">
        <f>IF(ROW()-3&gt;MAX($HC$4:$HC$40),"",INDEX($AX$4:$AX$40,MATCH(ROW()-3,$HC$4:$HC$40,0)))</f>
        <v/>
      </c>
      <c r="HE31">
        <f>IF(COUNTIF('Live Search'!BM$30:BU$30,0)+COUNTIF('Live Search'!BW$30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F31">
        <f>IF($BC$31="",FALSE,SUMPRODUCT(('Final Calculation Sheet'!$I$4:$I$40=$BC$31)*($HE$6:$HE$42=1))&gt;0)</f>
        <v/>
      </c>
      <c r="HG31">
        <f>$HG$30+--($HF31)</f>
        <v/>
      </c>
      <c r="HH31">
        <f>IF(ROW()-3&gt;MAX($HG$4:$HG$40),"",INDEX($BC$4:$BC$40,MATCH(ROW()-3,$HG$4:$HG$40,0)))</f>
        <v/>
      </c>
      <c r="HI31">
        <f>IF(COUNTIF('Live Search'!BM$30:BV$30,0)+COUNTIF('Live Search'!BX$30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J31">
        <f>IF($BH$31="",FALSE,SUMPRODUCT(('Final Calculation Sheet'!$J$4:$J$40=$BH$31)*($HI$6:$HI$42=1))&gt;0)</f>
        <v/>
      </c>
      <c r="HK31">
        <f>$HK$30+--($HJ31)</f>
        <v/>
      </c>
      <c r="HL31">
        <f>IF(ROW()-3&gt;MAX($HK$4:$HK$40),"",INDEX($BH$4:$BH$40,MATCH(ROW()-3,$HK$4:$HK$40,0)))</f>
        <v/>
      </c>
      <c r="HM31">
        <f>IF(COUNTIF('Live Search'!BM$30:BW$30,0)+COUNTIF('Live Search'!BY$30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N31">
        <f>IF($BM$31="",FALSE,SUMPRODUCT(('Final Calculation Sheet'!$K$4:$K$40=$BM$31)*($HM$6:$HM$42=1))&gt;0)</f>
        <v/>
      </c>
      <c r="HO31">
        <f>$HO$30+--($HN31)</f>
        <v/>
      </c>
      <c r="HP31">
        <f>IF(ROW()-3&gt;MAX($HO$4:$HO$40),"",INDEX($BM$4:$BM$40,MATCH(ROW()-3,$HO$4:$HO$40,0)))</f>
        <v/>
      </c>
      <c r="HQ31">
        <f>IF(COUNTIF('Live Search'!BM$30:BX$30,0)+COUNTIF('Live Search'!BZ$30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R31">
        <f>IF($BR$31="",FALSE,SUMPRODUCT(('Final Calculation Sheet'!$L$4:$L$40=$BR$31)*($HQ$6:$HQ$42=1))&gt;0)</f>
        <v/>
      </c>
      <c r="HS31">
        <f>$HS$30+--($HR31)</f>
        <v/>
      </c>
      <c r="HT31">
        <f>IF(ROW()-3&gt;MAX($HS$4:$HS$40),"",INDEX($BR$4:$BR$40,MATCH(ROW()-3,$HS$4:$HS$40,0)))</f>
        <v/>
      </c>
      <c r="HU31">
        <f>IF(COUNTIF('Live Search'!BM$30:BY$30,0)+COUNTIF('Live Search'!CA$30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V31">
        <f>IF($BW$31="",FALSE,SUMPRODUCT(('Final Calculation Sheet'!$M$4:$M$40=$BW$31)*($HU$6:$HU$42=1))&gt;0)</f>
        <v/>
      </c>
      <c r="HW31">
        <f>$HW$30+--($HV31)</f>
        <v/>
      </c>
      <c r="HX31">
        <f>IF(ROW()-3&gt;MAX($HW$4:$HW$40),"",INDEX($BW$4:$BW$40,MATCH(ROW()-3,$HW$4:$HW$40,0)))</f>
        <v/>
      </c>
      <c r="HY31">
        <f>IF(COUNTIF('Live Search'!BM$30:BZ$30,0)+COUNTIF('Live Search'!CB$30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HZ31">
        <f>IF($CB$31="",FALSE,SUMPRODUCT(('Final Calculation Sheet'!$N$4:$N$40=$CB$31)*($HY$6:$HY$42=1))&gt;0)</f>
        <v/>
      </c>
      <c r="IA31">
        <f>$IA$30+--($HZ31)</f>
        <v/>
      </c>
      <c r="IB31">
        <f>IF(ROW()-3&gt;MAX($IA$4:$IA$40),"",INDEX($CB$4:$CB$40,MATCH(ROW()-3,$IA$4:$IA$40,0)))</f>
        <v/>
      </c>
      <c r="IC31">
        <f>IF(COUNTIF('Live Search'!BM$30:CA$30,0)+COUNTIF('Live Search'!CC$30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D31">
        <f>IF($CG$31="",FALSE,SUMPRODUCT(('Final Calculation Sheet'!$O$4:$O$40=$CG$31)*($IC$6:$IC$42=1))&gt;0)</f>
        <v/>
      </c>
      <c r="IE31">
        <f>$IE$30+--($ID31)</f>
        <v/>
      </c>
      <c r="IF31">
        <f>IF(ROW()-3&gt;MAX($IE$4:$IE$40),"",INDEX($CG$4:$CG$40,MATCH(ROW()-3,$IE$4:$IE$40,0)))</f>
        <v/>
      </c>
      <c r="IG31">
        <f>IF(COUNTIF('Live Search'!BM$30:CB$30,0)+COUNTIF('Live Search'!CD$30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H31">
        <f>IF($CL$31="",FALSE,SUMPRODUCT(('Final Calculation Sheet'!$P$4:$P$40=$CL$31)*($IG$6:$IG$42=1))&gt;0)</f>
        <v/>
      </c>
      <c r="II31">
        <f>$II$30+--($IH31)</f>
        <v/>
      </c>
      <c r="IJ31">
        <f>IF(ROW()-3&gt;MAX($II$4:$II$40),"",INDEX($CL$4:$CL$40,MATCH(ROW()-3,$II$4:$II$40,0)))</f>
        <v/>
      </c>
      <c r="IK31">
        <f>IF(COUNTIF('Live Search'!BM$30:CC$30,0)+COUNTIF('Live Search'!CE$30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L31">
        <f>IF($CQ$31="",FALSE,SUMPRODUCT(('Final Calculation Sheet'!$Q$4:$Q$40=$CQ$31)*($IK$6:$IK$42=1))&gt;0)</f>
        <v/>
      </c>
      <c r="IM31">
        <f>$IM$30+--($IL31)</f>
        <v/>
      </c>
      <c r="IN31">
        <f>IF(ROW()-3&gt;MAX($IM$4:$IM$40),"",INDEX($CQ$4:$CQ$40,MATCH(ROW()-3,$IM$4:$IM$40,0)))</f>
        <v/>
      </c>
      <c r="IO31">
        <f>IF(COUNTIF('Live Search'!BM$30:CD$30,0)+COUNTIF('Live Search'!CF$30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P31">
        <f>IF($CV$31="",FALSE,SUMPRODUCT(('Final Calculation Sheet'!$R$4:$R$40=$CV$31)*($IO$6:$IO$42=1))&gt;0)</f>
        <v/>
      </c>
      <c r="IQ31">
        <f>$IQ$30+--($IP31)</f>
        <v/>
      </c>
      <c r="IR31">
        <f>IF(ROW()-3&gt;MAX($IQ$4:$IQ$40),"",INDEX($CV$4:$CV$40,MATCH(ROW()-3,$IQ$4:$IQ$40,0)))</f>
        <v/>
      </c>
      <c r="IS31">
        <f>IF(COUNTIF('Live Search'!BM$30:CE$30,0)+COUNTIF('Live Search'!CG$30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T31">
        <f>IF($DA$31="",FALSE,SUMPRODUCT(('Final Calculation Sheet'!$S$4:$S$40=$DA$31)*($IS$6:$IS$42=1))&gt;0)</f>
        <v/>
      </c>
      <c r="IU31">
        <f>$IU$30+--($IT31)</f>
        <v/>
      </c>
      <c r="IV31">
        <f>IF(ROW()-3&gt;MAX($IU$4:$IU$40),"",INDEX($DA$4:$DA$40,MATCH(ROW()-3,$IU$4:$IU$40,0)))</f>
        <v/>
      </c>
      <c r="IW31">
        <f>IF(COUNTIF('Live Search'!BM$30:CF$30,0)+COUNTIF('Live Search'!CH$30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IX31">
        <f>IF($DF$31="",FALSE,SUMPRODUCT(('Final Calculation Sheet'!$T$4:$T$40=$DF$31)*($IW$6:$IW$42=1))&gt;0)</f>
        <v/>
      </c>
      <c r="IY31">
        <f>$IY$30+--($IX31)</f>
        <v/>
      </c>
      <c r="IZ31">
        <f>IF(ROW()-3&gt;MAX($IY$4:$IY$40),"",INDEX($DF$4:$DF$40,MATCH(ROW()-3,$IY$4:$IY$40,0)))</f>
        <v/>
      </c>
      <c r="JA31">
        <f>IF(COUNTIF('Live Search'!BM$30:CG$30,0)+COUNTIF('Live Search'!CI$30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B31">
        <f>IF($DK$31="",FALSE,SUMPRODUCT(('Final Calculation Sheet'!$U$4:$U$40=$DK$31)*($JA$6:$JA$42=1))&gt;0)</f>
        <v/>
      </c>
      <c r="JC31">
        <f>$JC$30+--($JB31)</f>
        <v/>
      </c>
      <c r="JD31">
        <f>IF(ROW()-3&gt;MAX($JC$4:$JC$40),"",INDEX($DK$4:$DK$40,MATCH(ROW()-3,$JC$4:$JC$40,0)))</f>
        <v/>
      </c>
      <c r="JE31">
        <f>IF(COUNTIF('Live Search'!BM$30:CH$30,0)+COUNTIF('Live Search'!CJ$30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F31">
        <f>IF($DP$31="",FALSE,SUMPRODUCT(('Final Calculation Sheet'!$V$4:$V$40=$DP$31)*($JE$6:$JE$42=1))&gt;0)</f>
        <v/>
      </c>
      <c r="JG31">
        <f>$JG$30+--($JF31)</f>
        <v/>
      </c>
      <c r="JH31">
        <f>IF(ROW()-3&gt;MAX($JG$4:$JG$40),"",INDEX($DP$4:$DP$40,MATCH(ROW()-3,$JG$4:$JG$40,0)))</f>
        <v/>
      </c>
      <c r="JI31">
        <f>IF(COUNTIF('Live Search'!BM$30:CI$30,0)+COUNTIF('Live Search'!CK$30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J31">
        <f>IF($DU$31="",FALSE,SUMPRODUCT(('Final Calculation Sheet'!$W$4:$W$40=$DU$31)*($JI$6:$JI$42=1))&gt;0)</f>
        <v/>
      </c>
      <c r="JK31">
        <f>$JK$30+--($JJ31)</f>
        <v/>
      </c>
      <c r="JL31">
        <f>IF(ROW()-3&gt;MAX($JK$4:$JK$40),"",INDEX($DU$4:$DU$40,MATCH(ROW()-3,$JK$4:$JK$40,0)))</f>
        <v/>
      </c>
      <c r="JM31">
        <f>IF(COUNTIF('Live Search'!BM$30:CJ$30,0)+COUNTIF('Live Search'!CL$30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N31">
        <f>IF($DZ$31="",FALSE,SUMPRODUCT(('Final Calculation Sheet'!$X$4:$X$40=$DZ$31)*($JM$6:$JM$42=1))&gt;0)</f>
        <v/>
      </c>
      <c r="JO31">
        <f>$JO$30+--($JN31)</f>
        <v/>
      </c>
      <c r="JP31">
        <f>IF(ROW()-3&gt;MAX($JO$4:$JO$40),"",INDEX($DZ$4:$DZ$40,MATCH(ROW()-3,$JO$4:$JO$40,0)))</f>
        <v/>
      </c>
      <c r="JQ31">
        <f>IF(COUNTIF('Live Search'!BM$30:CK$30,0)+COUNTIF('Live Search'!C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R31">
        <f>IF($EE$31="",FALSE,SUMPRODUCT(('Final Calculation Sheet'!$Y$4:$Y$40=$EE$31)*($JQ$6:$JQ$42=1))&gt;0)</f>
        <v/>
      </c>
      <c r="JS31">
        <f>$JS$30+--($JR31)</f>
        <v/>
      </c>
      <c r="JT31">
        <f>IF(ROW()-3&gt;MAX($JS$4:$JS$40),"",INDEX($EE$4:$EE$40,MATCH(ROW()-3,$JS$4:$JS$40,0)))</f>
        <v/>
      </c>
      <c r="JU31">
        <f>IF(COUNTIF('Live Search'!BM$30:CL$30,0)+COUNTIF('Live Search'!CN$30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V31">
        <f>IF($EJ$31="",FALSE,SUMPRODUCT(('Final Calculation Sheet'!$Z$4:$Z$40=$EJ$31)*($JU$6:$JU$42=1))&gt;0)</f>
        <v/>
      </c>
      <c r="JW31">
        <f>$JW$30+--($JV31)</f>
        <v/>
      </c>
      <c r="JX31">
        <f>IF(ROW()-3&gt;MAX($JW$4:$JW$40),"",INDEX($EJ$4:$EJ$40,MATCH(ROW()-3,$JW$4:$JW$40,0)))</f>
        <v/>
      </c>
      <c r="JY31">
        <f>IF(COUNTIF('Live Search'!BM$30:CM$30,0)+COUNTIF('Live Search'!CO$30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JZ31">
        <f>IF($EO$31="",FALSE,SUMPRODUCT(('Final Calculation Sheet'!$AA$4:$AA$40=$EO$31)*($JY$6:$JY$42=1))&gt;0)</f>
        <v/>
      </c>
      <c r="KA31">
        <f>$KA$30+--($JZ31)</f>
        <v/>
      </c>
      <c r="KB31">
        <f>IF(ROW()-3&gt;MAX($KA$4:$KA$40),"",INDEX($EO$4:$EO$40,MATCH(ROW()-3,$KA$4:$KA$40,0)))</f>
        <v/>
      </c>
      <c r="KC31">
        <f>IF(COUNTIF('Live Search'!BM$30:CN$30,0)+COUNTIF('Live Search'!CP$30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D31">
        <f>IF($ET$31="",FALSE,SUMPRODUCT(('Final Calculation Sheet'!$AB$4:$AB$40=$ET$31)*($KC$6:$KC$42=1))&gt;0)</f>
        <v/>
      </c>
      <c r="KE31">
        <f>$KE$30+--($KD31)</f>
        <v/>
      </c>
      <c r="KF31">
        <f>IF(ROW()-3&gt;MAX($KE$4:$KE$40),"",INDEX($ET$4:$ET$40,MATCH(ROW()-3,$KE$4:$KE$40,0)))</f>
        <v/>
      </c>
      <c r="KG31">
        <f>IF(COUNTIF('Live Search'!BM$30:CO$30,0)+COUNTIF('Live Search'!CQ$30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H31">
        <f>IF($EY$31="",FALSE,SUMPRODUCT(('Final Calculation Sheet'!$AC$4:$AC$40=$EY$31)*($KG$6:$KG$42=1))&gt;0)</f>
        <v/>
      </c>
      <c r="KI31">
        <f>$KI$30+--($KH31)</f>
        <v/>
      </c>
      <c r="KJ31">
        <f>IF(ROW()-3&gt;MAX($KI$4:$KI$40),"",INDEX($EY$4:$EY$40,MATCH(ROW()-3,$KI$4:$KI$40,0)))</f>
        <v/>
      </c>
      <c r="KK31">
        <f>IF(COUNTIF('Live Search'!BM$30:CP$30,0)+COUNTIF('Live Search'!CR$30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L31">
        <f>IF($FD$31="",FALSE,SUMPRODUCT(('Final Calculation Sheet'!$AD$4:$AD$40=$FD$31)*($KK$6:$KK$42=1))&gt;0)</f>
        <v/>
      </c>
      <c r="KM31">
        <f>$KM$30+--($KL31)</f>
        <v/>
      </c>
      <c r="KN31">
        <f>IF(ROW()-3&gt;MAX($KM$4:$KM$40),"",INDEX($FD$4:$FD$40,MATCH(ROW()-3,$KM$4:$KM$40,0)))</f>
        <v/>
      </c>
      <c r="KO31">
        <f>IF(COUNTIF('Live Search'!BM$30:CT$30,0)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P31">
        <f>IF($FX$31="",FALSE,SUMPRODUCT((IF('Final Calculation Sheet'!$AD$4:$AD$40&lt;=5,"SETTLED","OUTSTANDING")=$FX$31)*($KO$6:$KO$42=1))&gt;0)</f>
        <v/>
      </c>
      <c r="KQ31">
        <f>$KQ$30+--($KP31)</f>
        <v/>
      </c>
      <c r="KR31">
        <f>IF(ROW()-3&gt;MAX($KQ$4:$KQ$40),"",INDEX($FX$4:$FX$40,MATCH(ROW()-3,$KQ$4:$KQ$40,0)))</f>
        <v/>
      </c>
      <c r="KS31">
        <f>IF(COUNTIF('Live Search'!BM$30:CQ$30,0)+COUNTIF('Live Search'!CS$30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T31">
        <f>IF($FI$31="",FALSE,SUMPRODUCT(('Final Calculation Sheet'!$AF$4:$AF$40=$FI$31)*($KS$6:$KS$42=1))&gt;0)</f>
        <v/>
      </c>
      <c r="KU31">
        <f>$KU$30+--($KT31)</f>
        <v/>
      </c>
      <c r="KV31">
        <f>IF(ROW()-3&gt;MAX($KU$4:$KU$40),"",INDEX($FI$4:$FI$40,MATCH(ROW()-3,$KU$4:$KU$40,0)))</f>
        <v/>
      </c>
      <c r="KW31">
        <f>IF(COUNTIF('Live Search'!BM$30:CR$30,0)+COUNTIF('Live Search'!CT$30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KX31">
        <f>IF($FN$31="",FALSE,SUMPRODUCT(('Final Calculation Sheet'!$AG$4:$AG$40=$FN$31)*($KW$6:$KW$42=1))&gt;0)</f>
        <v/>
      </c>
      <c r="KY31">
        <f>$KY$30+--($KX31)</f>
        <v/>
      </c>
      <c r="KZ31">
        <f>IF(ROW()-3&gt;MAX($KY$4:$KY$40),"",INDEX($FN$4:$FN$40,MATCH(ROW()-3,$KY$4:$KY$40,0)))</f>
        <v/>
      </c>
      <c r="LA31">
        <f>IF(COUNTIF('Live Search'!BM$30:CS$30,0)+COUNTIF('Live Search'!CU$30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LB31">
        <f>IF($FS$31="",FALSE,SUMPRODUCT(('Final Calculation Sheet'!$AH$4:$AH$40=$FS$31)*($LA$6:$LA$42=1))&gt;0)</f>
        <v/>
      </c>
      <c r="LC31">
        <f>$LC$30+--($LB31)</f>
        <v/>
      </c>
      <c r="LD31">
        <f>IF(ROW()-3&gt;MAX($LC$4:$LC$40),"",INDEX($FS$4:$FS$40,MATCH(ROW()-3,$LC$4:$LC$40,0)))</f>
        <v/>
      </c>
      <c r="LE31">
        <f>IF(COUNTIF('Buyer Groups'!DH84:EN84,0)&gt;0,0,1)</f>
        <v/>
      </c>
      <c r="LF31">
        <f>IF($O$31="",FALSE,SUMPRODUCT(('Final Calculation Sheet'!$F$4:$F$40=$O$31)*($LE$6:$LE$42=1))&gt;0)</f>
        <v/>
      </c>
      <c r="LG31">
        <f>$LG$30+--($LF31)</f>
        <v/>
      </c>
      <c r="LH31">
        <f>IF(ROW()-3&gt;MAX($LG$4:$LG$40),"",INDEX($O$4:$O$40,MATCH(ROW()-3,$LG$4:$LG$40,0)))</f>
        <v/>
      </c>
      <c r="LI31">
        <f>IF(COUNTIF('Buyer Groups'!DG84:DG84,0)+COUNTIF('Buyer Groups'!DI84:EN84,0)&gt;0,0,1)</f>
        <v/>
      </c>
      <c r="LJ31">
        <f>IF($T$31="",FALSE,SUMPRODUCT(('Final Calculation Sheet'!$G$4:$G$40=$T$31)*($LI$6:$LI$42=1))&gt;0)</f>
        <v/>
      </c>
      <c r="LK31">
        <f>$LK$30+--($LJ31)</f>
        <v/>
      </c>
      <c r="LL31">
        <f>IF(ROW()-3&gt;MAX($LK$4:$LK$40),"",INDEX($T$4:$T$40,MATCH(ROW()-3,$LK$4:$LK$40,0)))</f>
        <v/>
      </c>
      <c r="LM31">
        <f>IF(COUNTIF('Buyer Groups'!DG84:DH84,0)+COUNTIF('Buyer Groups'!DJ84:EN84,0)&gt;0,0,1)</f>
        <v/>
      </c>
      <c r="LN31">
        <f>IF($Y$31="",FALSE,SUMPRODUCT(('Final Calculation Sheet'!$B$4:$B$40=$Y$31)*($LM$6:$LM$42=1))&gt;0)</f>
        <v/>
      </c>
      <c r="LO31">
        <f>$LO$30+--($LN31)</f>
        <v/>
      </c>
      <c r="LP31">
        <f>IF(ROW()-3&gt;MAX($LO$4:$LO$40),"",INDEX($Y$4:$Y$40,MATCH(ROW()-3,$LO$4:$LO$40,0)))</f>
        <v/>
      </c>
      <c r="LQ31">
        <f>IF(COUNTIF('Buyer Groups'!DG84:DI84,0)+COUNTIF('Buyer Groups'!DK84:EN84,0)&gt;0,0,1)</f>
        <v/>
      </c>
      <c r="LR31">
        <f>IF($AD$31="",FALSE,SUMPRODUCT(('Final Calculation Sheet'!$D$4:$D$40=$AD$31)*($LQ$6:$LQ$42=1))&gt;0)</f>
        <v/>
      </c>
      <c r="LS31">
        <f>$LS$30+--($LR31)</f>
        <v/>
      </c>
      <c r="LT31">
        <f>IF(ROW()-3&gt;MAX($LS$4:$LS$40),"",INDEX($AD$4:$AD$40,MATCH(ROW()-3,$LS$4:$LS$40,0)))</f>
        <v/>
      </c>
      <c r="LU31">
        <f>IF(COUNTIF('Buyer Groups'!DG84:DJ84,0)+COUNTIF('Buyer Groups'!DL84:EN84,0)&gt;0,0,1)</f>
        <v/>
      </c>
      <c r="LV31">
        <f>IF($AI$31="",FALSE,SUMPRODUCT(('Final Calculation Sheet'!$A$4:$A$40=$AI$31)*($LU$6:$LU$42=1))&gt;0)</f>
        <v/>
      </c>
      <c r="LW31">
        <f>$LW$30+--($LV31)</f>
        <v/>
      </c>
      <c r="LX31">
        <f>IF(ROW()-3&gt;MAX($LW$4:$LW$40),"",INDEX($AI$4:$AI$40,MATCH(ROW()-3,$LW$4:$LW$40,0)))</f>
        <v/>
      </c>
      <c r="LY31">
        <f>IF(COUNTIF('Buyer Groups'!DG84:DK84,0)+COUNTIF('Buyer Groups'!DM84:EN84,0)&gt;0,0,1)</f>
        <v/>
      </c>
      <c r="LZ31">
        <f>IF($AN$31="",FALSE,SUMPRODUCT(('Final Calculation Sheet'!$E$4:$E$40=$AN$31)*($LY$6:$LY$42=1))&gt;0)</f>
        <v/>
      </c>
      <c r="MA31">
        <f>$MA$30+--($LZ31)</f>
        <v/>
      </c>
      <c r="MB31">
        <f>IF(ROW()-3&gt;MAX($MA$4:$MA$40),"",INDEX($AN$4:$AN$40,MATCH(ROW()-3,$MA$4:$MA$40,0)))</f>
        <v/>
      </c>
      <c r="MC31">
        <f>IF(COUNTIF('Buyer Groups'!DG84:DL84,0)+COUNTIF('Buyer Groups'!DN84:EN84,0)&gt;0,0,1)</f>
        <v/>
      </c>
      <c r="MD31">
        <f>IF($AS$31="",FALSE,SUMPRODUCT(('Final Calculation Sheet'!$C$4:$C$40=$AS$31)*($MC$6:$MC$42=1))&gt;0)</f>
        <v/>
      </c>
      <c r="ME31">
        <f>$ME$30+--($MD31)</f>
        <v/>
      </c>
      <c r="MF31">
        <f>IF(ROW()-3&gt;MAX($ME$4:$ME$40),"",INDEX($AS$4:$AS$40,MATCH(ROW()-3,$ME$4:$ME$40,0)))</f>
        <v/>
      </c>
      <c r="MG31">
        <f>IF(COUNTIF('Buyer Groups'!DG84:DM84,0)+COUNTIF('Buyer Groups'!DO84:EN84,0)&gt;0,0,1)</f>
        <v/>
      </c>
      <c r="MH31">
        <f>IF($AX$31="",FALSE,SUMPRODUCT(('Final Calculation Sheet'!$H$4:$H$40=$AX$31)*($MG$6:$MG$42=1))&gt;0)</f>
        <v/>
      </c>
      <c r="MI31">
        <f>$MI$30+--($MH31)</f>
        <v/>
      </c>
      <c r="MJ31">
        <f>IF(ROW()-3&gt;MAX($MI$4:$MI$40),"",INDEX($AX$4:$AX$40,MATCH(ROW()-3,$MI$4:$MI$40,0)))</f>
        <v/>
      </c>
      <c r="MK31">
        <f>IF(COUNTIF('Buyer Groups'!DG84:DN84,0)+COUNTIF('Buyer Groups'!DP84:EN84,0)&gt;0,0,1)</f>
        <v/>
      </c>
      <c r="ML31">
        <f>IF($BC$31="",FALSE,SUMPRODUCT(('Final Calculation Sheet'!$I$4:$I$40=$BC$31)*($MK$6:$MK$42=1))&gt;0)</f>
        <v/>
      </c>
      <c r="MM31">
        <f>$MM$30+--($ML31)</f>
        <v/>
      </c>
      <c r="MN31">
        <f>IF(ROW()-3&gt;MAX($MM$4:$MM$40),"",INDEX($BC$4:$BC$40,MATCH(ROW()-3,$MM$4:$MM$40,0)))</f>
        <v/>
      </c>
      <c r="MO31">
        <f>IF(COUNTIF('Buyer Groups'!DG84:DO84,0)+COUNTIF('Buyer Groups'!DQ84:EN84,0)&gt;0,0,1)</f>
        <v/>
      </c>
      <c r="MP31">
        <f>IF($BH$31="",FALSE,SUMPRODUCT(('Final Calculation Sheet'!$J$4:$J$40=$BH$31)*($MO$6:$MO$42=1))&gt;0)</f>
        <v/>
      </c>
      <c r="MQ31">
        <f>$MQ$30+--($MP31)</f>
        <v/>
      </c>
      <c r="MR31">
        <f>IF(ROW()-3&gt;MAX($MQ$4:$MQ$40),"",INDEX($BH$4:$BH$40,MATCH(ROW()-3,$MQ$4:$MQ$40,0)))</f>
        <v/>
      </c>
      <c r="MS31">
        <f>IF(COUNTIF('Buyer Groups'!DG84:DP84,0)+COUNTIF('Buyer Groups'!DR84:EN84,0)&gt;0,0,1)</f>
        <v/>
      </c>
      <c r="MT31">
        <f>IF($BM$31="",FALSE,SUMPRODUCT(('Final Calculation Sheet'!$K$4:$K$40=$BM$31)*($MS$6:$MS$42=1))&gt;0)</f>
        <v/>
      </c>
      <c r="MU31">
        <f>$MU$30+--($MT31)</f>
        <v/>
      </c>
      <c r="MV31">
        <f>IF(ROW()-3&gt;MAX($MU$4:$MU$40),"",INDEX($BM$4:$BM$40,MATCH(ROW()-3,$MU$4:$MU$40,0)))</f>
        <v/>
      </c>
      <c r="MW31">
        <f>IF(COUNTIF('Buyer Groups'!DG84:DQ84,0)+COUNTIF('Buyer Groups'!DS84:EN84,0)&gt;0,0,1)</f>
        <v/>
      </c>
      <c r="MX31">
        <f>IF($BR$31="",FALSE,SUMPRODUCT(('Final Calculation Sheet'!$L$4:$L$40=$BR$31)*($MW$6:$MW$42=1))&gt;0)</f>
        <v/>
      </c>
      <c r="MY31">
        <f>$MY$30+--($MX31)</f>
        <v/>
      </c>
      <c r="MZ31">
        <f>IF(ROW()-3&gt;MAX($MY$4:$MY$40),"",INDEX($BR$4:$BR$40,MATCH(ROW()-3,$MY$4:$MY$40,0)))</f>
        <v/>
      </c>
      <c r="NA31">
        <f>IF(COUNTIF('Buyer Groups'!DG84:DR84,0)+COUNTIF('Buyer Groups'!DT84:EN84,0)&gt;0,0,1)</f>
        <v/>
      </c>
      <c r="NB31">
        <f>IF($BW$31="",FALSE,SUMPRODUCT(('Final Calculation Sheet'!$M$4:$M$40=$BW$31)*($NA$6:$NA$42=1))&gt;0)</f>
        <v/>
      </c>
      <c r="NC31">
        <f>$NC$30+--($NB31)</f>
        <v/>
      </c>
      <c r="ND31">
        <f>IF(ROW()-3&gt;MAX($NC$4:$NC$40),"",INDEX($BW$4:$BW$40,MATCH(ROW()-3,$NC$4:$NC$40,0)))</f>
        <v/>
      </c>
      <c r="NE31">
        <f>IF(COUNTIF('Buyer Groups'!DG84:DS84,0)+COUNTIF('Buyer Groups'!DU84:EN84,0)&gt;0,0,1)</f>
        <v/>
      </c>
      <c r="NF31">
        <f>IF($CB$31="",FALSE,SUMPRODUCT(('Final Calculation Sheet'!$N$4:$N$40=$CB$31)*($NE$6:$NE$42=1))&gt;0)</f>
        <v/>
      </c>
      <c r="NG31">
        <f>$NG$30+--($NF31)</f>
        <v/>
      </c>
      <c r="NH31">
        <f>IF(ROW()-3&gt;MAX($NG$4:$NG$40),"",INDEX($CB$4:$CB$40,MATCH(ROW()-3,$NG$4:$NG$40,0)))</f>
        <v/>
      </c>
      <c r="NI31">
        <f>IF(COUNTIF('Buyer Groups'!DG84:DT84,0)+COUNTIF('Buyer Groups'!DV84:EN84,0)&gt;0,0,1)</f>
        <v/>
      </c>
      <c r="NJ31">
        <f>IF($CG$31="",FALSE,SUMPRODUCT(('Final Calculation Sheet'!$O$4:$O$40=$CG$31)*($NI$6:$NI$42=1))&gt;0)</f>
        <v/>
      </c>
      <c r="NK31">
        <f>$NK$30+--($NJ31)</f>
        <v/>
      </c>
      <c r="NL31">
        <f>IF(ROW()-3&gt;MAX($NK$4:$NK$40),"",INDEX($CG$4:$CG$40,MATCH(ROW()-3,$NK$4:$NK$40,0)))</f>
        <v/>
      </c>
      <c r="NM31">
        <f>IF(COUNTIF('Buyer Groups'!DG84:DU84,0)+COUNTIF('Buyer Groups'!DW84:EN84,0)&gt;0,0,1)</f>
        <v/>
      </c>
      <c r="NN31">
        <f>IF($CL$31="",FALSE,SUMPRODUCT(('Final Calculation Sheet'!$P$4:$P$40=$CL$31)*($NM$6:$NM$42=1))&gt;0)</f>
        <v/>
      </c>
      <c r="NO31">
        <f>$NO$30+--($NN31)</f>
        <v/>
      </c>
      <c r="NP31">
        <f>IF(ROW()-3&gt;MAX($NO$4:$NO$40),"",INDEX($CL$4:$CL$40,MATCH(ROW()-3,$NO$4:$NO$40,0)))</f>
        <v/>
      </c>
      <c r="NQ31">
        <f>IF(COUNTIF('Buyer Groups'!DG84:DV84,0)+COUNTIF('Buyer Groups'!DX84:EN84,0)&gt;0,0,1)</f>
        <v/>
      </c>
      <c r="NR31">
        <f>IF($CQ$31="",FALSE,SUMPRODUCT(('Final Calculation Sheet'!$Q$4:$Q$40=$CQ$31)*($NQ$6:$NQ$42=1))&gt;0)</f>
        <v/>
      </c>
      <c r="NS31">
        <f>$NS$30+--($NR31)</f>
        <v/>
      </c>
      <c r="NT31">
        <f>IF(ROW()-3&gt;MAX($NS$4:$NS$40),"",INDEX($CQ$4:$CQ$40,MATCH(ROW()-3,$NS$4:$NS$40,0)))</f>
        <v/>
      </c>
      <c r="NU31">
        <f>IF(COUNTIF('Buyer Groups'!DG84:DW84,0)+COUNTIF('Buyer Groups'!DY84:EN84,0)&gt;0,0,1)</f>
        <v/>
      </c>
      <c r="NV31">
        <f>IF($CV$31="",FALSE,SUMPRODUCT(('Final Calculation Sheet'!$R$4:$R$40=$CV$31)*($NU$6:$NU$42=1))&gt;0)</f>
        <v/>
      </c>
      <c r="NW31">
        <f>$NW$30+--($NV31)</f>
        <v/>
      </c>
      <c r="NX31">
        <f>IF(ROW()-3&gt;MAX($NW$4:$NW$40),"",INDEX($CV$4:$CV$40,MATCH(ROW()-3,$NW$4:$NW$40,0)))</f>
        <v/>
      </c>
      <c r="NY31">
        <f>IF(COUNTIF('Buyer Groups'!DG84:DX84,0)+COUNTIF('Buyer Groups'!DZ84:EN84,0)&gt;0,0,1)</f>
        <v/>
      </c>
      <c r="NZ31">
        <f>IF($DA$31="",FALSE,SUMPRODUCT(('Final Calculation Sheet'!$S$4:$S$40=$DA$31)*($NY$6:$NY$42=1))&gt;0)</f>
        <v/>
      </c>
      <c r="OA31">
        <f>$OA$30+--($NZ31)</f>
        <v/>
      </c>
      <c r="OB31">
        <f>IF(ROW()-3&gt;MAX($OA$4:$OA$40),"",INDEX($DA$4:$DA$40,MATCH(ROW()-3,$OA$4:$OA$40,0)))</f>
        <v/>
      </c>
      <c r="OC31">
        <f>IF(COUNTIF('Buyer Groups'!DG84:DY84,0)+COUNTIF('Buyer Groups'!EA84:EN84,0)&gt;0,0,1)</f>
        <v/>
      </c>
      <c r="OD31">
        <f>IF($DF$31="",FALSE,SUMPRODUCT(('Final Calculation Sheet'!$T$4:$T$40=$DF$31)*($OC$6:$OC$42=1))&gt;0)</f>
        <v/>
      </c>
      <c r="OE31">
        <f>$OE$30+--($OD31)</f>
        <v/>
      </c>
      <c r="OF31">
        <f>IF(ROW()-3&gt;MAX($OE$4:$OE$40),"",INDEX($DF$4:$DF$40,MATCH(ROW()-3,$OE$4:$OE$40,0)))</f>
        <v/>
      </c>
      <c r="OG31">
        <f>IF(COUNTIF('Buyer Groups'!DG84:DZ84,0)+COUNTIF('Buyer Groups'!EB84:EN84,0)&gt;0,0,1)</f>
        <v/>
      </c>
      <c r="OH31">
        <f>IF($DK$31="",FALSE,SUMPRODUCT(('Final Calculation Sheet'!$U$4:$U$40=$DK$31)*($OG$6:$OG$42=1))&gt;0)</f>
        <v/>
      </c>
      <c r="OI31">
        <f>$OI$30+--($OH31)</f>
        <v/>
      </c>
      <c r="OJ31">
        <f>IF(ROW()-3&gt;MAX($OI$4:$OI$40),"",INDEX($DK$4:$DK$40,MATCH(ROW()-3,$OI$4:$OI$40,0)))</f>
        <v/>
      </c>
      <c r="OK31">
        <f>IF(COUNTIF('Buyer Groups'!DG84:EA84,0)+COUNTIF('Buyer Groups'!EC84:EN84,0)&gt;0,0,1)</f>
        <v/>
      </c>
      <c r="OL31">
        <f>IF($DP$31="",FALSE,SUMPRODUCT(('Final Calculation Sheet'!$V$4:$V$40=$DP$31)*($OK$6:$OK$42=1))&gt;0)</f>
        <v/>
      </c>
      <c r="OM31">
        <f>$OM$30+--($OL31)</f>
        <v/>
      </c>
      <c r="ON31">
        <f>IF(ROW()-3&gt;MAX($OM$4:$OM$40),"",INDEX($DP$4:$DP$40,MATCH(ROW()-3,$OM$4:$OM$40,0)))</f>
        <v/>
      </c>
      <c r="OO31">
        <f>IF(COUNTIF('Buyer Groups'!DG84:EB84,0)+COUNTIF('Buyer Groups'!ED84:EN84,0)&gt;0,0,1)</f>
        <v/>
      </c>
      <c r="OP31">
        <f>IF($DU$31="",FALSE,SUMPRODUCT(('Final Calculation Sheet'!$W$4:$W$40=$DU$31)*($OO$6:$OO$42=1))&gt;0)</f>
        <v/>
      </c>
      <c r="OQ31">
        <f>$OQ$30+--($OP31)</f>
        <v/>
      </c>
      <c r="OR31">
        <f>IF(ROW()-3&gt;MAX($OQ$4:$OQ$40),"",INDEX($DU$4:$DU$40,MATCH(ROW()-3,$OQ$4:$OQ$40,0)))</f>
        <v/>
      </c>
      <c r="OS31">
        <f>IF(COUNTIF('Buyer Groups'!DG84:EC84,0)+COUNTIF('Buyer Groups'!EE84:EN84,0)&gt;0,0,1)</f>
        <v/>
      </c>
      <c r="OT31">
        <f>IF($DZ$31="",FALSE,SUMPRODUCT(('Final Calculation Sheet'!$X$4:$X$40=$DZ$31)*($OS$6:$OS$42=1))&gt;0)</f>
        <v/>
      </c>
      <c r="OU31">
        <f>$OU$30+--($OT31)</f>
        <v/>
      </c>
      <c r="OV31">
        <f>IF(ROW()-3&gt;MAX($OU$4:$OU$40),"",INDEX($DZ$4:$DZ$40,MATCH(ROW()-3,$OU$4:$OU$40,0)))</f>
        <v/>
      </c>
      <c r="OW31">
        <f>IF(COUNTIF('Buyer Groups'!DG84:ED84,0)+COUNTIF('Buyer Groups'!EF84:EN84,0)&gt;0,0,1)</f>
        <v/>
      </c>
      <c r="OX31">
        <f>IF($EE$31="",FALSE,SUMPRODUCT(('Final Calculation Sheet'!$Y$4:$Y$40=$EE$31)*($OW$6:$OW$42=1))&gt;0)</f>
        <v/>
      </c>
      <c r="OY31">
        <f>$OY$30+--($OX31)</f>
        <v/>
      </c>
      <c r="OZ31">
        <f>IF(ROW()-3&gt;MAX($OY$4:$OY$40),"",INDEX($EE$4:$EE$40,MATCH(ROW()-3,$OY$4:$OY$40,0)))</f>
        <v/>
      </c>
      <c r="PA31">
        <f>IF(COUNTIF('Buyer Groups'!DG84:EE84,0)+COUNTIF('Buyer Groups'!EG84:EN84,0)&gt;0,0,1)</f>
        <v/>
      </c>
      <c r="PB31">
        <f>IF($EJ$31="",FALSE,SUMPRODUCT(('Final Calculation Sheet'!$Z$4:$Z$40=$EJ$31)*($PA$6:$PA$42=1))&gt;0)</f>
        <v/>
      </c>
      <c r="PC31">
        <f>$PC$30+--($PB31)</f>
        <v/>
      </c>
      <c r="PD31">
        <f>IF(ROW()-3&gt;MAX($PC$4:$PC$40),"",INDEX($EJ$4:$EJ$40,MATCH(ROW()-3,$PC$4:$PC$40,0)))</f>
        <v/>
      </c>
      <c r="PE31">
        <f>IF(COUNTIF('Buyer Groups'!DG84:EF84,0)+COUNTIF('Buyer Groups'!EH84:EN84,0)&gt;0,0,1)</f>
        <v/>
      </c>
      <c r="PF31">
        <f>IF($EO$31="",FALSE,SUMPRODUCT(('Final Calculation Sheet'!$AA$4:$AA$40=$EO$31)*($PE$6:$PE$42=1))&gt;0)</f>
        <v/>
      </c>
      <c r="PG31">
        <f>$PG$30+--($PF31)</f>
        <v/>
      </c>
      <c r="PH31">
        <f>IF(ROW()-3&gt;MAX($PG$4:$PG$40),"",INDEX($EO$4:$EO$40,MATCH(ROW()-3,$PG$4:$PG$40,0)))</f>
        <v/>
      </c>
      <c r="PI31">
        <f>IF(COUNTIF('Buyer Groups'!DG84:EG84,0)+COUNTIF('Buyer Groups'!EI84:EN84,0)&gt;0,0,1)</f>
        <v/>
      </c>
      <c r="PJ31">
        <f>IF($ET$31="",FALSE,SUMPRODUCT(('Final Calculation Sheet'!$AB$4:$AB$40=$ET$31)*($PI$6:$PI$42=1))&gt;0)</f>
        <v/>
      </c>
      <c r="PK31">
        <f>$PK$30+--($PJ31)</f>
        <v/>
      </c>
      <c r="PL31">
        <f>IF(ROW()-3&gt;MAX($PK$4:$PK$40),"",INDEX($ET$4:$ET$40,MATCH(ROW()-3,$PK$4:$PK$40,0)))</f>
        <v/>
      </c>
      <c r="PM31">
        <f>IF(COUNTIF('Buyer Groups'!DG84:EH84,0)+COUNTIF('Buyer Groups'!EJ84:EN84,0)&gt;0,0,1)</f>
        <v/>
      </c>
      <c r="PN31">
        <f>IF($EY$31="",FALSE,SUMPRODUCT(('Final Calculation Sheet'!$AC$4:$AC$40=$EY$31)*($PM$6:$PM$42=1))&gt;0)</f>
        <v/>
      </c>
      <c r="PO31">
        <f>$PO$30+--($PN31)</f>
        <v/>
      </c>
      <c r="PP31">
        <f>IF(ROW()-3&gt;MAX($PO$4:$PO$40),"",INDEX($EY$4:$EY$40,MATCH(ROW()-3,$PO$4:$PO$40,0)))</f>
        <v/>
      </c>
      <c r="PQ31">
        <f>IF(COUNTIF('Buyer Groups'!DG84:EI84,0)+COUNTIF('Buyer Groups'!EK84:EN84,0)&gt;0,0,1)</f>
        <v/>
      </c>
      <c r="PR31">
        <f>IF($FD$31="",FALSE,SUMPRODUCT(('Final Calculation Sheet'!$AD$4:$AD$40=$FD$31)*($PQ$6:$PQ$42=1))&gt;0)</f>
        <v/>
      </c>
      <c r="PS31">
        <f>$PS$30+--($PR31)</f>
        <v/>
      </c>
      <c r="PT31">
        <f>IF(ROW()-3&gt;MAX($PS$4:$PS$40),"",INDEX($FD$4:$FD$40,MATCH(ROW()-3,$PS$4:$PS$40,0)))</f>
        <v/>
      </c>
      <c r="PU31">
        <f>IF(COUNTIF('Buyer Groups'!DG84:EJ84,0)+COUNTIF('Buyer Groups'!EL84:EN84,0)&gt;0,0,1)</f>
        <v/>
      </c>
      <c r="PV31">
        <f>IF($FX$31="",FALSE,SUMPRODUCT((IF('Final Calculation Sheet'!$AD$4:$AD$40&lt;=5,"SETTLED","OUTSTANDING")=$FX$31)*($PU$6:$PU$42=1))&gt;0)</f>
        <v/>
      </c>
      <c r="PW31">
        <f>$PW$30+--($PV31)</f>
        <v/>
      </c>
      <c r="PX31">
        <f>IF(ROW()-3&gt;MAX($PW$4:$PW$40),"",INDEX($FX$4:$FX$40,MATCH(ROW()-3,$PW$4:$PW$40,0)))</f>
        <v/>
      </c>
      <c r="PY31">
        <f>IF(COUNTIF('Buyer Groups'!DG84:EK84,0)+COUNTIF('Buyer Groups'!EM84:EN84,0)&gt;0,0,1)</f>
        <v/>
      </c>
      <c r="PZ31">
        <f>IF($FI$31="",FALSE,SUMPRODUCT(('Final Calculation Sheet'!$AF$4:$AF$40=$FI$31)*($PY$6:$PY$42=1))&gt;0)</f>
        <v/>
      </c>
      <c r="QA31">
        <f>$QA$30+--($PZ31)</f>
        <v/>
      </c>
      <c r="QB31">
        <f>IF(ROW()-3&gt;MAX($QA$4:$QA$40),"",INDEX($FI$4:$FI$40,MATCH(ROW()-3,$QA$4:$QA$40,0)))</f>
        <v/>
      </c>
      <c r="QC31">
        <f>IF(COUNTIF('Buyer Groups'!DG84:EL84,0)+COUNTIF('Buyer Groups'!EN84:EN84,0)&gt;0,0,1)</f>
        <v/>
      </c>
      <c r="QD31">
        <f>IF($FN$31="",FALSE,SUMPRODUCT(('Final Calculation Sheet'!$AG$4:$AG$40=$FN$31)*($QC$6:$QC$42=1))&gt;0)</f>
        <v/>
      </c>
      <c r="QE31">
        <f>$QE$30+--($QD31)</f>
        <v/>
      </c>
      <c r="QF31">
        <f>IF(ROW()-3&gt;MAX($QE$4:$QE$40),"",INDEX($FN$4:$FN$40,MATCH(ROW()-3,$QE$4:$QE$40,0)))</f>
        <v/>
      </c>
      <c r="QG31">
        <f>IF(COUNTIF('Buyer Groups'!DG84:EM84,0)&gt;0,0,1)</f>
        <v/>
      </c>
      <c r="QH31">
        <f>IF($FS$31="",FALSE,SUMPRODUCT(('Final Calculation Sheet'!$AH$4:$AH$40=$FS$31)*($QG$6:$QG$42=1))&gt;0)</f>
        <v/>
      </c>
      <c r="QI31">
        <f>$QI$30+--($QH31)</f>
        <v/>
      </c>
      <c r="QJ31">
        <f>IF(ROW()-3&gt;MAX($QI$4:$QI$40),"",INDEX($FS$4:$FS$40,MATCH(ROW()-3,$QI$4:$QI$40,0)))</f>
        <v/>
      </c>
      <c r="QK31" t="str">
        <f>IF('Final Calculation Sheet'!$AH$31="","",'Final Calculation Sheet'!$AH$31)</f>
      </c>
      <c r="QL31" t="str">
        <f>IF(QK31="","",COUNTIFS(QK$4:QK$40,"&lt;"&amp;QK31,QK$4:QK$40,"&lt;&gt;"&amp;"")+COUNTIF(QK$4:QK31,QK31))</f>
      </c>
      <c r="QM31" t="str">
        <f>IF(ROW()-3&gt;COUNTIF(QK$4:QK$40,"&lt;&gt;"&amp;""),"",INDEX(QK$4:QK$40,MATCH(ROW()-3,QL$4:QL$40,0)))</f>
      </c>
      <c r="QN31" t="str">
        <f>=QN30+F(AND(QM31&lt;&gt;"",COUNTIF(QM$4:QM31,QM31)=1),1,0)</f>
      </c>
      <c r="QO31" t="str">
        <f>IF(ROW()-3&gt;MAX(QN$4:QN$40),"",INDEX(QM$4:QM$40,MATCH(ROW()-3,QN$4:QN$40,0)))</f>
      </c>
      <c r="QP31" t="str">
        <f>IF(COUNTIF('Final Calculation Sheet'!$AM31:$BS31,0)&gt;0,0,1)</f>
      </c>
      <c r="QQ31" t="str">
        <f>IF($AI$31="",FALSE,SUMPRODUCT(('Final Calculation Sheet'!$A$4:$A$40=$AI$31)*($QP$4:$QP$40=1))&gt;0)</f>
      </c>
      <c r="QR31" t="str">
        <f>=$QR30+--($QQ31)</f>
      </c>
      <c r="QS31" t="str">
        <f>IF(ROW()-3&gt;MAX($QR$4:$QR$40),"",INDEX($AI$4:$AI$40,MATCH(ROW()-3,$QR$4:$QR$40,0)))</f>
      </c>
      <c r="QT31" t="str">
        <f>IF(COUNTIF('Final Calculation Sheet'!$AL31:$AL31,0)+COUNTIF('Final Calculation Sheet'!$AN31:$BS31,0)&gt;0,0,1)</f>
      </c>
      <c r="QU31" t="str">
        <f>IF($Y$31="",FALSE,SUMPRODUCT(('Final Calculation Sheet'!$B$4:$B$40=$Y$31)*($QT$4:$QT$40=1))&gt;0)</f>
      </c>
      <c r="QV31" t="str">
        <f>=$QV30+--($QU31)</f>
      </c>
      <c r="QW31" t="str">
        <f>IF(ROW()-3&gt;MAX($QV$4:$QV$40),"",INDEX($Y$4:$Y$40,MATCH(ROW()-3,$QV$4:$QV$40,0)))</f>
      </c>
      <c r="QX31" t="str">
        <f>IF(COUNTIF('Final Calculation Sheet'!$AL31:$AM31,0)+COUNTIF('Final Calculation Sheet'!$AO31:$BS31,0)&gt;0,0,1)</f>
      </c>
      <c r="QY31" t="str">
        <f>IF($AS$31="",FALSE,SUMPRODUCT(('Final Calculation Sheet'!$C$4:$C$40=$AS$31)*($QX$4:$QX$40=1))&gt;0)</f>
      </c>
      <c r="QZ31" t="str">
        <f>=$QZ30+--($QY31)</f>
      </c>
      <c r="RA31" t="str">
        <f>IF(ROW()-3&gt;MAX($QZ$4:$QZ$40),"",INDEX($AS$4:$AS$40,MATCH(ROW()-3,$QZ$4:$QZ$40,0)))</f>
      </c>
      <c r="RB31" t="str">
        <f>IF(COUNTIF('Final Calculation Sheet'!$AL31:$AN31,0)+COUNTIF('Final Calculation Sheet'!$AP31:$BS31,0)&gt;0,0,1)</f>
      </c>
      <c r="RC31" t="str">
        <f>IF($AD$31="",FALSE,SUMPRODUCT(('Final Calculation Sheet'!$D$4:$D$40=$AD$31)*($RB$4:$RB$40=1))&gt;0)</f>
      </c>
      <c r="RD31" t="str">
        <f>=$RD30+--($RC31)</f>
      </c>
      <c r="RE31" t="str">
        <f>IF(ROW()-3&gt;MAX($RD$4:$RD$40),"",INDEX($AD$4:$AD$40,MATCH(ROW()-3,$RD$4:$RD$40,0)))</f>
      </c>
      <c r="RF31" t="str">
        <f>IF(COUNTIF('Final Calculation Sheet'!$AL31:$AO31,0)+COUNTIF('Final Calculation Sheet'!$AQ31:$BS31,0)&gt;0,0,1)</f>
      </c>
      <c r="RG31" t="str">
        <f>IF($AN$31="",FALSE,SUMPRODUCT(('Final Calculation Sheet'!$E$4:$E$40=$AN$31)*($RF$4:$RF$40=1))&gt;0)</f>
      </c>
      <c r="RH31" t="str">
        <f>=$RH30+--($RG31)</f>
      </c>
      <c r="RI31" t="str">
        <f>IF(ROW()-3&gt;MAX($RH$4:$RH$40),"",INDEX($AN$4:$AN$40,MATCH(ROW()-3,$RH$4:$RH$40,0)))</f>
      </c>
      <c r="RJ31" t="str">
        <f>IF(COUNTIF('Final Calculation Sheet'!$AL31:$AP31,0)+COUNTIF('Final Calculation Sheet'!$AR31:$BS31,0)&gt;0,0,1)</f>
      </c>
      <c r="RK31" t="str">
        <f>IF($O$31="",FALSE,SUMPRODUCT(('Final Calculation Sheet'!$F$4:$F$40=$O$31)*($RJ$4:$RJ$40=1))&gt;0)</f>
      </c>
      <c r="RL31" t="str">
        <f>=$RL30+--($RK31)</f>
      </c>
      <c r="RM31" t="str">
        <f>IF(ROW()-3&gt;MAX($RL$4:$RL$40),"",INDEX($O$4:$O$40,MATCH(ROW()-3,$RL$4:$RL$40,0)))</f>
      </c>
      <c r="RN31" t="str">
        <f>IF(COUNTIF('Final Calculation Sheet'!$AL31:$AQ31,0)+COUNTIF('Final Calculation Sheet'!$AS31:$BS31,0)&gt;0,0,1)</f>
      </c>
      <c r="RO31" t="str">
        <f>IF($T$31="",FALSE,SUMPRODUCT(('Final Calculation Sheet'!$G$4:$G$40=$T$31)*($RN$4:$RN$40=1))&gt;0)</f>
      </c>
      <c r="RP31" t="str">
        <f>=$RP30+--($RO31)</f>
      </c>
      <c r="RQ31" t="str">
        <f>IF(ROW()-3&gt;MAX($RP$4:$RP$40),"",INDEX($T$4:$T$40,MATCH(ROW()-3,$RP$4:$RP$40,0)))</f>
      </c>
      <c r="RR31" t="str">
        <f>IF(COUNTIF('Final Calculation Sheet'!$AL31:$AR31,0)+COUNTIF('Final Calculation Sheet'!$AT31:$BS31,0)&gt;0,0,1)</f>
      </c>
      <c r="RS31" t="str">
        <f>IF($AX$31="",FALSE,SUMPRODUCT(('Final Calculation Sheet'!$H$4:$H$40=$AX$31)*($RR$4:$RR$40=1))&gt;0)</f>
      </c>
      <c r="RT31" t="str">
        <f>=$RT30+--($RS31)</f>
      </c>
      <c r="RU31" t="str">
        <f>IF(ROW()-3&gt;MAX($RT$4:$RT$40),"",INDEX($AX$4:$AX$40,MATCH(ROW()-3,$RT$4:$RT$40,0)))</f>
      </c>
      <c r="RV31" t="str">
        <f>IF(COUNTIF('Final Calculation Sheet'!$AL31:$AS31,0)+COUNTIF('Final Calculation Sheet'!$AU31:$BS31,0)&gt;0,0,1)</f>
      </c>
      <c r="RW31" t="str">
        <f>IF($BC$31="",FALSE,SUMPRODUCT(('Final Calculation Sheet'!$I$4:$I$40=$BC$31)*($RV$4:$RV$40=1))&gt;0)</f>
      </c>
      <c r="RX31" t="str">
        <f>=$RX30+--($RW31)</f>
      </c>
      <c r="RY31" t="str">
        <f>IF(ROW()-3&gt;MAX($RX$4:$RX$40),"",INDEX($BC$4:$BC$40,MATCH(ROW()-3,$RX$4:$RX$40,0)))</f>
      </c>
      <c r="RZ31" t="str">
        <f>IF(COUNTIF('Final Calculation Sheet'!$AL31:$AT31,0)+COUNTIF('Final Calculation Sheet'!$AV31:$BS31,0)&gt;0,0,1)</f>
      </c>
      <c r="SA31" t="str">
        <f>IF($BH$31="",FALSE,SUMPRODUCT(('Final Calculation Sheet'!$J$4:$J$40=$BH$31)*($RZ$4:$RZ$40=1))&gt;0)</f>
      </c>
      <c r="SB31" t="str">
        <f>=$SB30+--($SA31)</f>
      </c>
      <c r="SC31" t="str">
        <f>IF(ROW()-3&gt;MAX($SB$4:$SB$40),"",INDEX($BH$4:$BH$40,MATCH(ROW()-3,$SB$4:$SB$40,0)))</f>
      </c>
      <c r="SD31" t="str">
        <f>IF(COUNTIF('Final Calculation Sheet'!$AL31:$AU31,0)+COUNTIF('Final Calculation Sheet'!$AW31:$BS31,0)&gt;0,0,1)</f>
      </c>
      <c r="SE31" t="str">
        <f>IF($BM$31="",FALSE,SUMPRODUCT(('Final Calculation Sheet'!$K$4:$K$40=$BM$31)*($SD$4:$SD$40=1))&gt;0)</f>
      </c>
      <c r="SF31" t="str">
        <f>=$SF30+--($SE31)</f>
      </c>
      <c r="SG31" t="str">
        <f>IF(ROW()-3&gt;MAX($SF$4:$SF$40),"",INDEX($BM$4:$BM$40,MATCH(ROW()-3,$SF$4:$SF$40,0)))</f>
      </c>
      <c r="SH31" t="str">
        <f>IF(COUNTIF('Final Calculation Sheet'!$AL31:$AV31,0)+COUNTIF('Final Calculation Sheet'!$AX31:$BS31,0)&gt;0,0,1)</f>
      </c>
      <c r="SI31" t="str">
        <f>IF($BR$31="",FALSE,SUMPRODUCT(('Final Calculation Sheet'!$L$4:$L$40=$BR$31)*($SH$4:$SH$40=1))&gt;0)</f>
      </c>
      <c r="SJ31" t="str">
        <f>=$SJ30+--($SI31)</f>
      </c>
      <c r="SK31" t="str">
        <f>IF(ROW()-3&gt;MAX($SJ$4:$SJ$40),"",INDEX($BR$4:$BR$40,MATCH(ROW()-3,$SJ$4:$SJ$40,0)))</f>
      </c>
      <c r="SL31" t="str">
        <f>IF(COUNTIF('Final Calculation Sheet'!$AL31:$AW31,0)+COUNTIF('Final Calculation Sheet'!$AY31:$BS31,0)&gt;0,0,1)</f>
      </c>
      <c r="SM31" t="str">
        <f>IF($BW$31="",FALSE,SUMPRODUCT(('Final Calculation Sheet'!$M$4:$M$40=$BW$31)*($SL$4:$SL$40=1))&gt;0)</f>
      </c>
      <c r="SN31" t="str">
        <f>=$SN30+--($SM31)</f>
      </c>
      <c r="SO31" t="str">
        <f>IF(ROW()-3&gt;MAX($SN$4:$SN$40),"",INDEX($BW$4:$BW$40,MATCH(ROW()-3,$SN$4:$SN$40,0)))</f>
      </c>
      <c r="SP31" t="str">
        <f>IF(COUNTIF('Final Calculation Sheet'!$AL31:$AX31,0)+COUNTIF('Final Calculation Sheet'!$AZ31:$BS31,0)&gt;0,0,1)</f>
      </c>
      <c r="SQ31" t="str">
        <f>IF($CB$31="",FALSE,SUMPRODUCT(('Final Calculation Sheet'!$N$4:$N$40=$CB$31)*($SP$4:$SP$40=1))&gt;0)</f>
      </c>
      <c r="SR31" t="str">
        <f>=$SR30+--($SQ31)</f>
      </c>
      <c r="SS31" t="str">
        <f>IF(ROW()-3&gt;MAX($SR$4:$SR$40),"",INDEX($CB$4:$CB$40,MATCH(ROW()-3,$SR$4:$SR$40,0)))</f>
      </c>
      <c r="ST31" t="str">
        <f>IF(COUNTIF('Final Calculation Sheet'!$AL31:$AY31,0)+COUNTIF('Final Calculation Sheet'!$BA31:$BS31,0)&gt;0,0,1)</f>
      </c>
      <c r="SU31" t="str">
        <f>IF($CG$31="",FALSE,SUMPRODUCT(('Final Calculation Sheet'!$O$4:$O$40=$CG$31)*($ST$4:$ST$40=1))&gt;0)</f>
      </c>
      <c r="SV31" t="str">
        <f>=$SV30+--($SU31)</f>
      </c>
      <c r="SW31" t="str">
        <f>IF(ROW()-3&gt;MAX($SV$4:$SV$40),"",INDEX($CG$4:$CG$40,MATCH(ROW()-3,$SV$4:$SV$40,0)))</f>
      </c>
      <c r="SX31" t="str">
        <f>IF(COUNTIF('Final Calculation Sheet'!$AL31:$AZ31,0)+COUNTIF('Final Calculation Sheet'!$BB31:$BS31,0)&gt;0,0,1)</f>
      </c>
      <c r="SY31" t="str">
        <f>IF($CL$31="",FALSE,SUMPRODUCT(('Final Calculation Sheet'!$P$4:$P$40=$CL$31)*($SX$4:$SX$40=1))&gt;0)</f>
      </c>
      <c r="SZ31" t="str">
        <f>=$SZ30+--($SY31)</f>
      </c>
      <c r="TA31" t="str">
        <f>IF(ROW()-3&gt;MAX($SZ$4:$SZ$40),"",INDEX($CL$4:$CL$40,MATCH(ROW()-3,$SZ$4:$SZ$40,0)))</f>
      </c>
      <c r="TB31" t="str">
        <f>IF(COUNTIF('Final Calculation Sheet'!$AL31:$BA31,0)+COUNTIF('Final Calculation Sheet'!$BC31:$BS31,0)&gt;0,0,1)</f>
      </c>
      <c r="TC31" t="str">
        <f>IF($CQ$31="",FALSE,SUMPRODUCT(('Final Calculation Sheet'!$Q$4:$Q$40=$CQ$31)*($TB$4:$TB$40=1))&gt;0)</f>
      </c>
      <c r="TD31" t="str">
        <f>=$TD30+--($TC31)</f>
      </c>
      <c r="TE31" t="str">
        <f>IF(ROW()-3&gt;MAX($TD$4:$TD$40),"",INDEX($CQ$4:$CQ$40,MATCH(ROW()-3,$TD$4:$TD$40,0)))</f>
      </c>
      <c r="TF31" t="str">
        <f>IF(COUNTIF('Final Calculation Sheet'!$AL31:$BB31,0)+COUNTIF('Final Calculation Sheet'!$BD31:$BS31,0)&gt;0,0,1)</f>
      </c>
      <c r="TG31" t="str">
        <f>IF($CV$31="",FALSE,SUMPRODUCT(('Final Calculation Sheet'!$R$4:$R$40=$CV$31)*($TF$4:$TF$40=1))&gt;0)</f>
      </c>
      <c r="TH31" t="str">
        <f>=$TH30+--($TG31)</f>
      </c>
      <c r="TI31" t="str">
        <f>IF(ROW()-3&gt;MAX($TH$4:$TH$40),"",INDEX($CV$4:$CV$40,MATCH(ROW()-3,$TH$4:$TH$40,0)))</f>
      </c>
      <c r="TJ31" t="str">
        <f>IF(COUNTIF('Final Calculation Sheet'!$AL31:$BC31,0)+COUNTIF('Final Calculation Sheet'!$BE31:$BS31,0)&gt;0,0,1)</f>
      </c>
      <c r="TK31" t="str">
        <f>IF($DA$31="",FALSE,SUMPRODUCT(('Final Calculation Sheet'!$S$4:$S$40=$DA$31)*($TJ$4:$TJ$40=1))&gt;0)</f>
      </c>
      <c r="TL31" t="str">
        <f>=$TL30+--($TK31)</f>
      </c>
      <c r="TM31" t="str">
        <f>IF(ROW()-3&gt;MAX($TL$4:$TL$40),"",INDEX($DA$4:$DA$40,MATCH(ROW()-3,$TL$4:$TL$40,0)))</f>
      </c>
      <c r="TN31" t="str">
        <f>IF(COUNTIF('Final Calculation Sheet'!$AL31:$BD31,0)+COUNTIF('Final Calculation Sheet'!$BF31:$BS31,0)&gt;0,0,1)</f>
      </c>
      <c r="TO31" t="str">
        <f>IF($DF$31="",FALSE,SUMPRODUCT(('Final Calculation Sheet'!$T$4:$T$40=$DF$31)*($TN$4:$TN$40=1))&gt;0)</f>
      </c>
      <c r="TP31" t="str">
        <f>=$TP30+--($TO31)</f>
      </c>
      <c r="TQ31" t="str">
        <f>IF(ROW()-3&gt;MAX($TP$4:$TP$40),"",INDEX($DF$4:$DF$40,MATCH(ROW()-3,$TP$4:$TP$40,0)))</f>
      </c>
      <c r="TR31" t="str">
        <f>IF(COUNTIF('Final Calculation Sheet'!$AL31:$BE31,0)+COUNTIF('Final Calculation Sheet'!$BG31:$BS31,0)&gt;0,0,1)</f>
      </c>
      <c r="TS31" t="str">
        <f>IF($DK$31="",FALSE,SUMPRODUCT(('Final Calculation Sheet'!$U$4:$U$40=$DK$31)*($TR$4:$TR$40=1))&gt;0)</f>
      </c>
      <c r="TT31" t="str">
        <f>=$TT30+--($TS31)</f>
      </c>
      <c r="TU31" t="str">
        <f>IF(ROW()-3&gt;MAX($TT$4:$TT$40),"",INDEX($DK$4:$DK$40,MATCH(ROW()-3,$TT$4:$TT$40,0)))</f>
      </c>
      <c r="TV31" t="str">
        <f>IF(COUNTIF('Final Calculation Sheet'!$AL31:$BF31,0)+COUNTIF('Final Calculation Sheet'!$BH31:$BS31,0)&gt;0,0,1)</f>
      </c>
      <c r="TW31" t="str">
        <f>IF($DP$31="",FALSE,SUMPRODUCT(('Final Calculation Sheet'!$V$4:$V$40=$DP$31)*($TV$4:$TV$40=1))&gt;0)</f>
      </c>
      <c r="TX31" t="str">
        <f>=$TX30+--($TW31)</f>
      </c>
      <c r="TY31" t="str">
        <f>IF(ROW()-3&gt;MAX($TX$4:$TX$40),"",INDEX($DP$4:$DP$40,MATCH(ROW()-3,$TX$4:$TX$40,0)))</f>
      </c>
      <c r="TZ31" t="str">
        <f>IF(COUNTIF('Final Calculation Sheet'!$AL31:$BG31,0)+COUNTIF('Final Calculation Sheet'!$BI31:$BS31,0)&gt;0,0,1)</f>
      </c>
      <c r="UA31" t="str">
        <f>IF($DU$31="",FALSE,SUMPRODUCT(('Final Calculation Sheet'!$W$4:$W$40=$DU$31)*($TZ$4:$TZ$40=1))&gt;0)</f>
      </c>
      <c r="UB31" t="str">
        <f>=$UB30+--($UA31)</f>
      </c>
      <c r="UC31" t="str">
        <f>IF(ROW()-3&gt;MAX($UB$4:$UB$40),"",INDEX($DU$4:$DU$40,MATCH(ROW()-3,$UB$4:$UB$40,0)))</f>
      </c>
      <c r="UD31" t="str">
        <f>IF(COUNTIF('Final Calculation Sheet'!$AL31:$BH31,0)+COUNTIF('Final Calculation Sheet'!$BJ31:$BS31,0)&gt;0,0,1)</f>
      </c>
      <c r="UE31" t="str">
        <f>IF($DZ$31="",FALSE,SUMPRODUCT(('Final Calculation Sheet'!$X$4:$X$40=$DZ$31)*($UD$4:$UD$40=1))&gt;0)</f>
      </c>
      <c r="UF31" t="str">
        <f>=$UF30+--($UE31)</f>
      </c>
      <c r="UG31" t="str">
        <f>IF(ROW()-3&gt;MAX($UF$4:$UF$40),"",INDEX($DZ$4:$DZ$40,MATCH(ROW()-3,$UF$4:$UF$40,0)))</f>
      </c>
      <c r="UH31" t="str">
        <f>IF(COUNTIF('Final Calculation Sheet'!$AL31:$BI31,0)+COUNTIF('Final Calculation Sheet'!$BK31:$BS31,0)&gt;0,0,1)</f>
      </c>
      <c r="UI31" t="str">
        <f>IF($EE$31="",FALSE,SUMPRODUCT(('Final Calculation Sheet'!$Y$4:$Y$40=$EE$31)*($UH$4:$UH$40=1))&gt;0)</f>
      </c>
      <c r="UJ31" t="str">
        <f>=$UJ30+--($UI31)</f>
      </c>
      <c r="UK31" t="str">
        <f>IF(ROW()-3&gt;MAX($UJ$4:$UJ$40),"",INDEX($EE$4:$EE$40,MATCH(ROW()-3,$UJ$4:$UJ$40,0)))</f>
      </c>
      <c r="UL31" t="str">
        <f>IF(COUNTIF('Final Calculation Sheet'!$AL31:$BJ31,0)+COUNTIF('Final Calculation Sheet'!$BL31:$BS31,0)&gt;0,0,1)</f>
      </c>
      <c r="UM31" t="str">
        <f>IF($EJ$31="",FALSE,SUMPRODUCT(('Final Calculation Sheet'!$Z$4:$Z$40=$EJ$31)*($UL$4:$UL$40=1))&gt;0)</f>
      </c>
      <c r="UN31" t="str">
        <f>=$UN30+--($UM31)</f>
      </c>
      <c r="UO31" t="str">
        <f>IF(ROW()-3&gt;MAX($UN$4:$UN$40),"",INDEX($EJ$4:$EJ$40,MATCH(ROW()-3,$UN$4:$UN$40,0)))</f>
      </c>
      <c r="UP31" t="str">
        <f>IF(COUNTIF('Final Calculation Sheet'!$AL31:$BK31,0)+COUNTIF('Final Calculation Sheet'!$BM31:$BS31,0)&gt;0,0,1)</f>
      </c>
      <c r="UQ31" t="str">
        <f>IF($EO$31="",FALSE,SUMPRODUCT(('Final Calculation Sheet'!$AA$4:$AA$40=$EO$31)*($UP$4:$UP$40=1))&gt;0)</f>
      </c>
      <c r="UR31" t="str">
        <f>=$UR30+--($UQ31)</f>
      </c>
      <c r="US31" t="str">
        <f>IF(ROW()-3&gt;MAX($UR$4:$UR$40),"",INDEX($EO$4:$EO$40,MATCH(ROW()-3,$UR$4:$UR$40,0)))</f>
      </c>
      <c r="UT31" t="str">
        <f>IF(COUNTIF('Final Calculation Sheet'!$AL31:$BL31,0)+COUNTIF('Final Calculation Sheet'!$BN31:$BS31,0)&gt;0,0,1)</f>
      </c>
      <c r="UU31" t="str">
        <f>IF($ET$31="",FALSE,SUMPRODUCT(('Final Calculation Sheet'!$AB$4:$AB$40=$ET$31)*($UT$4:$UT$40=1))&gt;0)</f>
      </c>
      <c r="UV31" t="str">
        <f>=$UV30+--($UU31)</f>
      </c>
      <c r="UW31" t="str">
        <f>IF(ROW()-3&gt;MAX($UV$4:$UV$40),"",INDEX($ET$4:$ET$40,MATCH(ROW()-3,$UV$4:$UV$40,0)))</f>
      </c>
      <c r="UX31" t="str">
        <f>IF(COUNTIF('Final Calculation Sheet'!$AL31:$BM31,0)+COUNTIF('Final Calculation Sheet'!$BO31:$BS31,0)&gt;0,0,1)</f>
      </c>
      <c r="UY31" t="str">
        <f>IF($EY$31="",FALSE,SUMPRODUCT(('Final Calculation Sheet'!$AC$4:$AC$40=$EY$31)*($UX$4:$UX$40=1))&gt;0)</f>
      </c>
      <c r="UZ31" t="str">
        <f>=$UZ30+--($UY31)</f>
      </c>
      <c r="VA31" t="str">
        <f>IF(ROW()-3&gt;MAX($UZ$4:$UZ$40),"",INDEX($EY$4:$EY$40,MATCH(ROW()-3,$UZ$4:$UZ$40,0)))</f>
      </c>
      <c r="VB31" t="str">
        <f>IF(COUNTIF('Final Calculation Sheet'!$AL31:$BN31,0)+COUNTIF('Final Calculation Sheet'!$BP31:$BS31,0)&gt;0,0,1)</f>
      </c>
      <c r="VC31" t="str">
        <f>IF($FD$31="",FALSE,SUMPRODUCT(('Final Calculation Sheet'!$AD$4:$AD$40=$FD$31)*($VB$4:$VB$40=1))&gt;0)</f>
      </c>
      <c r="VD31" t="str">
        <f>=$VD30+--($VC31)</f>
      </c>
      <c r="VE31" t="str">
        <f>IF(ROW()-3&gt;MAX($VD$4:$VD$40),"",INDEX($FD$4:$FD$40,MATCH(ROW()-3,$VD$4:$VD$40,0)))</f>
      </c>
      <c r="VF31" t="str">
        <f>IF(COUNTIF('Final Calculation Sheet'!$AL31:$BO31,0)+COUNTIF('Final Calculation Sheet'!$BQ31:$BS31,0)&gt;0,0,1)</f>
      </c>
      <c r="VG31" t="str">
        <f>IF($FI$31="",FALSE,SUMPRODUCT(('Final Calculation Sheet'!$AE$4:$AE$40=$FI$31)*($VF$4:$VF$40=1))&gt;0)</f>
      </c>
      <c r="VH31" t="str">
        <f>=$VH30+--($VG31)</f>
      </c>
      <c r="VI31" t="str">
        <f>IF(ROW()-3&gt;MAX($VH$4:$VH$40),"",INDEX($FI$4:$FI$40,MATCH(ROW()-3,$VH$4:$VH$40,0)))</f>
      </c>
      <c r="VJ31" t="str">
        <f>IF(COUNTIF('Final Calculation Sheet'!$AL31:$BP31,0)+COUNTIF('Final Calculation Sheet'!$BR31:$BS31,0)&gt;0,0,1)</f>
      </c>
      <c r="VK31" t="str">
        <f>IF($FN$31="",FALSE,SUMPRODUCT(('Final Calculation Sheet'!$AF$4:$AF$40=$FN$31)*($VJ$4:$VJ$40=1))&gt;0)</f>
      </c>
      <c r="VL31" t="str">
        <f>=$VL30+--($VK31)</f>
      </c>
      <c r="VM31" t="str">
        <f>IF(ROW()-3&gt;MAX($VL$4:$VL$40),"",INDEX($FN$4:$FN$40,MATCH(ROW()-3,$VL$4:$VL$40,0)))</f>
      </c>
      <c r="VN31" t="str">
        <f>IF(COUNTIF('Final Calculation Sheet'!$AL31:$BQ31,0)+COUNTIF('Final Calculation Sheet'!$BS31:$BS31,0)&gt;0,0,1)</f>
      </c>
      <c r="VO31" t="str">
        <f>IF($FS$31="",FALSE,SUMPRODUCT(('Final Calculation Sheet'!$AG$4:$AG$40=$FS$31)*($VN$4:$VN$40=1))&gt;0)</f>
      </c>
      <c r="VP31" t="str">
        <f>=$VP30+--($VO31)</f>
      </c>
      <c r="VQ31" t="str">
        <f>IF(ROW()-3&gt;MAX($VP$4:$VP$40),"",INDEX($FS$4:$FS$40,MATCH(ROW()-3,$VP$4:$VP$40,0)))</f>
      </c>
      <c r="VR31" t="str">
        <f>IF(COUNTIF('Final Calculation Sheet'!$AL31:$BR31,0)&gt;0,0,1)</f>
      </c>
      <c r="VS31" t="str">
        <f>IF($QO$31="",FALSE,SUMPRODUCT(('Final Calculation Sheet'!$AH$4:$AH$40=$QO$31)*($VR$4:$VR$40=1))&gt;0)</f>
      </c>
      <c r="VT31" t="str">
        <f>=$VT30+--($VS31)</f>
      </c>
      <c r="VU31" t="str">
        <f>IF(ROW()-3&gt;MAX($VT$4:$VT$40),"",INDEX($QO$4:$QO$40,MATCH(ROW()-3,$VT$4:$VT$40,0)))</f>
      </c>
    </row>
    <row r="32">
      <c r="A32">
        <f>IF(IFERROR('Final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IF(IFERROR('Final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s="55">
        <f>IF('Final Calculation Sheet'!$C$32="","",'Final Calculation Sheet'!$C$32)</f>
        <v/>
      </c>
      <c r="AP32">
        <f>IF(AO32="","",COUNTIFS(AO$4:AO$40,"&lt;"&amp;AO32,AO$4:AO$40,"&lt;&gt;"&amp;"")+COUNTIF(AO$4:AO32,AO32))</f>
        <v/>
      </c>
      <c r="AQ32" s="55">
        <f>IF(ROW()-3&gt;COUNTIF(AO$4:AO$40,"&lt;&gt;"&amp;""),"",INDEX(AO$4:AO$40,MATCH(ROW()-3,AP$4:AP$40,0)))</f>
        <v/>
      </c>
      <c r="AR32">
        <f>AR31+IF(AND(AQ32&lt;&gt;"",COUNTIF(AQ$4:AQ32,AQ32)=1),1,0)</f>
        <v/>
      </c>
      <c r="AS32" s="55">
        <f>IF(ROW()-3&gt;MAX(AR$4:AR$40),"",INDEX(AQ$4:AQ$40,MATCH(ROW()-3,AR$4:AR$40,0)))</f>
        <v/>
      </c>
      <c r="AT32" s="55">
        <f>IF('Final Calculation Sheet'!$H$32="","",'Final Calculation Sheet'!$H$32)</f>
        <v/>
      </c>
      <c r="AU32">
        <f>IF(AT32="","",COUNTIFS(AT$4:AT$40,"&lt;"&amp;AT32,AT$4:AT$40,"&lt;&gt;"&amp;"")+COUNTIF(AT$4:AT32,AT32))</f>
        <v/>
      </c>
      <c r="AV32" s="55">
        <f>IF(ROW()-3&gt;COUNTIF(AT$4:AT$40,"&lt;&gt;"&amp;""),"",INDEX(AT$4:AT$40,MATCH(ROW()-3,AU$4:AU$40,0)))</f>
        <v/>
      </c>
      <c r="AW32">
        <f>AW31+IF(AND(AV32&lt;&gt;"",COUNTIF(AV$4:AV32,AV32)=1),1,0)</f>
        <v/>
      </c>
      <c r="AX32" s="55">
        <f>IF(ROW()-3&gt;MAX(AW$4:AW$40),"",INDEX(AV$4:AV$40,MATCH(ROW()-3,AW$4:AW$40,0)))</f>
        <v/>
      </c>
      <c r="AY32" s="55">
        <f>IF('Final Calculation Sheet'!$I$32="","",'Final Calculation Sheet'!$I$32)</f>
        <v/>
      </c>
      <c r="AZ32">
        <f>IF(AY32="","",COUNTIFS(AY$4:AY$40,"&lt;"&amp;AY32,AY$4:AY$40,"&lt;&gt;"&amp;"")+COUNTIF(AY$4:AY32,AY32))</f>
        <v/>
      </c>
      <c r="BA32" s="55">
        <f>IF(ROW()-3&gt;COUNTIF(AY$4:AY$40,"&lt;&gt;"&amp;""),"",INDEX(AY$4:AY$40,MATCH(ROW()-3,AZ$4:AZ$40,0)))</f>
        <v/>
      </c>
      <c r="BB32">
        <f>BB31+IF(AND(BA32&lt;&gt;"",COUNTIF(BA$4:BA32,BA32)=1),1,0)</f>
        <v/>
      </c>
      <c r="BC32" s="55">
        <f>IF(ROW()-3&gt;MAX(BB$4:BB$40),"",INDEX(BA$4:BA$40,MATCH(ROW()-3,BB$4:BB$40,0)))</f>
        <v/>
      </c>
      <c r="BD32" s="55">
        <f>IF('Final Calculation Sheet'!$J$32="","",'Final Calculation Sheet'!$J$32)</f>
        <v/>
      </c>
      <c r="BE32">
        <f>IF(BD32="","",COUNTIFS(BD$4:BD$40,"&lt;"&amp;BD32,BD$4:BD$40,"&lt;&gt;"&amp;"")+COUNTIF(BD$4:BD32,BD32))</f>
        <v/>
      </c>
      <c r="BF32" s="55">
        <f>IF(ROW()-3&gt;COUNTIF(BD$4:BD$40,"&lt;&gt;"&amp;""),"",INDEX(BD$4:BD$40,MATCH(ROW()-3,BE$4:BE$40,0)))</f>
        <v/>
      </c>
      <c r="BG32">
        <f>BG31+IF(AND(BF32&lt;&gt;"",COUNTIF(BF$4:BF32,BF32)=1),1,0)</f>
        <v/>
      </c>
      <c r="BH32" s="55">
        <f>IF(ROW()-3&gt;MAX(BG$4:BG$40),"",INDEX(BF$4:BF$40,MATCH(ROW()-3,BG$4:BG$40,0)))</f>
        <v/>
      </c>
      <c r="BI32" s="55">
        <f>IF('Final Calculation Sheet'!$K$32="","",'Final Calculation Sheet'!$K$32)</f>
        <v/>
      </c>
      <c r="BJ32">
        <f>IF(BI32="","",COUNTIFS(BI$4:BI$40,"&lt;"&amp;BI32,BI$4:BI$40,"&lt;&gt;"&amp;"")+COUNTIF(BI$4:BI32,BI32))</f>
        <v/>
      </c>
      <c r="BK32" s="55">
        <f>IF(ROW()-3&gt;COUNTIF(BI$4:BI$40,"&lt;&gt;"&amp;""),"",INDEX(BI$4:BI$40,MATCH(ROW()-3,BJ$4:BJ$40,0)))</f>
        <v/>
      </c>
      <c r="BL32">
        <f>BL31+IF(AND(BK32&lt;&gt;"",COUNTIF(BK$4:BK32,BK32)=1),1,0)</f>
        <v/>
      </c>
      <c r="BM32" s="55">
        <f>IF(ROW()-3&gt;MAX(BL$4:BL$40),"",INDEX(BK$4:BK$40,MATCH(ROW()-3,BL$4:BL$40,0)))</f>
        <v/>
      </c>
      <c r="BN32" s="55">
        <f>IF('Final Calculation Sheet'!$L$32="","",'Final Calculation Sheet'!$L$32)</f>
        <v/>
      </c>
      <c r="BO32">
        <f>IF(BN32="","",COUNTIFS(BN$4:BN$40,"&lt;"&amp;BN32,BN$4:BN$40,"&lt;&gt;"&amp;"")+COUNTIF(BN$4:BN32,BN32))</f>
        <v/>
      </c>
      <c r="BP32" s="55">
        <f>IF(ROW()-3&gt;COUNTIF(BN$4:BN$40,"&lt;&gt;"&amp;""),"",INDEX(BN$4:BN$40,MATCH(ROW()-3,BO$4:BO$40,0)))</f>
        <v/>
      </c>
      <c r="BQ32">
        <f>BQ31+IF(AND(BP32&lt;&gt;"",COUNTIF(BP$4:BP32,BP32)=1),1,0)</f>
        <v/>
      </c>
      <c r="BR32" s="55">
        <f>IF(ROW()-3&gt;MAX(BQ$4:BQ$40),"",INDEX(BP$4:BP$40,MATCH(ROW()-3,BQ$4:BQ$40,0)))</f>
        <v/>
      </c>
      <c r="BS32" s="55">
        <f>IF('Final Calculation Sheet'!$M$32="","",'Final Calculation Sheet'!$M$32)</f>
        <v/>
      </c>
      <c r="BT32">
        <f>IF(BS32="","",COUNTIFS(BS$4:BS$40,"&lt;"&amp;BS32,BS$4:BS$40,"&lt;&gt;"&amp;"")+COUNTIF(BS$4:BS32,BS32))</f>
        <v/>
      </c>
      <c r="BU32" s="55">
        <f>IF(ROW()-3&gt;COUNTIF(BS$4:BS$40,"&lt;&gt;"&amp;""),"",INDEX(BS$4:BS$40,MATCH(ROW()-3,BT$4:BT$40,0)))</f>
        <v/>
      </c>
      <c r="BV32">
        <f>BV31+IF(AND(BU32&lt;&gt;"",COUNTIF(BU$4:BU32,BU32)=1),1,0)</f>
        <v/>
      </c>
      <c r="BW32" s="55">
        <f>IF(ROW()-3&gt;MAX(BV$4:BV$40),"",INDEX(BU$4:BU$40,MATCH(ROW()-3,BV$4:BV$40,0)))</f>
        <v/>
      </c>
      <c r="BX32" s="138">
        <f>IF('Final Calculation Sheet'!$N$32="","",'Final Calculation Sheet'!$N$32)</f>
        <v/>
      </c>
      <c r="BY32">
        <f>IF(BX32="","",COUNTIFS(BX$4:BX$40,"&lt;"&amp;BX32,BX$4:BX$40,"&lt;&gt;"&amp;"")+COUNTIF(BX$4:BX32,BX32))</f>
        <v/>
      </c>
      <c r="BZ32" s="138">
        <f>IF(ROW()-3&gt;COUNTIF(BX$4:BX$40,"&lt;&gt;"&amp;""),"",INDEX(BX$4:BX$40,MATCH(ROW()-3,BY$4:BY$40,0)))</f>
        <v/>
      </c>
      <c r="CA32">
        <f>CA31+IF(AND(BZ32&lt;&gt;"",COUNTIF(BZ$4:BZ32,BZ32)=1),1,0)</f>
        <v/>
      </c>
      <c r="CB32" s="138">
        <f>IF(ROW()-3&gt;MAX(CA$4:CA$40),"",INDEX(BZ$4:BZ$40,MATCH(ROW()-3,CA$4:CA$40,0)))</f>
        <v/>
      </c>
      <c r="CC32" s="55">
        <f>IF('Final Calculation Sheet'!$O$32="","",'Final Calculation Sheet'!$O$32)</f>
        <v/>
      </c>
      <c r="CD32">
        <f>IF(CC32="","",COUNTIFS(CC$4:CC$40,"&lt;"&amp;CC32,CC$4:CC$40,"&lt;&gt;"&amp;"")+COUNTIF(CC$4:CC32,CC32))</f>
        <v/>
      </c>
      <c r="CE32" s="55">
        <f>IF(ROW()-3&gt;COUNTIF(CC$4:CC$40,"&lt;&gt;"&amp;""),"",INDEX(CC$4:CC$40,MATCH(ROW()-3,CD$4:CD$40,0)))</f>
        <v/>
      </c>
      <c r="CF32">
        <f>CF31+IF(AND(CE32&lt;&gt;"",COUNTIF(CE$4:CE32,CE32)=1),1,0)</f>
        <v/>
      </c>
      <c r="CG32" s="55">
        <f>IF(ROW()-3&gt;MAX(CF$4:CF$40),"",INDEX(CE$4:CE$40,MATCH(ROW()-3,CF$4:CF$40,0)))</f>
        <v/>
      </c>
      <c r="CH32" s="55">
        <f>IF('Final Calculation Sheet'!$P$32="","",'Final Calculation Sheet'!$P$32)</f>
        <v/>
      </c>
      <c r="CI32">
        <f>IF(CH32="","",COUNTIFS(CH$4:CH$40,"&lt;"&amp;CH32,CH$4:CH$40,"&lt;&gt;"&amp;"")+COUNTIF(CH$4:CH32,CH32))</f>
        <v/>
      </c>
      <c r="CJ32" s="55">
        <f>IF(ROW()-3&gt;COUNTIF(CH$4:CH$40,"&lt;&gt;"&amp;""),"",INDEX(CH$4:CH$40,MATCH(ROW()-3,CI$4:CI$40,0)))</f>
        <v/>
      </c>
      <c r="CK32">
        <f>CK31+IF(AND(CJ32&lt;&gt;"",COUNTIF(CJ$4:CJ32,CJ32)=1),1,0)</f>
        <v/>
      </c>
      <c r="CL32" s="55">
        <f>IF(ROW()-3&gt;MAX(CK$4:CK$40),"",INDEX(CJ$4:CJ$40,MATCH(ROW()-3,CK$4:CK$40,0)))</f>
        <v/>
      </c>
      <c r="CM32" s="139">
        <f>IF('Final Calculation Sheet'!$Q$32="","",'Final Calculation Sheet'!$Q$32)</f>
        <v/>
      </c>
      <c r="CN32">
        <f>IF(CM32="","",COUNTIFS(CM$4:CM$40,"&lt;"&amp;CM32,CM$4:CM$40,"&lt;&gt;"&amp;"")+COUNTIF(CM$4:CM32,CM32))</f>
        <v/>
      </c>
      <c r="CO32" s="139">
        <f>IF(ROW()-3&gt;COUNTIF(CM$4:CM$40,"&lt;&gt;"&amp;""),"",INDEX(CM$4:CM$40,MATCH(ROW()-3,CN$4:CN$40,0)))</f>
        <v/>
      </c>
      <c r="CP32">
        <f>CP31+IF(AND(CO32&lt;&gt;"",COUNTIF(CO$4:CO32,CO32)=1),1,0)</f>
        <v/>
      </c>
      <c r="CQ32">
        <f>IF(ROW()-3&gt;MAX(CP$4:CP$40),"",INDEX(CO$4:CO$40,MATCH(ROW()-3,CP$4:CP$40,0)))</f>
        <v/>
      </c>
      <c r="CR32" s="55">
        <f>IF('Final Calculation Sheet'!$R$32="","",'Final Calculation Sheet'!$R$32)</f>
        <v/>
      </c>
      <c r="CS32">
        <f>IF(CR32="","",COUNTIFS(CR$4:CR$40,"&lt;"&amp;CR32,CR$4:CR$40,"&lt;&gt;"&amp;"")+COUNTIF(CR$4:CR32,CR32))</f>
        <v/>
      </c>
      <c r="CT32" s="55">
        <f>IF(ROW()-3&gt;COUNTIF(CR$4:CR$40,"&lt;&gt;"&amp;""),"",INDEX(CR$4:CR$40,MATCH(ROW()-3,CS$4:CS$40,0)))</f>
        <v/>
      </c>
      <c r="CU32">
        <f>CU31+IF(AND(CT32&lt;&gt;"",COUNTIF(CT$4:CT32,CT32)=1),1,0)</f>
        <v/>
      </c>
      <c r="CV32">
        <f>IF(ROW()-3&gt;MAX(CU$4:CU$40),"",INDEX(CT$4:CT$40,MATCH(ROW()-3,CU$4:CU$40,0)))</f>
        <v/>
      </c>
      <c r="CW32" s="55">
        <f>IF('Final Calculation Sheet'!$S$32="","",'Final Calculation Sheet'!$S$32)</f>
        <v/>
      </c>
      <c r="CX32">
        <f>IF(CW32="","",COUNTIFS(CW$4:CW$40,"&lt;"&amp;CW32,CW$4:CW$40,"&lt;&gt;"&amp;"")+COUNTIF(CW$4:CW32,CW32))</f>
        <v/>
      </c>
      <c r="CY32" s="55">
        <f>IF(ROW()-3&gt;COUNTIF(CW$4:CW$40,"&lt;&gt;"&amp;""),"",INDEX(CW$4:CW$40,MATCH(ROW()-3,CX$4:CX$40,0)))</f>
        <v/>
      </c>
      <c r="CZ32">
        <f>CZ31+IF(AND(CY32&lt;&gt;"",COUNTIF(CY$4:CY32,CY32)=1),1,0)</f>
        <v/>
      </c>
      <c r="DA32" s="55">
        <f>IF(ROW()-3&gt;MAX(CZ$4:CZ$40),"",INDEX(CY$4:CY$40,MATCH(ROW()-3,CZ$4:CZ$40,0)))</f>
        <v/>
      </c>
      <c r="DB32" s="55">
        <f>IF('Final Calculation Sheet'!$T$32="","",'Final Calculation Sheet'!$T$32)</f>
        <v/>
      </c>
      <c r="DC32">
        <f>IF(DB32="","",COUNTIFS(DB$4:DB$40,"&lt;"&amp;DB32,DB$4:DB$40,"&lt;&gt;"&amp;"")+COUNTIF(DB$4:DB32,DB32))</f>
        <v/>
      </c>
      <c r="DD32" s="55">
        <f>IF(ROW()-3&gt;COUNTIF(DB$4:DB$40,"&lt;&gt;"&amp;""),"",INDEX(DB$4:DB$40,MATCH(ROW()-3,DC$4:DC$40,0)))</f>
        <v/>
      </c>
      <c r="DE32">
        <f>DE31+IF(AND(DD32&lt;&gt;"",COUNTIF(DD$4:DD32,DD32)=1),1,0)</f>
        <v/>
      </c>
      <c r="DF32" s="55">
        <f>IF(ROW()-3&gt;MAX(DE$4:DE$40),"",INDEX(DD$4:DD$40,MATCH(ROW()-3,DE$4:DE$40,0)))</f>
        <v/>
      </c>
      <c r="DG32" s="140">
        <f>IF('Final Calculation Sheet'!$U$32="","",'Final Calculation Sheet'!$U$32)</f>
        <v/>
      </c>
      <c r="DH32">
        <f>IF(DG32="","",COUNTIFS(DG$4:DG$40,"&lt;"&amp;DG32,DG$4:DG$40,"&lt;&gt;"&amp;"")+COUNTIF(DG$4:DG32,DG32))</f>
        <v/>
      </c>
      <c r="DI32" s="140">
        <f>IF(ROW()-3&gt;COUNTIF(DG$4:DG$40,"&lt;&gt;"&amp;""),"",INDEX(DG$4:DG$40,MATCH(ROW()-3,DH$4:DH$40,0)))</f>
        <v/>
      </c>
      <c r="DJ32">
        <f>DJ31+IF(AND(DI32&lt;&gt;"",COUNTIF(DI$4:DI32,DI32)=1),1,0)</f>
        <v/>
      </c>
      <c r="DK32" s="140">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s="55">
        <f>IF('Final Calculation Sheet'!$W$32="","",'Final Calculation Sheet'!$W$32)</f>
        <v/>
      </c>
      <c r="DR32">
        <f>IF(DQ32="","",COUNTIFS(DQ$4:DQ$40,"&lt;"&amp;DQ32,DQ$4:DQ$40,"&lt;&gt;"&amp;"")+COUNTIF(DQ$4:DQ32,DQ32))</f>
        <v/>
      </c>
      <c r="DS32" s="55">
        <f>IF(ROW()-3&gt;COUNTIF(DQ$4:DQ$40,"&lt;&gt;"&amp;""),"",INDEX(DQ$4:DQ$40,MATCH(ROW()-3,DR$4:DR$40,0)))</f>
        <v/>
      </c>
      <c r="DT32">
        <f>DT31+IF(AND(DS32&lt;&gt;"",COUNTIF(DS$4:DS32,DS32)=1),1,0)</f>
        <v/>
      </c>
      <c r="DU32" s="55">
        <f>IF(ROW()-3&gt;MAX(DT$4:DT$40),"",INDEX(DS$4:DS$40,MATCH(ROW()-3,DT$4:DT$40,0)))</f>
        <v/>
      </c>
      <c r="DV32" s="55">
        <f>IF('Final Calculation Sheet'!$X$32="","",'Final Calculation Sheet'!$X$32)</f>
        <v/>
      </c>
      <c r="DW32">
        <f>IF(DV32="","",COUNTIFS(DV$4:DV$40,"&lt;"&amp;DV32,DV$4:DV$40,"&lt;&gt;"&amp;"")+COUNTIF(DV$4:DV32,DV32))</f>
        <v/>
      </c>
      <c r="DX32" s="55">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s="55">
        <f>IF('Final Calculation Sheet'!$Z$32="","",'Final Calculation Sheet'!$Z$32)</f>
        <v/>
      </c>
      <c r="EG32">
        <f>IF(EF32="","",COUNTIFS(EF$4:EF$40,"&lt;"&amp;EF32,EF$4:EF$40,"&lt;&gt;"&amp;"")+COUNTIF(EF$4:EF32,EF32))</f>
        <v/>
      </c>
      <c r="EH32" s="55">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s="55">
        <f>IF('Final Calculation Sheet'!$AC$32="","",'Final Calculation Sheet'!$AC$32)</f>
        <v/>
      </c>
      <c r="EV32">
        <f>IF(EU32="","",COUNTIFS(EU$4:EU$40,"&lt;"&amp;EU32,EU$4:EU$40,"&lt;&gt;"&amp;"")+COUNTIF(EU$4:EU32,EU32))</f>
        <v/>
      </c>
      <c r="EW32" s="55">
        <f>IF(ROW()-3&gt;COUNTIF(EU$4:EU$40,"&lt;&gt;"&amp;""),"",INDEX(EU$4:EU$40,MATCH(ROW()-3,EV$4:EV$40,0)))</f>
        <v/>
      </c>
      <c r="EX32">
        <f>EX31+IF(AND(EW32&lt;&gt;"",COUNTIF(EW$4:EW32,EW32)=1),1,0)</f>
        <v/>
      </c>
      <c r="EY32" s="55">
        <f>IF(ROW()-3&gt;MAX(EX$4:EX$40),"",INDEX(EW$4:EW$40,MATCH(ROW()-3,EX$4:EX$40,0)))</f>
        <v/>
      </c>
      <c r="EZ32" s="55">
        <f>IF('Final Calculation Sheet'!$AD$32="","",'Final Calculation Sheet'!$AD$32)</f>
        <v/>
      </c>
      <c r="FA32">
        <f>IF(EZ32="","",COUNTIFS(EZ$4:EZ$40,"&lt;"&amp;EZ32,EZ$4:EZ$40,"&lt;&gt;"&amp;"")+COUNTIF(EZ$4:EZ32,EZ32))</f>
        <v/>
      </c>
      <c r="FB32" s="55">
        <f>IF(ROW()-3&gt;COUNTIF(EZ$4:EZ$40,"&lt;&gt;"&amp;""),"",INDEX(EZ$4:EZ$40,MATCH(ROW()-3,FA$4:FA$40,0)))</f>
        <v/>
      </c>
      <c r="FC32">
        <f>FC31+IF(AND(FB32&lt;&gt;"",COUNTIF(FB$4:FB32,FB32)=1),1,0)</f>
        <v/>
      </c>
      <c r="FD32">
        <f>IF(ROW()-3&gt;MAX(FC$4:FC$40),"",INDEX(FB$4:FB$40,MATCH(ROW()-3,FC$4:FC$40,0)))</f>
        <v/>
      </c>
      <c r="FE32">
        <f>IF('Final Calculation Sheet'!$AF$32="","",'Final Calculation Sheet'!$AF$32)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s="141">
        <f>IF('Final Calculation Sheet'!$AG$32="","",'Final Calculation Sheet'!$AG$32)</f>
        <v/>
      </c>
      <c r="FK32">
        <f>IF(FJ32="","",COUNTIFS(FJ$4:FJ$40,"&lt;"&amp;FJ32,FJ$4:FJ$40,"&lt;&gt;"&amp;"")+COUNTIF(FJ$4:FJ32,FJ32))</f>
        <v/>
      </c>
      <c r="FL32" s="141">
        <f>IF(ROW()-3&gt;COUNTIF(FJ$4:FJ$40,"&lt;&gt;"&amp;""),"",INDEX(FJ$4:FJ$40,MATCH(ROW()-3,FK$4:FK$40,0)))</f>
        <v/>
      </c>
      <c r="FM32">
        <f>FM31+IF(AND(FL32&lt;&gt;"",COUNTIF(FL$4:FL32,FL32)=1),1,0)</f>
        <v/>
      </c>
      <c r="FN32">
        <f>IF(ROW()-3&gt;MAX(FM$4:FM$40),"",INDEX(FL$4:FL$40,MATCH(ROW()-3,FM$4:FM$40,0)))</f>
        <v/>
      </c>
      <c r="FO32">
        <f>IF('Final Calculation Sheet'!$AH$32="","",'Final Calculation Sheet'!$AH$32)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c r="FY32">
        <f>IF(COUNTIF('Live Search'!BM$31:BO$31,0)+COUNTIF('Live Search'!BQ$31:CU$31,0)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2">
        <f>IF($Y$32="",FALSE,SUMPRODUCT(('Final Calculation Sheet'!$B$4:$B$40=$Y$32)*($FY$6:$FY$42=1))&gt;0)</f>
        <v/>
      </c>
      <c r="GA32">
        <f>$GA$31+--($FZ$32)</f>
        <v/>
      </c>
      <c r="GB32">
        <f>IF(ROW()-3&gt;MAX($GA$4:$GA$40),"",INDEX($Y$4:$Y$40,MATCH(ROW()-3,$GA$4:$GA$40,0)))</f>
        <v/>
      </c>
      <c r="GC32">
        <f>IF(COUNTIF('Live Search'!BM$31:BM$31,0)+COUNTIF('Live Search'!BO$31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D32">
        <f>IF($O$32="",FALSE,SUMPRODUCT(('Final Calculation Sheet'!$F$4:$F$40=$O$32)*($GC$6:$GC$42=1))&gt;0)</f>
        <v/>
      </c>
      <c r="GE32">
        <f>$GE$31+--($GD32)</f>
        <v/>
      </c>
      <c r="GF32">
        <f>IF(ROW()-3&gt;MAX($GE$4:$GE$40),"",INDEX($O$4:$O$40,MATCH(ROW()-3,$GE$4:$GE$40,0)))</f>
        <v/>
      </c>
      <c r="GG32">
        <f>IF(COUNTIF('Live Search'!BM$31:BN$31,0)+COUNTIF('Live Search'!BP$31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H32">
        <f>IF($T$32="",FALSE,SUMPRODUCT(('Final Calculation Sheet'!$G$4:$G$40=$T$32)*($GG$6:$GG$42=1))&gt;0)</f>
        <v/>
      </c>
      <c r="GI32">
        <f>$GI$31+--($GH32)</f>
        <v/>
      </c>
      <c r="GJ32">
        <f>IF(ROW()-3&gt;MAX($GI$4:$GI$40),"",INDEX($T$4:$T$40,MATCH(ROW()-3,$GI$4:$GI$40,0)))</f>
        <v/>
      </c>
      <c r="GK32">
        <f>IF(COUNTIF('Live Search'!BM$31:BP$31,0)+COUNTIF('Live Search'!BR$31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L32">
        <f>IF($AD$32="",FALSE,SUMPRODUCT(('Final Calculation Sheet'!$D$4:$D$40=$AD$32)*($GK$6:$GK$42=1))&gt;0)</f>
        <v/>
      </c>
      <c r="GM32">
        <f>$GM$31+--($GL32)</f>
        <v/>
      </c>
      <c r="GN32">
        <f>IF(ROW()-3&gt;MAX($GM$4:$GM$40),"",INDEX($AD$4:$AD$40,MATCH(ROW()-3,$GM$4:$GM$40,0)))</f>
        <v/>
      </c>
      <c r="GO32">
        <f>IF(COUNTIF('Live Search'!BM$31:BQ$31,0)+COUNTIF('Live Search'!BS$31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P32">
        <f>IF($AI$32="",FALSE,SUMPRODUCT(('Final Calculation Sheet'!$A$4:$A$40=$AI$32)*($GO$6:$GO$42=1))&gt;0)</f>
        <v/>
      </c>
      <c r="GQ32">
        <f>$GQ$31+--($GP32)</f>
        <v/>
      </c>
      <c r="GR32">
        <f>IF(ROW()-3&gt;MAX($GQ$4:$GQ$40),"",INDEX($AI$4:$AI$40,MATCH(ROW()-3,$GQ$4:$GQ$40,0)))</f>
        <v/>
      </c>
      <c r="GS32">
        <f>IF(COUNTIF('Live Search'!BM$31:BR$31,0)+COUNTIF('Live Search'!BT$31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T32">
        <f>IF($AN$32="",FALSE,SUMPRODUCT(('Final Calculation Sheet'!$E$4:$E$40=$AN$32)*($GS$6:$GS$42=1))&gt;0)</f>
        <v/>
      </c>
      <c r="GU32">
        <f>$GU$31+--($GT32)</f>
        <v/>
      </c>
      <c r="GV32">
        <f>IF(ROW()-3&gt;MAX($GU$4:$GU$40),"",INDEX($AN$4:$AN$40,MATCH(ROW()-3,$GU$4:$GU$40,0)))</f>
        <v/>
      </c>
      <c r="GW32">
        <f>IF(COUNTIF('Live Search'!BM$31:BS$31,0)+COUNTIF('Live Search'!BU$31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GX32">
        <f>IF($AS$32="",FALSE,SUMPRODUCT(('Final Calculation Sheet'!$C$4:$C$40=$AS$32)*($GW$6:$GW$42=1))&gt;0)</f>
        <v/>
      </c>
      <c r="GY32">
        <f>$GY$31+--($GX32)</f>
        <v/>
      </c>
      <c r="GZ32">
        <f>IF(ROW()-3&gt;MAX($GY$4:$GY$40),"",INDEX($AS$4:$AS$40,MATCH(ROW()-3,$GY$4:$GY$40,0)))</f>
        <v/>
      </c>
      <c r="HA32">
        <f>IF(COUNTIF('Live Search'!BM$31:BT$31,0)+COUNTIF('Live Search'!BV$31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B32">
        <f>IF($AX$32="",FALSE,SUMPRODUCT(('Final Calculation Sheet'!$H$4:$H$40=$AX$32)*($HA$6:$HA$42=1))&gt;0)</f>
        <v/>
      </c>
      <c r="HC32">
        <f>$HC$31+--($HB32)</f>
        <v/>
      </c>
      <c r="HD32">
        <f>IF(ROW()-3&gt;MAX($HC$4:$HC$40),"",INDEX($AX$4:$AX$40,MATCH(ROW()-3,$HC$4:$HC$40,0)))</f>
        <v/>
      </c>
      <c r="HE32">
        <f>IF(COUNTIF('Live Search'!BM$31:BU$31,0)+COUNTIF('Live Search'!BW$31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F32">
        <f>IF($BC$32="",FALSE,SUMPRODUCT(('Final Calculation Sheet'!$I$4:$I$40=$BC$32)*($HE$6:$HE$42=1))&gt;0)</f>
        <v/>
      </c>
      <c r="HG32">
        <f>$HG$31+--($HF32)</f>
        <v/>
      </c>
      <c r="HH32">
        <f>IF(ROW()-3&gt;MAX($HG$4:$HG$40),"",INDEX($BC$4:$BC$40,MATCH(ROW()-3,$HG$4:$HG$40,0)))</f>
        <v/>
      </c>
      <c r="HI32">
        <f>IF(COUNTIF('Live Search'!BM$31:BV$31,0)+COUNTIF('Live Search'!BX$31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J32">
        <f>IF($BH$32="",FALSE,SUMPRODUCT(('Final Calculation Sheet'!$J$4:$J$40=$BH$32)*($HI$6:$HI$42=1))&gt;0)</f>
        <v/>
      </c>
      <c r="HK32">
        <f>$HK$31+--($HJ32)</f>
        <v/>
      </c>
      <c r="HL32">
        <f>IF(ROW()-3&gt;MAX($HK$4:$HK$40),"",INDEX($BH$4:$BH$40,MATCH(ROW()-3,$HK$4:$HK$40,0)))</f>
        <v/>
      </c>
      <c r="HM32">
        <f>IF(COUNTIF('Live Search'!BM$31:BW$31,0)+COUNTIF('Live Search'!BY$31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N32">
        <f>IF($BM$32="",FALSE,SUMPRODUCT(('Final Calculation Sheet'!$K$4:$K$40=$BM$32)*($HM$6:$HM$42=1))&gt;0)</f>
        <v/>
      </c>
      <c r="HO32">
        <f>$HO$31+--($HN32)</f>
        <v/>
      </c>
      <c r="HP32">
        <f>IF(ROW()-3&gt;MAX($HO$4:$HO$40),"",INDEX($BM$4:$BM$40,MATCH(ROW()-3,$HO$4:$HO$40,0)))</f>
        <v/>
      </c>
      <c r="HQ32">
        <f>IF(COUNTIF('Live Search'!BM$31:BX$31,0)+COUNTIF('Live Search'!BZ$31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R32">
        <f>IF($BR$32="",FALSE,SUMPRODUCT(('Final Calculation Sheet'!$L$4:$L$40=$BR$32)*($HQ$6:$HQ$42=1))&gt;0)</f>
        <v/>
      </c>
      <c r="HS32">
        <f>$HS$31+--($HR32)</f>
        <v/>
      </c>
      <c r="HT32">
        <f>IF(ROW()-3&gt;MAX($HS$4:$HS$40),"",INDEX($BR$4:$BR$40,MATCH(ROW()-3,$HS$4:$HS$40,0)))</f>
        <v/>
      </c>
      <c r="HU32">
        <f>IF(COUNTIF('Live Search'!BM$31:BY$31,0)+COUNTIF('Live Search'!CA$31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V32">
        <f>IF($BW$32="",FALSE,SUMPRODUCT(('Final Calculation Sheet'!$M$4:$M$40=$BW$32)*($HU$6:$HU$42=1))&gt;0)</f>
        <v/>
      </c>
      <c r="HW32">
        <f>$HW$31+--($HV32)</f>
        <v/>
      </c>
      <c r="HX32">
        <f>IF(ROW()-3&gt;MAX($HW$4:$HW$40),"",INDEX($BW$4:$BW$40,MATCH(ROW()-3,$HW$4:$HW$40,0)))</f>
        <v/>
      </c>
      <c r="HY32">
        <f>IF(COUNTIF('Live Search'!BM$31:BZ$31,0)+COUNTIF('Live Search'!CB$31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HZ32">
        <f>IF($CB$32="",FALSE,SUMPRODUCT(('Final Calculation Sheet'!$N$4:$N$40=$CB$32)*($HY$6:$HY$42=1))&gt;0)</f>
        <v/>
      </c>
      <c r="IA32">
        <f>$IA$31+--($HZ32)</f>
        <v/>
      </c>
      <c r="IB32">
        <f>IF(ROW()-3&gt;MAX($IA$4:$IA$40),"",INDEX($CB$4:$CB$40,MATCH(ROW()-3,$IA$4:$IA$40,0)))</f>
        <v/>
      </c>
      <c r="IC32">
        <f>IF(COUNTIF('Live Search'!BM$31:CA$31,0)+COUNTIF('Live Search'!CC$31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D32">
        <f>IF($CG$32="",FALSE,SUMPRODUCT(('Final Calculation Sheet'!$O$4:$O$40=$CG$32)*($IC$6:$IC$42=1))&gt;0)</f>
        <v/>
      </c>
      <c r="IE32">
        <f>$IE$31+--($ID32)</f>
        <v/>
      </c>
      <c r="IF32">
        <f>IF(ROW()-3&gt;MAX($IE$4:$IE$40),"",INDEX($CG$4:$CG$40,MATCH(ROW()-3,$IE$4:$IE$40,0)))</f>
        <v/>
      </c>
      <c r="IG32">
        <f>IF(COUNTIF('Live Search'!BM$31:CB$31,0)+COUNTIF('Live Search'!CD$31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H32">
        <f>IF($CL$32="",FALSE,SUMPRODUCT(('Final Calculation Sheet'!$P$4:$P$40=$CL$32)*($IG$6:$IG$42=1))&gt;0)</f>
        <v/>
      </c>
      <c r="II32">
        <f>$II$31+--($IH32)</f>
        <v/>
      </c>
      <c r="IJ32">
        <f>IF(ROW()-3&gt;MAX($II$4:$II$40),"",INDEX($CL$4:$CL$40,MATCH(ROW()-3,$II$4:$II$40,0)))</f>
        <v/>
      </c>
      <c r="IK32">
        <f>IF(COUNTIF('Live Search'!BM$31:CC$31,0)+COUNTIF('Live Search'!CE$31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L32">
        <f>IF($CQ$32="",FALSE,SUMPRODUCT(('Final Calculation Sheet'!$Q$4:$Q$40=$CQ$32)*($IK$6:$IK$42=1))&gt;0)</f>
        <v/>
      </c>
      <c r="IM32">
        <f>$IM$31+--($IL32)</f>
        <v/>
      </c>
      <c r="IN32">
        <f>IF(ROW()-3&gt;MAX($IM$4:$IM$40),"",INDEX($CQ$4:$CQ$40,MATCH(ROW()-3,$IM$4:$IM$40,0)))</f>
        <v/>
      </c>
      <c r="IO32">
        <f>IF(COUNTIF('Live Search'!BM$31:CD$31,0)+COUNTIF('Live Search'!CF$31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P32">
        <f>IF($CV$32="",FALSE,SUMPRODUCT(('Final Calculation Sheet'!$R$4:$R$40=$CV$32)*($IO$6:$IO$42=1))&gt;0)</f>
        <v/>
      </c>
      <c r="IQ32">
        <f>$IQ$31+--($IP32)</f>
        <v/>
      </c>
      <c r="IR32">
        <f>IF(ROW()-3&gt;MAX($IQ$4:$IQ$40),"",INDEX($CV$4:$CV$40,MATCH(ROW()-3,$IQ$4:$IQ$40,0)))</f>
        <v/>
      </c>
      <c r="IS32">
        <f>IF(COUNTIF('Live Search'!BM$31:CE$31,0)+COUNTIF('Live Search'!CG$31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T32">
        <f>IF($DA$32="",FALSE,SUMPRODUCT(('Final Calculation Sheet'!$S$4:$S$40=$DA$32)*($IS$6:$IS$42=1))&gt;0)</f>
        <v/>
      </c>
      <c r="IU32">
        <f>$IU$31+--($IT32)</f>
        <v/>
      </c>
      <c r="IV32">
        <f>IF(ROW()-3&gt;MAX($IU$4:$IU$40),"",INDEX($DA$4:$DA$40,MATCH(ROW()-3,$IU$4:$IU$40,0)))</f>
        <v/>
      </c>
      <c r="IW32">
        <f>IF(COUNTIF('Live Search'!BM$31:CF$31,0)+COUNTIF('Live Search'!CH$31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IX32">
        <f>IF($DF$32="",FALSE,SUMPRODUCT(('Final Calculation Sheet'!$T$4:$T$40=$DF$32)*($IW$6:$IW$42=1))&gt;0)</f>
        <v/>
      </c>
      <c r="IY32">
        <f>$IY$31+--($IX32)</f>
        <v/>
      </c>
      <c r="IZ32">
        <f>IF(ROW()-3&gt;MAX($IY$4:$IY$40),"",INDEX($DF$4:$DF$40,MATCH(ROW()-3,$IY$4:$IY$40,0)))</f>
        <v/>
      </c>
      <c r="JA32">
        <f>IF(COUNTIF('Live Search'!BM$31:CG$31,0)+COUNTIF('Live Search'!CI$31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B32">
        <f>IF($DK$32="",FALSE,SUMPRODUCT(('Final Calculation Sheet'!$U$4:$U$40=$DK$32)*($JA$6:$JA$42=1))&gt;0)</f>
        <v/>
      </c>
      <c r="JC32">
        <f>$JC$31+--($JB32)</f>
        <v/>
      </c>
      <c r="JD32">
        <f>IF(ROW()-3&gt;MAX($JC$4:$JC$40),"",INDEX($DK$4:$DK$40,MATCH(ROW()-3,$JC$4:$JC$40,0)))</f>
        <v/>
      </c>
      <c r="JE32">
        <f>IF(COUNTIF('Live Search'!BM$31:CH$31,0)+COUNTIF('Live Search'!CJ$31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F32">
        <f>IF($DP$32="",FALSE,SUMPRODUCT(('Final Calculation Sheet'!$V$4:$V$40=$DP$32)*($JE$6:$JE$42=1))&gt;0)</f>
        <v/>
      </c>
      <c r="JG32">
        <f>$JG$31+--($JF32)</f>
        <v/>
      </c>
      <c r="JH32">
        <f>IF(ROW()-3&gt;MAX($JG$4:$JG$40),"",INDEX($DP$4:$DP$40,MATCH(ROW()-3,$JG$4:$JG$40,0)))</f>
        <v/>
      </c>
      <c r="JI32">
        <f>IF(COUNTIF('Live Search'!BM$31:CI$31,0)+COUNTIF('Live Search'!CK$31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J32">
        <f>IF($DU$32="",FALSE,SUMPRODUCT(('Final Calculation Sheet'!$W$4:$W$40=$DU$32)*($JI$6:$JI$42=1))&gt;0)</f>
        <v/>
      </c>
      <c r="JK32">
        <f>$JK$31+--($JJ32)</f>
        <v/>
      </c>
      <c r="JL32">
        <f>IF(ROW()-3&gt;MAX($JK$4:$JK$40),"",INDEX($DU$4:$DU$40,MATCH(ROW()-3,$JK$4:$JK$40,0)))</f>
        <v/>
      </c>
      <c r="JM32">
        <f>IF(COUNTIF('Live Search'!BM$31:CJ$31,0)+COUNTIF('Live Search'!CL$31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N32">
        <f>IF($DZ$32="",FALSE,SUMPRODUCT(('Final Calculation Sheet'!$X$4:$X$40=$DZ$32)*($JM$6:$JM$42=1))&gt;0)</f>
        <v/>
      </c>
      <c r="JO32">
        <f>$JO$31+--($JN32)</f>
        <v/>
      </c>
      <c r="JP32">
        <f>IF(ROW()-3&gt;MAX($JO$4:$JO$40),"",INDEX($DZ$4:$DZ$40,MATCH(ROW()-3,$JO$4:$JO$40,0)))</f>
        <v/>
      </c>
      <c r="JQ32">
        <f>IF(COUNTIF('Live Search'!BM$31:CK$31,0)+COUNTIF('Live Search'!C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R32">
        <f>IF($EE$32="",FALSE,SUMPRODUCT(('Final Calculation Sheet'!$Y$4:$Y$40=$EE$32)*($JQ$6:$JQ$42=1))&gt;0)</f>
        <v/>
      </c>
      <c r="JS32">
        <f>$JS$31+--($JR32)</f>
        <v/>
      </c>
      <c r="JT32">
        <f>IF(ROW()-3&gt;MAX($JS$4:$JS$40),"",INDEX($EE$4:$EE$40,MATCH(ROW()-3,$JS$4:$JS$40,0)))</f>
        <v/>
      </c>
      <c r="JU32">
        <f>IF(COUNTIF('Live Search'!BM$31:CL$31,0)+COUNTIF('Live Search'!CN$31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V32">
        <f>IF($EJ$32="",FALSE,SUMPRODUCT(('Final Calculation Sheet'!$Z$4:$Z$40=$EJ$32)*($JU$6:$JU$42=1))&gt;0)</f>
        <v/>
      </c>
      <c r="JW32">
        <f>$JW$31+--($JV32)</f>
        <v/>
      </c>
      <c r="JX32">
        <f>IF(ROW()-3&gt;MAX($JW$4:$JW$40),"",INDEX($EJ$4:$EJ$40,MATCH(ROW()-3,$JW$4:$JW$40,0)))</f>
        <v/>
      </c>
      <c r="JY32">
        <f>IF(COUNTIF('Live Search'!BM$31:CM$31,0)+COUNTIF('Live Search'!CO$31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JZ32">
        <f>IF($EO$32="",FALSE,SUMPRODUCT(('Final Calculation Sheet'!$AA$4:$AA$40=$EO$32)*($JY$6:$JY$42=1))&gt;0)</f>
        <v/>
      </c>
      <c r="KA32">
        <f>$KA$31+--($JZ32)</f>
        <v/>
      </c>
      <c r="KB32">
        <f>IF(ROW()-3&gt;MAX($KA$4:$KA$40),"",INDEX($EO$4:$EO$40,MATCH(ROW()-3,$KA$4:$KA$40,0)))</f>
        <v/>
      </c>
      <c r="KC32">
        <f>IF(COUNTIF('Live Search'!BM$31:CN$31,0)+COUNTIF('Live Search'!CP$31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D32">
        <f>IF($ET$32="",FALSE,SUMPRODUCT(('Final Calculation Sheet'!$AB$4:$AB$40=$ET$32)*($KC$6:$KC$42=1))&gt;0)</f>
        <v/>
      </c>
      <c r="KE32">
        <f>$KE$31+--($KD32)</f>
        <v/>
      </c>
      <c r="KF32">
        <f>IF(ROW()-3&gt;MAX($KE$4:$KE$40),"",INDEX($ET$4:$ET$40,MATCH(ROW()-3,$KE$4:$KE$40,0)))</f>
        <v/>
      </c>
      <c r="KG32">
        <f>IF(COUNTIF('Live Search'!BM$31:CO$31,0)+COUNTIF('Live Search'!CQ$31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H32">
        <f>IF($EY$32="",FALSE,SUMPRODUCT(('Final Calculation Sheet'!$AC$4:$AC$40=$EY$32)*($KG$6:$KG$42=1))&gt;0)</f>
        <v/>
      </c>
      <c r="KI32">
        <f>$KI$31+--($KH32)</f>
        <v/>
      </c>
      <c r="KJ32">
        <f>IF(ROW()-3&gt;MAX($KI$4:$KI$40),"",INDEX($EY$4:$EY$40,MATCH(ROW()-3,$KI$4:$KI$40,0)))</f>
        <v/>
      </c>
      <c r="KK32">
        <f>IF(COUNTIF('Live Search'!BM$31:CP$31,0)+COUNTIF('Live Search'!CR$31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L32">
        <f>IF($FD$32="",FALSE,SUMPRODUCT(('Final Calculation Sheet'!$AD$4:$AD$40=$FD$32)*($KK$6:$KK$42=1))&gt;0)</f>
        <v/>
      </c>
      <c r="KM32">
        <f>$KM$31+--($KL32)</f>
        <v/>
      </c>
      <c r="KN32">
        <f>IF(ROW()-3&gt;MAX($KM$4:$KM$40),"",INDEX($FD$4:$FD$40,MATCH(ROW()-3,$KM$4:$KM$40,0)))</f>
        <v/>
      </c>
      <c r="KO32">
        <f>IF(COUNTIF('Live Search'!BM$31:CT$31,0)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P32">
        <f>IF($FX$32="",FALSE,SUMPRODUCT((IF('Final Calculation Sheet'!$AD$4:$AD$40&lt;=5,"SETTLED","OUTSTANDING")=$FX$32)*($KO$6:$KO$42=1))&gt;0)</f>
        <v/>
      </c>
      <c r="KQ32">
        <f>$KQ$31+--($KP32)</f>
        <v/>
      </c>
      <c r="KR32">
        <f>IF(ROW()-3&gt;MAX($KQ$4:$KQ$40),"",INDEX($FX$4:$FX$40,MATCH(ROW()-3,$KQ$4:$KQ$40,0)))</f>
        <v/>
      </c>
      <c r="KS32">
        <f>IF(COUNTIF('Live Search'!BM$31:CQ$31,0)+COUNTIF('Live Search'!CS$31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T32">
        <f>IF($FI$32="",FALSE,SUMPRODUCT(('Final Calculation Sheet'!$AF$4:$AF$40=$FI$32)*($KS$6:$KS$42=1))&gt;0)</f>
        <v/>
      </c>
      <c r="KU32">
        <f>$KU$31+--($KT32)</f>
        <v/>
      </c>
      <c r="KV32">
        <f>IF(ROW()-3&gt;MAX($KU$4:$KU$40),"",INDEX($FI$4:$FI$40,MATCH(ROW()-3,$KU$4:$KU$40,0)))</f>
        <v/>
      </c>
      <c r="KW32">
        <f>IF(COUNTIF('Live Search'!BM$31:CR$31,0)+COUNTIF('Live Search'!CT$31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KX32">
        <f>IF($FN$32="",FALSE,SUMPRODUCT(('Final Calculation Sheet'!$AG$4:$AG$40=$FN$32)*($KW$6:$KW$42=1))&gt;0)</f>
        <v/>
      </c>
      <c r="KY32">
        <f>$KY$31+--($KX32)</f>
        <v/>
      </c>
      <c r="KZ32">
        <f>IF(ROW()-3&gt;MAX($KY$4:$KY$40),"",INDEX($FN$4:$FN$40,MATCH(ROW()-3,$KY$4:$KY$40,0)))</f>
        <v/>
      </c>
      <c r="LA32">
        <f>IF(COUNTIF('Live Search'!BM$31:CS$31,0)+COUNTIF('Live Search'!CU$31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LB32">
        <f>IF($FS$32="",FALSE,SUMPRODUCT(('Final Calculation Sheet'!$AH$4:$AH$40=$FS$32)*($LA$6:$LA$42=1))&gt;0)</f>
        <v/>
      </c>
      <c r="LC32">
        <f>$LC$31+--($LB32)</f>
        <v/>
      </c>
      <c r="LD32">
        <f>IF(ROW()-3&gt;MAX($LC$4:$LC$40),"",INDEX($FS$4:$FS$40,MATCH(ROW()-3,$LC$4:$LC$40,0)))</f>
        <v/>
      </c>
      <c r="LE32">
        <f>IF(COUNTIF('Buyer Groups'!DH85:EN85,0)&gt;0,0,1)</f>
        <v/>
      </c>
      <c r="LF32">
        <f>IF($O$32="",FALSE,SUMPRODUCT(('Final Calculation Sheet'!$F$4:$F$40=$O$32)*($LE$6:$LE$42=1))&gt;0)</f>
        <v/>
      </c>
      <c r="LG32">
        <f>$LG$31+--($LF32)</f>
        <v/>
      </c>
      <c r="LH32">
        <f>IF(ROW()-3&gt;MAX($LG$4:$LG$40),"",INDEX($O$4:$O$40,MATCH(ROW()-3,$LG$4:$LG$40,0)))</f>
        <v/>
      </c>
      <c r="LI32">
        <f>IF(COUNTIF('Buyer Groups'!DG85:DG85,0)+COUNTIF('Buyer Groups'!DI85:EN85,0)&gt;0,0,1)</f>
        <v/>
      </c>
      <c r="LJ32">
        <f>IF($T$32="",FALSE,SUMPRODUCT(('Final Calculation Sheet'!$G$4:$G$40=$T$32)*($LI$6:$LI$42=1))&gt;0)</f>
        <v/>
      </c>
      <c r="LK32">
        <f>$LK$31+--($LJ32)</f>
        <v/>
      </c>
      <c r="LL32">
        <f>IF(ROW()-3&gt;MAX($LK$4:$LK$40),"",INDEX($T$4:$T$40,MATCH(ROW()-3,$LK$4:$LK$40,0)))</f>
        <v/>
      </c>
      <c r="LM32">
        <f>IF(COUNTIF('Buyer Groups'!DG85:DH85,0)+COUNTIF('Buyer Groups'!DJ85:EN85,0)&gt;0,0,1)</f>
        <v/>
      </c>
      <c r="LN32">
        <f>IF($Y$32="",FALSE,SUMPRODUCT(('Final Calculation Sheet'!$B$4:$B$40=$Y$32)*($LM$6:$LM$42=1))&gt;0)</f>
        <v/>
      </c>
      <c r="LO32">
        <f>$LO$31+--($LN32)</f>
        <v/>
      </c>
      <c r="LP32">
        <f>IF(ROW()-3&gt;MAX($LO$4:$LO$40),"",INDEX($Y$4:$Y$40,MATCH(ROW()-3,$LO$4:$LO$40,0)))</f>
        <v/>
      </c>
      <c r="LQ32">
        <f>IF(COUNTIF('Buyer Groups'!DG85:DI85,0)+COUNTIF('Buyer Groups'!DK85:EN85,0)&gt;0,0,1)</f>
        <v/>
      </c>
      <c r="LR32">
        <f>IF($AD$32="",FALSE,SUMPRODUCT(('Final Calculation Sheet'!$D$4:$D$40=$AD$32)*($LQ$6:$LQ$42=1))&gt;0)</f>
        <v/>
      </c>
      <c r="LS32">
        <f>$LS$31+--($LR32)</f>
        <v/>
      </c>
      <c r="LT32">
        <f>IF(ROW()-3&gt;MAX($LS$4:$LS$40),"",INDEX($AD$4:$AD$40,MATCH(ROW()-3,$LS$4:$LS$40,0)))</f>
        <v/>
      </c>
      <c r="LU32">
        <f>IF(COUNTIF('Buyer Groups'!DG85:DJ85,0)+COUNTIF('Buyer Groups'!DL85:EN85,0)&gt;0,0,1)</f>
        <v/>
      </c>
      <c r="LV32">
        <f>IF($AI$32="",FALSE,SUMPRODUCT(('Final Calculation Sheet'!$A$4:$A$40=$AI$32)*($LU$6:$LU$42=1))&gt;0)</f>
        <v/>
      </c>
      <c r="LW32">
        <f>$LW$31+--($LV32)</f>
        <v/>
      </c>
      <c r="LX32">
        <f>IF(ROW()-3&gt;MAX($LW$4:$LW$40),"",INDEX($AI$4:$AI$40,MATCH(ROW()-3,$LW$4:$LW$40,0)))</f>
        <v/>
      </c>
      <c r="LY32">
        <f>IF(COUNTIF('Buyer Groups'!DG85:DK85,0)+COUNTIF('Buyer Groups'!DM85:EN85,0)&gt;0,0,1)</f>
        <v/>
      </c>
      <c r="LZ32">
        <f>IF($AN$32="",FALSE,SUMPRODUCT(('Final Calculation Sheet'!$E$4:$E$40=$AN$32)*($LY$6:$LY$42=1))&gt;0)</f>
        <v/>
      </c>
      <c r="MA32">
        <f>$MA$31+--($LZ32)</f>
        <v/>
      </c>
      <c r="MB32">
        <f>IF(ROW()-3&gt;MAX($MA$4:$MA$40),"",INDEX($AN$4:$AN$40,MATCH(ROW()-3,$MA$4:$MA$40,0)))</f>
        <v/>
      </c>
      <c r="MC32">
        <f>IF(COUNTIF('Buyer Groups'!DG85:DL85,0)+COUNTIF('Buyer Groups'!DN85:EN85,0)&gt;0,0,1)</f>
        <v/>
      </c>
      <c r="MD32">
        <f>IF($AS$32="",FALSE,SUMPRODUCT(('Final Calculation Sheet'!$C$4:$C$40=$AS$32)*($MC$6:$MC$42=1))&gt;0)</f>
        <v/>
      </c>
      <c r="ME32">
        <f>$ME$31+--($MD32)</f>
        <v/>
      </c>
      <c r="MF32">
        <f>IF(ROW()-3&gt;MAX($ME$4:$ME$40),"",INDEX($AS$4:$AS$40,MATCH(ROW()-3,$ME$4:$ME$40,0)))</f>
        <v/>
      </c>
      <c r="MG32">
        <f>IF(COUNTIF('Buyer Groups'!DG85:DM85,0)+COUNTIF('Buyer Groups'!DO85:EN85,0)&gt;0,0,1)</f>
        <v/>
      </c>
      <c r="MH32">
        <f>IF($AX$32="",FALSE,SUMPRODUCT(('Final Calculation Sheet'!$H$4:$H$40=$AX$32)*($MG$6:$MG$42=1))&gt;0)</f>
        <v/>
      </c>
      <c r="MI32">
        <f>$MI$31+--($MH32)</f>
        <v/>
      </c>
      <c r="MJ32">
        <f>IF(ROW()-3&gt;MAX($MI$4:$MI$40),"",INDEX($AX$4:$AX$40,MATCH(ROW()-3,$MI$4:$MI$40,0)))</f>
        <v/>
      </c>
      <c r="MK32">
        <f>IF(COUNTIF('Buyer Groups'!DG85:DN85,0)+COUNTIF('Buyer Groups'!DP85:EN85,0)&gt;0,0,1)</f>
        <v/>
      </c>
      <c r="ML32">
        <f>IF($BC$32="",FALSE,SUMPRODUCT(('Final Calculation Sheet'!$I$4:$I$40=$BC$32)*($MK$6:$MK$42=1))&gt;0)</f>
        <v/>
      </c>
      <c r="MM32">
        <f>$MM$31+--($ML32)</f>
        <v/>
      </c>
      <c r="MN32">
        <f>IF(ROW()-3&gt;MAX($MM$4:$MM$40),"",INDEX($BC$4:$BC$40,MATCH(ROW()-3,$MM$4:$MM$40,0)))</f>
        <v/>
      </c>
      <c r="MO32">
        <f>IF(COUNTIF('Buyer Groups'!DG85:DO85,0)+COUNTIF('Buyer Groups'!DQ85:EN85,0)&gt;0,0,1)</f>
        <v/>
      </c>
      <c r="MP32">
        <f>IF($BH$32="",FALSE,SUMPRODUCT(('Final Calculation Sheet'!$J$4:$J$40=$BH$32)*($MO$6:$MO$42=1))&gt;0)</f>
        <v/>
      </c>
      <c r="MQ32">
        <f>$MQ$31+--($MP32)</f>
        <v/>
      </c>
      <c r="MR32">
        <f>IF(ROW()-3&gt;MAX($MQ$4:$MQ$40),"",INDEX($BH$4:$BH$40,MATCH(ROW()-3,$MQ$4:$MQ$40,0)))</f>
        <v/>
      </c>
      <c r="MS32">
        <f>IF(COUNTIF('Buyer Groups'!DG85:DP85,0)+COUNTIF('Buyer Groups'!DR85:EN85,0)&gt;0,0,1)</f>
        <v/>
      </c>
      <c r="MT32">
        <f>IF($BM$32="",FALSE,SUMPRODUCT(('Final Calculation Sheet'!$K$4:$K$40=$BM$32)*($MS$6:$MS$42=1))&gt;0)</f>
        <v/>
      </c>
      <c r="MU32">
        <f>$MU$31+--($MT32)</f>
        <v/>
      </c>
      <c r="MV32">
        <f>IF(ROW()-3&gt;MAX($MU$4:$MU$40),"",INDEX($BM$4:$BM$40,MATCH(ROW()-3,$MU$4:$MU$40,0)))</f>
        <v/>
      </c>
      <c r="MW32">
        <f>IF(COUNTIF('Buyer Groups'!DG85:DQ85,0)+COUNTIF('Buyer Groups'!DS85:EN85,0)&gt;0,0,1)</f>
        <v/>
      </c>
      <c r="MX32">
        <f>IF($BR$32="",FALSE,SUMPRODUCT(('Final Calculation Sheet'!$L$4:$L$40=$BR$32)*($MW$6:$MW$42=1))&gt;0)</f>
        <v/>
      </c>
      <c r="MY32">
        <f>$MY$31+--($MX32)</f>
        <v/>
      </c>
      <c r="MZ32">
        <f>IF(ROW()-3&gt;MAX($MY$4:$MY$40),"",INDEX($BR$4:$BR$40,MATCH(ROW()-3,$MY$4:$MY$40,0)))</f>
        <v/>
      </c>
      <c r="NA32">
        <f>IF(COUNTIF('Buyer Groups'!DG85:DR85,0)+COUNTIF('Buyer Groups'!DT85:EN85,0)&gt;0,0,1)</f>
        <v/>
      </c>
      <c r="NB32">
        <f>IF($BW$32="",FALSE,SUMPRODUCT(('Final Calculation Sheet'!$M$4:$M$40=$BW$32)*($NA$6:$NA$42=1))&gt;0)</f>
        <v/>
      </c>
      <c r="NC32">
        <f>$NC$31+--($NB32)</f>
        <v/>
      </c>
      <c r="ND32">
        <f>IF(ROW()-3&gt;MAX($NC$4:$NC$40),"",INDEX($BW$4:$BW$40,MATCH(ROW()-3,$NC$4:$NC$40,0)))</f>
        <v/>
      </c>
      <c r="NE32">
        <f>IF(COUNTIF('Buyer Groups'!DG85:DS85,0)+COUNTIF('Buyer Groups'!DU85:EN85,0)&gt;0,0,1)</f>
        <v/>
      </c>
      <c r="NF32">
        <f>IF($CB$32="",FALSE,SUMPRODUCT(('Final Calculation Sheet'!$N$4:$N$40=$CB$32)*($NE$6:$NE$42=1))&gt;0)</f>
        <v/>
      </c>
      <c r="NG32">
        <f>$NG$31+--($NF32)</f>
        <v/>
      </c>
      <c r="NH32">
        <f>IF(ROW()-3&gt;MAX($NG$4:$NG$40),"",INDEX($CB$4:$CB$40,MATCH(ROW()-3,$NG$4:$NG$40,0)))</f>
        <v/>
      </c>
      <c r="NI32">
        <f>IF(COUNTIF('Buyer Groups'!DG85:DT85,0)+COUNTIF('Buyer Groups'!DV85:EN85,0)&gt;0,0,1)</f>
        <v/>
      </c>
      <c r="NJ32">
        <f>IF($CG$32="",FALSE,SUMPRODUCT(('Final Calculation Sheet'!$O$4:$O$40=$CG$32)*($NI$6:$NI$42=1))&gt;0)</f>
        <v/>
      </c>
      <c r="NK32">
        <f>$NK$31+--($NJ32)</f>
        <v/>
      </c>
      <c r="NL32">
        <f>IF(ROW()-3&gt;MAX($NK$4:$NK$40),"",INDEX($CG$4:$CG$40,MATCH(ROW()-3,$NK$4:$NK$40,0)))</f>
        <v/>
      </c>
      <c r="NM32">
        <f>IF(COUNTIF('Buyer Groups'!DG85:DU85,0)+COUNTIF('Buyer Groups'!DW85:EN85,0)&gt;0,0,1)</f>
        <v/>
      </c>
      <c r="NN32">
        <f>IF($CL$32="",FALSE,SUMPRODUCT(('Final Calculation Sheet'!$P$4:$P$40=$CL$32)*($NM$6:$NM$42=1))&gt;0)</f>
        <v/>
      </c>
      <c r="NO32">
        <f>$NO$31+--($NN32)</f>
        <v/>
      </c>
      <c r="NP32">
        <f>IF(ROW()-3&gt;MAX($NO$4:$NO$40),"",INDEX($CL$4:$CL$40,MATCH(ROW()-3,$NO$4:$NO$40,0)))</f>
        <v/>
      </c>
      <c r="NQ32">
        <f>IF(COUNTIF('Buyer Groups'!DG85:DV85,0)+COUNTIF('Buyer Groups'!DX85:EN85,0)&gt;0,0,1)</f>
        <v/>
      </c>
      <c r="NR32">
        <f>IF($CQ$32="",FALSE,SUMPRODUCT(('Final Calculation Sheet'!$Q$4:$Q$40=$CQ$32)*($NQ$6:$NQ$42=1))&gt;0)</f>
        <v/>
      </c>
      <c r="NS32">
        <f>$NS$31+--($NR32)</f>
        <v/>
      </c>
      <c r="NT32">
        <f>IF(ROW()-3&gt;MAX($NS$4:$NS$40),"",INDEX($CQ$4:$CQ$40,MATCH(ROW()-3,$NS$4:$NS$40,0)))</f>
        <v/>
      </c>
      <c r="NU32">
        <f>IF(COUNTIF('Buyer Groups'!DG85:DW85,0)+COUNTIF('Buyer Groups'!DY85:EN85,0)&gt;0,0,1)</f>
        <v/>
      </c>
      <c r="NV32">
        <f>IF($CV$32="",FALSE,SUMPRODUCT(('Final Calculation Sheet'!$R$4:$R$40=$CV$32)*($NU$6:$NU$42=1))&gt;0)</f>
        <v/>
      </c>
      <c r="NW32">
        <f>$NW$31+--($NV32)</f>
        <v/>
      </c>
      <c r="NX32">
        <f>IF(ROW()-3&gt;MAX($NW$4:$NW$40),"",INDEX($CV$4:$CV$40,MATCH(ROW()-3,$NW$4:$NW$40,0)))</f>
        <v/>
      </c>
      <c r="NY32">
        <f>IF(COUNTIF('Buyer Groups'!DG85:DX85,0)+COUNTIF('Buyer Groups'!DZ85:EN85,0)&gt;0,0,1)</f>
        <v/>
      </c>
      <c r="NZ32">
        <f>IF($DA$32="",FALSE,SUMPRODUCT(('Final Calculation Sheet'!$S$4:$S$40=$DA$32)*($NY$6:$NY$42=1))&gt;0)</f>
        <v/>
      </c>
      <c r="OA32">
        <f>$OA$31+--($NZ32)</f>
        <v/>
      </c>
      <c r="OB32">
        <f>IF(ROW()-3&gt;MAX($OA$4:$OA$40),"",INDEX($DA$4:$DA$40,MATCH(ROW()-3,$OA$4:$OA$40,0)))</f>
        <v/>
      </c>
      <c r="OC32">
        <f>IF(COUNTIF('Buyer Groups'!DG85:DY85,0)+COUNTIF('Buyer Groups'!EA85:EN85,0)&gt;0,0,1)</f>
        <v/>
      </c>
      <c r="OD32">
        <f>IF($DF$32="",FALSE,SUMPRODUCT(('Final Calculation Sheet'!$T$4:$T$40=$DF$32)*($OC$6:$OC$42=1))&gt;0)</f>
        <v/>
      </c>
      <c r="OE32">
        <f>$OE$31+--($OD32)</f>
        <v/>
      </c>
      <c r="OF32">
        <f>IF(ROW()-3&gt;MAX($OE$4:$OE$40),"",INDEX($DF$4:$DF$40,MATCH(ROW()-3,$OE$4:$OE$40,0)))</f>
        <v/>
      </c>
      <c r="OG32">
        <f>IF(COUNTIF('Buyer Groups'!DG85:DZ85,0)+COUNTIF('Buyer Groups'!EB85:EN85,0)&gt;0,0,1)</f>
        <v/>
      </c>
      <c r="OH32">
        <f>IF($DK$32="",FALSE,SUMPRODUCT(('Final Calculation Sheet'!$U$4:$U$40=$DK$32)*($OG$6:$OG$42=1))&gt;0)</f>
        <v/>
      </c>
      <c r="OI32">
        <f>$OI$31+--($OH32)</f>
        <v/>
      </c>
      <c r="OJ32">
        <f>IF(ROW()-3&gt;MAX($OI$4:$OI$40),"",INDEX($DK$4:$DK$40,MATCH(ROW()-3,$OI$4:$OI$40,0)))</f>
        <v/>
      </c>
      <c r="OK32">
        <f>IF(COUNTIF('Buyer Groups'!DG85:EA85,0)+COUNTIF('Buyer Groups'!EC85:EN85,0)&gt;0,0,1)</f>
        <v/>
      </c>
      <c r="OL32">
        <f>IF($DP$32="",FALSE,SUMPRODUCT(('Final Calculation Sheet'!$V$4:$V$40=$DP$32)*($OK$6:$OK$42=1))&gt;0)</f>
        <v/>
      </c>
      <c r="OM32">
        <f>$OM$31+--($OL32)</f>
        <v/>
      </c>
      <c r="ON32">
        <f>IF(ROW()-3&gt;MAX($OM$4:$OM$40),"",INDEX($DP$4:$DP$40,MATCH(ROW()-3,$OM$4:$OM$40,0)))</f>
        <v/>
      </c>
      <c r="OO32">
        <f>IF(COUNTIF('Buyer Groups'!DG85:EB85,0)+COUNTIF('Buyer Groups'!ED85:EN85,0)&gt;0,0,1)</f>
        <v/>
      </c>
      <c r="OP32">
        <f>IF($DU$32="",FALSE,SUMPRODUCT(('Final Calculation Sheet'!$W$4:$W$40=$DU$32)*($OO$6:$OO$42=1))&gt;0)</f>
        <v/>
      </c>
      <c r="OQ32">
        <f>$OQ$31+--($OP32)</f>
        <v/>
      </c>
      <c r="OR32">
        <f>IF(ROW()-3&gt;MAX($OQ$4:$OQ$40),"",INDEX($DU$4:$DU$40,MATCH(ROW()-3,$OQ$4:$OQ$40,0)))</f>
        <v/>
      </c>
      <c r="OS32">
        <f>IF(COUNTIF('Buyer Groups'!DG85:EC85,0)+COUNTIF('Buyer Groups'!EE85:EN85,0)&gt;0,0,1)</f>
        <v/>
      </c>
      <c r="OT32">
        <f>IF($DZ$32="",FALSE,SUMPRODUCT(('Final Calculation Sheet'!$X$4:$X$40=$DZ$32)*($OS$6:$OS$42=1))&gt;0)</f>
        <v/>
      </c>
      <c r="OU32">
        <f>$OU$31+--($OT32)</f>
        <v/>
      </c>
      <c r="OV32">
        <f>IF(ROW()-3&gt;MAX($OU$4:$OU$40),"",INDEX($DZ$4:$DZ$40,MATCH(ROW()-3,$OU$4:$OU$40,0)))</f>
        <v/>
      </c>
      <c r="OW32">
        <f>IF(COUNTIF('Buyer Groups'!DG85:ED85,0)+COUNTIF('Buyer Groups'!EF85:EN85,0)&gt;0,0,1)</f>
        <v/>
      </c>
      <c r="OX32">
        <f>IF($EE$32="",FALSE,SUMPRODUCT(('Final Calculation Sheet'!$Y$4:$Y$40=$EE$32)*($OW$6:$OW$42=1))&gt;0)</f>
        <v/>
      </c>
      <c r="OY32">
        <f>$OY$31+--($OX32)</f>
        <v/>
      </c>
      <c r="OZ32">
        <f>IF(ROW()-3&gt;MAX($OY$4:$OY$40),"",INDEX($EE$4:$EE$40,MATCH(ROW()-3,$OY$4:$OY$40,0)))</f>
        <v/>
      </c>
      <c r="PA32">
        <f>IF(COUNTIF('Buyer Groups'!DG85:EE85,0)+COUNTIF('Buyer Groups'!EG85:EN85,0)&gt;0,0,1)</f>
        <v/>
      </c>
      <c r="PB32">
        <f>IF($EJ$32="",FALSE,SUMPRODUCT(('Final Calculation Sheet'!$Z$4:$Z$40=$EJ$32)*($PA$6:$PA$42=1))&gt;0)</f>
        <v/>
      </c>
      <c r="PC32">
        <f>$PC$31+--($PB32)</f>
        <v/>
      </c>
      <c r="PD32">
        <f>IF(ROW()-3&gt;MAX($PC$4:$PC$40),"",INDEX($EJ$4:$EJ$40,MATCH(ROW()-3,$PC$4:$PC$40,0)))</f>
        <v/>
      </c>
      <c r="PE32">
        <f>IF(COUNTIF('Buyer Groups'!DG85:EF85,0)+COUNTIF('Buyer Groups'!EH85:EN85,0)&gt;0,0,1)</f>
        <v/>
      </c>
      <c r="PF32">
        <f>IF($EO$32="",FALSE,SUMPRODUCT(('Final Calculation Sheet'!$AA$4:$AA$40=$EO$32)*($PE$6:$PE$42=1))&gt;0)</f>
        <v/>
      </c>
      <c r="PG32">
        <f>$PG$31+--($PF32)</f>
        <v/>
      </c>
      <c r="PH32">
        <f>IF(ROW()-3&gt;MAX($PG$4:$PG$40),"",INDEX($EO$4:$EO$40,MATCH(ROW()-3,$PG$4:$PG$40,0)))</f>
        <v/>
      </c>
      <c r="PI32">
        <f>IF(COUNTIF('Buyer Groups'!DG85:EG85,0)+COUNTIF('Buyer Groups'!EI85:EN85,0)&gt;0,0,1)</f>
        <v/>
      </c>
      <c r="PJ32">
        <f>IF($ET$32="",FALSE,SUMPRODUCT(('Final Calculation Sheet'!$AB$4:$AB$40=$ET$32)*($PI$6:$PI$42=1))&gt;0)</f>
        <v/>
      </c>
      <c r="PK32">
        <f>$PK$31+--($PJ32)</f>
        <v/>
      </c>
      <c r="PL32">
        <f>IF(ROW()-3&gt;MAX($PK$4:$PK$40),"",INDEX($ET$4:$ET$40,MATCH(ROW()-3,$PK$4:$PK$40,0)))</f>
        <v/>
      </c>
      <c r="PM32">
        <f>IF(COUNTIF('Buyer Groups'!DG85:EH85,0)+COUNTIF('Buyer Groups'!EJ85:EN85,0)&gt;0,0,1)</f>
        <v/>
      </c>
      <c r="PN32">
        <f>IF($EY$32="",FALSE,SUMPRODUCT(('Final Calculation Sheet'!$AC$4:$AC$40=$EY$32)*($PM$6:$PM$42=1))&gt;0)</f>
        <v/>
      </c>
      <c r="PO32">
        <f>$PO$31+--($PN32)</f>
        <v/>
      </c>
      <c r="PP32">
        <f>IF(ROW()-3&gt;MAX($PO$4:$PO$40),"",INDEX($EY$4:$EY$40,MATCH(ROW()-3,$PO$4:$PO$40,0)))</f>
        <v/>
      </c>
      <c r="PQ32">
        <f>IF(COUNTIF('Buyer Groups'!DG85:EI85,0)+COUNTIF('Buyer Groups'!EK85:EN85,0)&gt;0,0,1)</f>
        <v/>
      </c>
      <c r="PR32">
        <f>IF($FD$32="",FALSE,SUMPRODUCT(('Final Calculation Sheet'!$AD$4:$AD$40=$FD$32)*($PQ$6:$PQ$42=1))&gt;0)</f>
        <v/>
      </c>
      <c r="PS32">
        <f>$PS$31+--($PR32)</f>
        <v/>
      </c>
      <c r="PT32">
        <f>IF(ROW()-3&gt;MAX($PS$4:$PS$40),"",INDEX($FD$4:$FD$40,MATCH(ROW()-3,$PS$4:$PS$40,0)))</f>
        <v/>
      </c>
      <c r="PU32">
        <f>IF(COUNTIF('Buyer Groups'!DG85:EJ85,0)+COUNTIF('Buyer Groups'!EL85:EN85,0)&gt;0,0,1)</f>
        <v/>
      </c>
      <c r="PV32">
        <f>IF($FX$32="",FALSE,SUMPRODUCT((IF('Final Calculation Sheet'!$AD$4:$AD$40&lt;=5,"SETTLED","OUTSTANDING")=$FX$32)*($PU$6:$PU$42=1))&gt;0)</f>
        <v/>
      </c>
      <c r="PW32">
        <f>$PW$31+--($PV32)</f>
        <v/>
      </c>
      <c r="PX32">
        <f>IF(ROW()-3&gt;MAX($PW$4:$PW$40),"",INDEX($FX$4:$FX$40,MATCH(ROW()-3,$PW$4:$PW$40,0)))</f>
        <v/>
      </c>
      <c r="PY32">
        <f>IF(COUNTIF('Buyer Groups'!DG85:EK85,0)+COUNTIF('Buyer Groups'!EM85:EN85,0)&gt;0,0,1)</f>
        <v/>
      </c>
      <c r="PZ32">
        <f>IF($FI$32="",FALSE,SUMPRODUCT(('Final Calculation Sheet'!$AF$4:$AF$40=$FI$32)*($PY$6:$PY$42=1))&gt;0)</f>
        <v/>
      </c>
      <c r="QA32">
        <f>$QA$31+--($PZ32)</f>
        <v/>
      </c>
      <c r="QB32">
        <f>IF(ROW()-3&gt;MAX($QA$4:$QA$40),"",INDEX($FI$4:$FI$40,MATCH(ROW()-3,$QA$4:$QA$40,0)))</f>
        <v/>
      </c>
      <c r="QC32">
        <f>IF(COUNTIF('Buyer Groups'!DG85:EL85,0)+COUNTIF('Buyer Groups'!EN85:EN85,0)&gt;0,0,1)</f>
        <v/>
      </c>
      <c r="QD32">
        <f>IF($FN$32="",FALSE,SUMPRODUCT(('Final Calculation Sheet'!$AG$4:$AG$40=$FN$32)*($QC$6:$QC$42=1))&gt;0)</f>
        <v/>
      </c>
      <c r="QE32">
        <f>$QE$31+--($QD32)</f>
        <v/>
      </c>
      <c r="QF32">
        <f>IF(ROW()-3&gt;MAX($QE$4:$QE$40),"",INDEX($FN$4:$FN$40,MATCH(ROW()-3,$QE$4:$QE$40,0)))</f>
        <v/>
      </c>
      <c r="QG32">
        <f>IF(COUNTIF('Buyer Groups'!DG85:EM85,0)&gt;0,0,1)</f>
        <v/>
      </c>
      <c r="QH32">
        <f>IF($FS$32="",FALSE,SUMPRODUCT(('Final Calculation Sheet'!$AH$4:$AH$40=$FS$32)*($QG$6:$QG$42=1))&gt;0)</f>
        <v/>
      </c>
      <c r="QI32">
        <f>$QI$31+--($QH32)</f>
        <v/>
      </c>
      <c r="QJ32">
        <f>IF(ROW()-3&gt;MAX($QI$4:$QI$40),"",INDEX($FS$4:$FS$40,MATCH(ROW()-3,$QI$4:$QI$40,0)))</f>
        <v/>
      </c>
      <c r="QK32" t="str">
        <f>IF('Final Calculation Sheet'!$AH$32="","",'Final Calculation Sheet'!$AH$32)</f>
      </c>
      <c r="QL32" t="str">
        <f>IF(QK32="","",COUNTIFS(QK$4:QK$40,"&lt;"&amp;QK32,QK$4:QK$40,"&lt;&gt;"&amp;"")+COUNTIF(QK$4:QK32,QK32))</f>
      </c>
      <c r="QM32" t="str">
        <f>IF(ROW()-3&gt;COUNTIF(QK$4:QK$40,"&lt;&gt;"&amp;""),"",INDEX(QK$4:QK$40,MATCH(ROW()-3,QL$4:QL$40,0)))</f>
      </c>
      <c r="QN32" t="str">
        <f>=QN31+F(AND(QM32&lt;&gt;"",COUNTIF(QM$4:QM32,QM32)=1),1,0)</f>
      </c>
      <c r="QO32" t="str">
        <f>IF(ROW()-3&gt;MAX(QN$4:QN$40),"",INDEX(QM$4:QM$40,MATCH(ROW()-3,QN$4:QN$40,0)))</f>
      </c>
      <c r="QP32" t="str">
        <f>IF(COUNTIF('Final Calculation Sheet'!$AM32:$BS32,0)&gt;0,0,1)</f>
      </c>
      <c r="QQ32" t="str">
        <f>IF($AI$32="",FALSE,SUMPRODUCT(('Final Calculation Sheet'!$A$4:$A$40=$AI$32)*($QP$4:$QP$40=1))&gt;0)</f>
      </c>
      <c r="QR32" t="str">
        <f>=$QR31+--($QQ32)</f>
      </c>
      <c r="QS32" t="str">
        <f>IF(ROW()-3&gt;MAX($QR$4:$QR$40),"",INDEX($AI$4:$AI$40,MATCH(ROW()-3,$QR$4:$QR$40,0)))</f>
      </c>
      <c r="QT32" t="str">
        <f>IF(COUNTIF('Final Calculation Sheet'!$AL32:$AL32,0)+COUNTIF('Final Calculation Sheet'!$AN32:$BS32,0)&gt;0,0,1)</f>
      </c>
      <c r="QU32" t="str">
        <f>IF($Y$32="",FALSE,SUMPRODUCT(('Final Calculation Sheet'!$B$4:$B$40=$Y$32)*($QT$4:$QT$40=1))&gt;0)</f>
      </c>
      <c r="QV32" t="str">
        <f>=$QV31+--($QU32)</f>
      </c>
      <c r="QW32" t="str">
        <f>IF(ROW()-3&gt;MAX($QV$4:$QV$40),"",INDEX($Y$4:$Y$40,MATCH(ROW()-3,$QV$4:$QV$40,0)))</f>
      </c>
      <c r="QX32" t="str">
        <f>IF(COUNTIF('Final Calculation Sheet'!$AL32:$AM32,0)+COUNTIF('Final Calculation Sheet'!$AO32:$BS32,0)&gt;0,0,1)</f>
      </c>
      <c r="QY32" t="str">
        <f>IF($AS$32="",FALSE,SUMPRODUCT(('Final Calculation Sheet'!$C$4:$C$40=$AS$32)*($QX$4:$QX$40=1))&gt;0)</f>
      </c>
      <c r="QZ32" t="str">
        <f>=$QZ31+--($QY32)</f>
      </c>
      <c r="RA32" t="str">
        <f>IF(ROW()-3&gt;MAX($QZ$4:$QZ$40),"",INDEX($AS$4:$AS$40,MATCH(ROW()-3,$QZ$4:$QZ$40,0)))</f>
      </c>
      <c r="RB32" t="str">
        <f>IF(COUNTIF('Final Calculation Sheet'!$AL32:$AN32,0)+COUNTIF('Final Calculation Sheet'!$AP32:$BS32,0)&gt;0,0,1)</f>
      </c>
      <c r="RC32" t="str">
        <f>IF($AD$32="",FALSE,SUMPRODUCT(('Final Calculation Sheet'!$D$4:$D$40=$AD$32)*($RB$4:$RB$40=1))&gt;0)</f>
      </c>
      <c r="RD32" t="str">
        <f>=$RD31+--($RC32)</f>
      </c>
      <c r="RE32" t="str">
        <f>IF(ROW()-3&gt;MAX($RD$4:$RD$40),"",INDEX($AD$4:$AD$40,MATCH(ROW()-3,$RD$4:$RD$40,0)))</f>
      </c>
      <c r="RF32" t="str">
        <f>IF(COUNTIF('Final Calculation Sheet'!$AL32:$AO32,0)+COUNTIF('Final Calculation Sheet'!$AQ32:$BS32,0)&gt;0,0,1)</f>
      </c>
      <c r="RG32" t="str">
        <f>IF($AN$32="",FALSE,SUMPRODUCT(('Final Calculation Sheet'!$E$4:$E$40=$AN$32)*($RF$4:$RF$40=1))&gt;0)</f>
      </c>
      <c r="RH32" t="str">
        <f>=$RH31+--($RG32)</f>
      </c>
      <c r="RI32" t="str">
        <f>IF(ROW()-3&gt;MAX($RH$4:$RH$40),"",INDEX($AN$4:$AN$40,MATCH(ROW()-3,$RH$4:$RH$40,0)))</f>
      </c>
      <c r="RJ32" t="str">
        <f>IF(COUNTIF('Final Calculation Sheet'!$AL32:$AP32,0)+COUNTIF('Final Calculation Sheet'!$AR32:$BS32,0)&gt;0,0,1)</f>
      </c>
      <c r="RK32" t="str">
        <f>IF($O$32="",FALSE,SUMPRODUCT(('Final Calculation Sheet'!$F$4:$F$40=$O$32)*($RJ$4:$RJ$40=1))&gt;0)</f>
      </c>
      <c r="RL32" t="str">
        <f>=$RL31+--($RK32)</f>
      </c>
      <c r="RM32" t="str">
        <f>IF(ROW()-3&gt;MAX($RL$4:$RL$40),"",INDEX($O$4:$O$40,MATCH(ROW()-3,$RL$4:$RL$40,0)))</f>
      </c>
      <c r="RN32" t="str">
        <f>IF(COUNTIF('Final Calculation Sheet'!$AL32:$AQ32,0)+COUNTIF('Final Calculation Sheet'!$AS32:$BS32,0)&gt;0,0,1)</f>
      </c>
      <c r="RO32" t="str">
        <f>IF($T$32="",FALSE,SUMPRODUCT(('Final Calculation Sheet'!$G$4:$G$40=$T$32)*($RN$4:$RN$40=1))&gt;0)</f>
      </c>
      <c r="RP32" t="str">
        <f>=$RP31+--($RO32)</f>
      </c>
      <c r="RQ32" t="str">
        <f>IF(ROW()-3&gt;MAX($RP$4:$RP$40),"",INDEX($T$4:$T$40,MATCH(ROW()-3,$RP$4:$RP$40,0)))</f>
      </c>
      <c r="RR32" t="str">
        <f>IF(COUNTIF('Final Calculation Sheet'!$AL32:$AR32,0)+COUNTIF('Final Calculation Sheet'!$AT32:$BS32,0)&gt;0,0,1)</f>
      </c>
      <c r="RS32" t="str">
        <f>IF($AX$32="",FALSE,SUMPRODUCT(('Final Calculation Sheet'!$H$4:$H$40=$AX$32)*($RR$4:$RR$40=1))&gt;0)</f>
      </c>
      <c r="RT32" t="str">
        <f>=$RT31+--($RS32)</f>
      </c>
      <c r="RU32" t="str">
        <f>IF(ROW()-3&gt;MAX($RT$4:$RT$40),"",INDEX($AX$4:$AX$40,MATCH(ROW()-3,$RT$4:$RT$40,0)))</f>
      </c>
      <c r="RV32" t="str">
        <f>IF(COUNTIF('Final Calculation Sheet'!$AL32:$AS32,0)+COUNTIF('Final Calculation Sheet'!$AU32:$BS32,0)&gt;0,0,1)</f>
      </c>
      <c r="RW32" t="str">
        <f>IF($BC$32="",FALSE,SUMPRODUCT(('Final Calculation Sheet'!$I$4:$I$40=$BC$32)*($RV$4:$RV$40=1))&gt;0)</f>
      </c>
      <c r="RX32" t="str">
        <f>=$RX31+--($RW32)</f>
      </c>
      <c r="RY32" t="str">
        <f>IF(ROW()-3&gt;MAX($RX$4:$RX$40),"",INDEX($BC$4:$BC$40,MATCH(ROW()-3,$RX$4:$RX$40,0)))</f>
      </c>
      <c r="RZ32" t="str">
        <f>IF(COUNTIF('Final Calculation Sheet'!$AL32:$AT32,0)+COUNTIF('Final Calculation Sheet'!$AV32:$BS32,0)&gt;0,0,1)</f>
      </c>
      <c r="SA32" t="str">
        <f>IF($BH$32="",FALSE,SUMPRODUCT(('Final Calculation Sheet'!$J$4:$J$40=$BH$32)*($RZ$4:$RZ$40=1))&gt;0)</f>
      </c>
      <c r="SB32" t="str">
        <f>=$SB31+--($SA32)</f>
      </c>
      <c r="SC32" t="str">
        <f>IF(ROW()-3&gt;MAX($SB$4:$SB$40),"",INDEX($BH$4:$BH$40,MATCH(ROW()-3,$SB$4:$SB$40,0)))</f>
      </c>
      <c r="SD32" t="str">
        <f>IF(COUNTIF('Final Calculation Sheet'!$AL32:$AU32,0)+COUNTIF('Final Calculation Sheet'!$AW32:$BS32,0)&gt;0,0,1)</f>
      </c>
      <c r="SE32" t="str">
        <f>IF($BM$32="",FALSE,SUMPRODUCT(('Final Calculation Sheet'!$K$4:$K$40=$BM$32)*($SD$4:$SD$40=1))&gt;0)</f>
      </c>
      <c r="SF32" t="str">
        <f>=$SF31+--($SE32)</f>
      </c>
      <c r="SG32" t="str">
        <f>IF(ROW()-3&gt;MAX($SF$4:$SF$40),"",INDEX($BM$4:$BM$40,MATCH(ROW()-3,$SF$4:$SF$40,0)))</f>
      </c>
      <c r="SH32" t="str">
        <f>IF(COUNTIF('Final Calculation Sheet'!$AL32:$AV32,0)+COUNTIF('Final Calculation Sheet'!$AX32:$BS32,0)&gt;0,0,1)</f>
      </c>
      <c r="SI32" t="str">
        <f>IF($BR$32="",FALSE,SUMPRODUCT(('Final Calculation Sheet'!$L$4:$L$40=$BR$32)*($SH$4:$SH$40=1))&gt;0)</f>
      </c>
      <c r="SJ32" t="str">
        <f>=$SJ31+--($SI32)</f>
      </c>
      <c r="SK32" t="str">
        <f>IF(ROW()-3&gt;MAX($SJ$4:$SJ$40),"",INDEX($BR$4:$BR$40,MATCH(ROW()-3,$SJ$4:$SJ$40,0)))</f>
      </c>
      <c r="SL32" t="str">
        <f>IF(COUNTIF('Final Calculation Sheet'!$AL32:$AW32,0)+COUNTIF('Final Calculation Sheet'!$AY32:$BS32,0)&gt;0,0,1)</f>
      </c>
      <c r="SM32" t="str">
        <f>IF($BW$32="",FALSE,SUMPRODUCT(('Final Calculation Sheet'!$M$4:$M$40=$BW$32)*($SL$4:$SL$40=1))&gt;0)</f>
      </c>
      <c r="SN32" t="str">
        <f>=$SN31+--($SM32)</f>
      </c>
      <c r="SO32" t="str">
        <f>IF(ROW()-3&gt;MAX($SN$4:$SN$40),"",INDEX($BW$4:$BW$40,MATCH(ROW()-3,$SN$4:$SN$40,0)))</f>
      </c>
      <c r="SP32" t="str">
        <f>IF(COUNTIF('Final Calculation Sheet'!$AL32:$AX32,0)+COUNTIF('Final Calculation Sheet'!$AZ32:$BS32,0)&gt;0,0,1)</f>
      </c>
      <c r="SQ32" t="str">
        <f>IF($CB$32="",FALSE,SUMPRODUCT(('Final Calculation Sheet'!$N$4:$N$40=$CB$32)*($SP$4:$SP$40=1))&gt;0)</f>
      </c>
      <c r="SR32" t="str">
        <f>=$SR31+--($SQ32)</f>
      </c>
      <c r="SS32" t="str">
        <f>IF(ROW()-3&gt;MAX($SR$4:$SR$40),"",INDEX($CB$4:$CB$40,MATCH(ROW()-3,$SR$4:$SR$40,0)))</f>
      </c>
      <c r="ST32" t="str">
        <f>IF(COUNTIF('Final Calculation Sheet'!$AL32:$AY32,0)+COUNTIF('Final Calculation Sheet'!$BA32:$BS32,0)&gt;0,0,1)</f>
      </c>
      <c r="SU32" t="str">
        <f>IF($CG$32="",FALSE,SUMPRODUCT(('Final Calculation Sheet'!$O$4:$O$40=$CG$32)*($ST$4:$ST$40=1))&gt;0)</f>
      </c>
      <c r="SV32" t="str">
        <f>=$SV31+--($SU32)</f>
      </c>
      <c r="SW32" t="str">
        <f>IF(ROW()-3&gt;MAX($SV$4:$SV$40),"",INDEX($CG$4:$CG$40,MATCH(ROW()-3,$SV$4:$SV$40,0)))</f>
      </c>
      <c r="SX32" t="str">
        <f>IF(COUNTIF('Final Calculation Sheet'!$AL32:$AZ32,0)+COUNTIF('Final Calculation Sheet'!$BB32:$BS32,0)&gt;0,0,1)</f>
      </c>
      <c r="SY32" t="str">
        <f>IF($CL$32="",FALSE,SUMPRODUCT(('Final Calculation Sheet'!$P$4:$P$40=$CL$32)*($SX$4:$SX$40=1))&gt;0)</f>
      </c>
      <c r="SZ32" t="str">
        <f>=$SZ31+--($SY32)</f>
      </c>
      <c r="TA32" t="str">
        <f>IF(ROW()-3&gt;MAX($SZ$4:$SZ$40),"",INDEX($CL$4:$CL$40,MATCH(ROW()-3,$SZ$4:$SZ$40,0)))</f>
      </c>
      <c r="TB32" t="str">
        <f>IF(COUNTIF('Final Calculation Sheet'!$AL32:$BA32,0)+COUNTIF('Final Calculation Sheet'!$BC32:$BS32,0)&gt;0,0,1)</f>
      </c>
      <c r="TC32" t="str">
        <f>IF($CQ$32="",FALSE,SUMPRODUCT(('Final Calculation Sheet'!$Q$4:$Q$40=$CQ$32)*($TB$4:$TB$40=1))&gt;0)</f>
      </c>
      <c r="TD32" t="str">
        <f>=$TD31+--($TC32)</f>
      </c>
      <c r="TE32" t="str">
        <f>IF(ROW()-3&gt;MAX($TD$4:$TD$40),"",INDEX($CQ$4:$CQ$40,MATCH(ROW()-3,$TD$4:$TD$40,0)))</f>
      </c>
      <c r="TF32" t="str">
        <f>IF(COUNTIF('Final Calculation Sheet'!$AL32:$BB32,0)+COUNTIF('Final Calculation Sheet'!$BD32:$BS32,0)&gt;0,0,1)</f>
      </c>
      <c r="TG32" t="str">
        <f>IF($CV$32="",FALSE,SUMPRODUCT(('Final Calculation Sheet'!$R$4:$R$40=$CV$32)*($TF$4:$TF$40=1))&gt;0)</f>
      </c>
      <c r="TH32" t="str">
        <f>=$TH31+--($TG32)</f>
      </c>
      <c r="TI32" t="str">
        <f>IF(ROW()-3&gt;MAX($TH$4:$TH$40),"",INDEX($CV$4:$CV$40,MATCH(ROW()-3,$TH$4:$TH$40,0)))</f>
      </c>
      <c r="TJ32" t="str">
        <f>IF(COUNTIF('Final Calculation Sheet'!$AL32:$BC32,0)+COUNTIF('Final Calculation Sheet'!$BE32:$BS32,0)&gt;0,0,1)</f>
      </c>
      <c r="TK32" t="str">
        <f>IF($DA$32="",FALSE,SUMPRODUCT(('Final Calculation Sheet'!$S$4:$S$40=$DA$32)*($TJ$4:$TJ$40=1))&gt;0)</f>
      </c>
      <c r="TL32" t="str">
        <f>=$TL31+--($TK32)</f>
      </c>
      <c r="TM32" t="str">
        <f>IF(ROW()-3&gt;MAX($TL$4:$TL$40),"",INDEX($DA$4:$DA$40,MATCH(ROW()-3,$TL$4:$TL$40,0)))</f>
      </c>
      <c r="TN32" t="str">
        <f>IF(COUNTIF('Final Calculation Sheet'!$AL32:$BD32,0)+COUNTIF('Final Calculation Sheet'!$BF32:$BS32,0)&gt;0,0,1)</f>
      </c>
      <c r="TO32" t="str">
        <f>IF($DF$32="",FALSE,SUMPRODUCT(('Final Calculation Sheet'!$T$4:$T$40=$DF$32)*($TN$4:$TN$40=1))&gt;0)</f>
      </c>
      <c r="TP32" t="str">
        <f>=$TP31+--($TO32)</f>
      </c>
      <c r="TQ32" t="str">
        <f>IF(ROW()-3&gt;MAX($TP$4:$TP$40),"",INDEX($DF$4:$DF$40,MATCH(ROW()-3,$TP$4:$TP$40,0)))</f>
      </c>
      <c r="TR32" t="str">
        <f>IF(COUNTIF('Final Calculation Sheet'!$AL32:$BE32,0)+COUNTIF('Final Calculation Sheet'!$BG32:$BS32,0)&gt;0,0,1)</f>
      </c>
      <c r="TS32" t="str">
        <f>IF($DK$32="",FALSE,SUMPRODUCT(('Final Calculation Sheet'!$U$4:$U$40=$DK$32)*($TR$4:$TR$40=1))&gt;0)</f>
      </c>
      <c r="TT32" t="str">
        <f>=$TT31+--($TS32)</f>
      </c>
      <c r="TU32" t="str">
        <f>IF(ROW()-3&gt;MAX($TT$4:$TT$40),"",INDEX($DK$4:$DK$40,MATCH(ROW()-3,$TT$4:$TT$40,0)))</f>
      </c>
      <c r="TV32" t="str">
        <f>IF(COUNTIF('Final Calculation Sheet'!$AL32:$BF32,0)+COUNTIF('Final Calculation Sheet'!$BH32:$BS32,0)&gt;0,0,1)</f>
      </c>
      <c r="TW32" t="str">
        <f>IF($DP$32="",FALSE,SUMPRODUCT(('Final Calculation Sheet'!$V$4:$V$40=$DP$32)*($TV$4:$TV$40=1))&gt;0)</f>
      </c>
      <c r="TX32" t="str">
        <f>=$TX31+--($TW32)</f>
      </c>
      <c r="TY32" t="str">
        <f>IF(ROW()-3&gt;MAX($TX$4:$TX$40),"",INDEX($DP$4:$DP$40,MATCH(ROW()-3,$TX$4:$TX$40,0)))</f>
      </c>
      <c r="TZ32" t="str">
        <f>IF(COUNTIF('Final Calculation Sheet'!$AL32:$BG32,0)+COUNTIF('Final Calculation Sheet'!$BI32:$BS32,0)&gt;0,0,1)</f>
      </c>
      <c r="UA32" t="str">
        <f>IF($DU$32="",FALSE,SUMPRODUCT(('Final Calculation Sheet'!$W$4:$W$40=$DU$32)*($TZ$4:$TZ$40=1))&gt;0)</f>
      </c>
      <c r="UB32" t="str">
        <f>=$UB31+--($UA32)</f>
      </c>
      <c r="UC32" t="str">
        <f>IF(ROW()-3&gt;MAX($UB$4:$UB$40),"",INDEX($DU$4:$DU$40,MATCH(ROW()-3,$UB$4:$UB$40,0)))</f>
      </c>
      <c r="UD32" t="str">
        <f>IF(COUNTIF('Final Calculation Sheet'!$AL32:$BH32,0)+COUNTIF('Final Calculation Sheet'!$BJ32:$BS32,0)&gt;0,0,1)</f>
      </c>
      <c r="UE32" t="str">
        <f>IF($DZ$32="",FALSE,SUMPRODUCT(('Final Calculation Sheet'!$X$4:$X$40=$DZ$32)*($UD$4:$UD$40=1))&gt;0)</f>
      </c>
      <c r="UF32" t="str">
        <f>=$UF31+--($UE32)</f>
      </c>
      <c r="UG32" t="str">
        <f>IF(ROW()-3&gt;MAX($UF$4:$UF$40),"",INDEX($DZ$4:$DZ$40,MATCH(ROW()-3,$UF$4:$UF$40,0)))</f>
      </c>
      <c r="UH32" t="str">
        <f>IF(COUNTIF('Final Calculation Sheet'!$AL32:$BI32,0)+COUNTIF('Final Calculation Sheet'!$BK32:$BS32,0)&gt;0,0,1)</f>
      </c>
      <c r="UI32" t="str">
        <f>IF($EE$32="",FALSE,SUMPRODUCT(('Final Calculation Sheet'!$Y$4:$Y$40=$EE$32)*($UH$4:$UH$40=1))&gt;0)</f>
      </c>
      <c r="UJ32" t="str">
        <f>=$UJ31+--($UI32)</f>
      </c>
      <c r="UK32" t="str">
        <f>IF(ROW()-3&gt;MAX($UJ$4:$UJ$40),"",INDEX($EE$4:$EE$40,MATCH(ROW()-3,$UJ$4:$UJ$40,0)))</f>
      </c>
      <c r="UL32" t="str">
        <f>IF(COUNTIF('Final Calculation Sheet'!$AL32:$BJ32,0)+COUNTIF('Final Calculation Sheet'!$BL32:$BS32,0)&gt;0,0,1)</f>
      </c>
      <c r="UM32" t="str">
        <f>IF($EJ$32="",FALSE,SUMPRODUCT(('Final Calculation Sheet'!$Z$4:$Z$40=$EJ$32)*($UL$4:$UL$40=1))&gt;0)</f>
      </c>
      <c r="UN32" t="str">
        <f>=$UN31+--($UM32)</f>
      </c>
      <c r="UO32" t="str">
        <f>IF(ROW()-3&gt;MAX($UN$4:$UN$40),"",INDEX($EJ$4:$EJ$40,MATCH(ROW()-3,$UN$4:$UN$40,0)))</f>
      </c>
      <c r="UP32" t="str">
        <f>IF(COUNTIF('Final Calculation Sheet'!$AL32:$BK32,0)+COUNTIF('Final Calculation Sheet'!$BM32:$BS32,0)&gt;0,0,1)</f>
      </c>
      <c r="UQ32" t="str">
        <f>IF($EO$32="",FALSE,SUMPRODUCT(('Final Calculation Sheet'!$AA$4:$AA$40=$EO$32)*($UP$4:$UP$40=1))&gt;0)</f>
      </c>
      <c r="UR32" t="str">
        <f>=$UR31+--($UQ32)</f>
      </c>
      <c r="US32" t="str">
        <f>IF(ROW()-3&gt;MAX($UR$4:$UR$40),"",INDEX($EO$4:$EO$40,MATCH(ROW()-3,$UR$4:$UR$40,0)))</f>
      </c>
      <c r="UT32" t="str">
        <f>IF(COUNTIF('Final Calculation Sheet'!$AL32:$BL32,0)+COUNTIF('Final Calculation Sheet'!$BN32:$BS32,0)&gt;0,0,1)</f>
      </c>
      <c r="UU32" t="str">
        <f>IF($ET$32="",FALSE,SUMPRODUCT(('Final Calculation Sheet'!$AB$4:$AB$40=$ET$32)*($UT$4:$UT$40=1))&gt;0)</f>
      </c>
      <c r="UV32" t="str">
        <f>=$UV31+--($UU32)</f>
      </c>
      <c r="UW32" t="str">
        <f>IF(ROW()-3&gt;MAX($UV$4:$UV$40),"",INDEX($ET$4:$ET$40,MATCH(ROW()-3,$UV$4:$UV$40,0)))</f>
      </c>
      <c r="UX32" t="str">
        <f>IF(COUNTIF('Final Calculation Sheet'!$AL32:$BM32,0)+COUNTIF('Final Calculation Sheet'!$BO32:$BS32,0)&gt;0,0,1)</f>
      </c>
      <c r="UY32" t="str">
        <f>IF($EY$32="",FALSE,SUMPRODUCT(('Final Calculation Sheet'!$AC$4:$AC$40=$EY$32)*($UX$4:$UX$40=1))&gt;0)</f>
      </c>
      <c r="UZ32" t="str">
        <f>=$UZ31+--($UY32)</f>
      </c>
      <c r="VA32" t="str">
        <f>IF(ROW()-3&gt;MAX($UZ$4:$UZ$40),"",INDEX($EY$4:$EY$40,MATCH(ROW()-3,$UZ$4:$UZ$40,0)))</f>
      </c>
      <c r="VB32" t="str">
        <f>IF(COUNTIF('Final Calculation Sheet'!$AL32:$BN32,0)+COUNTIF('Final Calculation Sheet'!$BP32:$BS32,0)&gt;0,0,1)</f>
      </c>
      <c r="VC32" t="str">
        <f>IF($FD$32="",FALSE,SUMPRODUCT(('Final Calculation Sheet'!$AD$4:$AD$40=$FD$32)*($VB$4:$VB$40=1))&gt;0)</f>
      </c>
      <c r="VD32" t="str">
        <f>=$VD31+--($VC32)</f>
      </c>
      <c r="VE32" t="str">
        <f>IF(ROW()-3&gt;MAX($VD$4:$VD$40),"",INDEX($FD$4:$FD$40,MATCH(ROW()-3,$VD$4:$VD$40,0)))</f>
      </c>
      <c r="VF32" t="str">
        <f>IF(COUNTIF('Final Calculation Sheet'!$AL32:$BO32,0)+COUNTIF('Final Calculation Sheet'!$BQ32:$BS32,0)&gt;0,0,1)</f>
      </c>
      <c r="VG32" t="str">
        <f>IF($FI$32="",FALSE,SUMPRODUCT(('Final Calculation Sheet'!$AE$4:$AE$40=$FI$32)*($VF$4:$VF$40=1))&gt;0)</f>
      </c>
      <c r="VH32" t="str">
        <f>=$VH31+--($VG32)</f>
      </c>
      <c r="VI32" t="str">
        <f>IF(ROW()-3&gt;MAX($VH$4:$VH$40),"",INDEX($FI$4:$FI$40,MATCH(ROW()-3,$VH$4:$VH$40,0)))</f>
      </c>
      <c r="VJ32" t="str">
        <f>IF(COUNTIF('Final Calculation Sheet'!$AL32:$BP32,0)+COUNTIF('Final Calculation Sheet'!$BR32:$BS32,0)&gt;0,0,1)</f>
      </c>
      <c r="VK32" t="str">
        <f>IF($FN$32="",FALSE,SUMPRODUCT(('Final Calculation Sheet'!$AF$4:$AF$40=$FN$32)*($VJ$4:$VJ$40=1))&gt;0)</f>
      </c>
      <c r="VL32" t="str">
        <f>=$VL31+--($VK32)</f>
      </c>
      <c r="VM32" t="str">
        <f>IF(ROW()-3&gt;MAX($VL$4:$VL$40),"",INDEX($FN$4:$FN$40,MATCH(ROW()-3,$VL$4:$VL$40,0)))</f>
      </c>
      <c r="VN32" t="str">
        <f>IF(COUNTIF('Final Calculation Sheet'!$AL32:$BQ32,0)+COUNTIF('Final Calculation Sheet'!$BS32:$BS32,0)&gt;0,0,1)</f>
      </c>
      <c r="VO32" t="str">
        <f>IF($FS$32="",FALSE,SUMPRODUCT(('Final Calculation Sheet'!$AG$4:$AG$40=$FS$32)*($VN$4:$VN$40=1))&gt;0)</f>
      </c>
      <c r="VP32" t="str">
        <f>=$VP31+--($VO32)</f>
      </c>
      <c r="VQ32" t="str">
        <f>IF(ROW()-3&gt;MAX($VP$4:$VP$40),"",INDEX($FS$4:$FS$40,MATCH(ROW()-3,$VP$4:$VP$40,0)))</f>
      </c>
      <c r="VR32" t="str">
        <f>IF(COUNTIF('Final Calculation Sheet'!$AL32:$BR32,0)&gt;0,0,1)</f>
      </c>
      <c r="VS32" t="str">
        <f>IF($QO$32="",FALSE,SUMPRODUCT(('Final Calculation Sheet'!$AH$4:$AH$40=$QO$32)*($VR$4:$VR$40=1))&gt;0)</f>
      </c>
      <c r="VT32" t="str">
        <f>=$VT31+--($VS32)</f>
      </c>
      <c r="VU32" t="str">
        <f>IF(ROW()-3&gt;MAX($VT$4:$VT$40),"",INDEX($QO$4:$QO$40,MATCH(ROW()-3,$VT$4:$VT$40,0)))</f>
      </c>
    </row>
    <row r="33">
      <c r="A33">
        <f>IF(IFERROR('Final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IF(IFERROR('Final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s="55">
        <f>IF('Final Calculation Sheet'!$C$33="","",'Final Calculation Sheet'!$C$33)</f>
        <v/>
      </c>
      <c r="AP33">
        <f>IF(AO33="","",COUNTIFS(AO$4:AO$40,"&lt;"&amp;AO33,AO$4:AO$40,"&lt;&gt;"&amp;"")+COUNTIF(AO$4:AO33,AO33))</f>
        <v/>
      </c>
      <c r="AQ33" s="55">
        <f>IF(ROW()-3&gt;COUNTIF(AO$4:AO$40,"&lt;&gt;"&amp;""),"",INDEX(AO$4:AO$40,MATCH(ROW()-3,AP$4:AP$40,0)))</f>
        <v/>
      </c>
      <c r="AR33">
        <f>AR32+IF(AND(AQ33&lt;&gt;"",COUNTIF(AQ$4:AQ33,AQ33)=1),1,0)</f>
        <v/>
      </c>
      <c r="AS33" s="55">
        <f>IF(ROW()-3&gt;MAX(AR$4:AR$40),"",INDEX(AQ$4:AQ$40,MATCH(ROW()-3,AR$4:AR$40,0)))</f>
        <v/>
      </c>
      <c r="AT33" s="55">
        <f>IF('Final Calculation Sheet'!$H$33="","",'Final Calculation Sheet'!$H$33)</f>
        <v/>
      </c>
      <c r="AU33">
        <f>IF(AT33="","",COUNTIFS(AT$4:AT$40,"&lt;"&amp;AT33,AT$4:AT$40,"&lt;&gt;"&amp;"")+COUNTIF(AT$4:AT33,AT33))</f>
        <v/>
      </c>
      <c r="AV33" s="55">
        <f>IF(ROW()-3&gt;COUNTIF(AT$4:AT$40,"&lt;&gt;"&amp;""),"",INDEX(AT$4:AT$40,MATCH(ROW()-3,AU$4:AU$40,0)))</f>
        <v/>
      </c>
      <c r="AW33">
        <f>AW32+IF(AND(AV33&lt;&gt;"",COUNTIF(AV$4:AV33,AV33)=1),1,0)</f>
        <v/>
      </c>
      <c r="AX33" s="55">
        <f>IF(ROW()-3&gt;MAX(AW$4:AW$40),"",INDEX(AV$4:AV$40,MATCH(ROW()-3,AW$4:AW$40,0)))</f>
        <v/>
      </c>
      <c r="AY33" s="55">
        <f>IF('Final Calculation Sheet'!$I$33="","",'Final Calculation Sheet'!$I$33)</f>
        <v/>
      </c>
      <c r="AZ33">
        <f>IF(AY33="","",COUNTIFS(AY$4:AY$40,"&lt;"&amp;AY33,AY$4:AY$40,"&lt;&gt;"&amp;"")+COUNTIF(AY$4:AY33,AY33))</f>
        <v/>
      </c>
      <c r="BA33" s="55">
        <f>IF(ROW()-3&gt;COUNTIF(AY$4:AY$40,"&lt;&gt;"&amp;""),"",INDEX(AY$4:AY$40,MATCH(ROW()-3,AZ$4:AZ$40,0)))</f>
        <v/>
      </c>
      <c r="BB33">
        <f>BB32+IF(AND(BA33&lt;&gt;"",COUNTIF(BA$4:BA33,BA33)=1),1,0)</f>
        <v/>
      </c>
      <c r="BC33" s="55">
        <f>IF(ROW()-3&gt;MAX(BB$4:BB$40),"",INDEX(BA$4:BA$40,MATCH(ROW()-3,BB$4:BB$40,0)))</f>
        <v/>
      </c>
      <c r="BD33" s="55">
        <f>IF('Final Calculation Sheet'!$J$33="","",'Final Calculation Sheet'!$J$33)</f>
        <v/>
      </c>
      <c r="BE33">
        <f>IF(BD33="","",COUNTIFS(BD$4:BD$40,"&lt;"&amp;BD33,BD$4:BD$40,"&lt;&gt;"&amp;"")+COUNTIF(BD$4:BD33,BD33))</f>
        <v/>
      </c>
      <c r="BF33" s="55">
        <f>IF(ROW()-3&gt;COUNTIF(BD$4:BD$40,"&lt;&gt;"&amp;""),"",INDEX(BD$4:BD$40,MATCH(ROW()-3,BE$4:BE$40,0)))</f>
        <v/>
      </c>
      <c r="BG33">
        <f>BG32+IF(AND(BF33&lt;&gt;"",COUNTIF(BF$4:BF33,BF33)=1),1,0)</f>
        <v/>
      </c>
      <c r="BH33" s="55">
        <f>IF(ROW()-3&gt;MAX(BG$4:BG$40),"",INDEX(BF$4:BF$40,MATCH(ROW()-3,BG$4:BG$40,0)))</f>
        <v/>
      </c>
      <c r="BI33" s="55">
        <f>IF('Final Calculation Sheet'!$K$33="","",'Final Calculation Sheet'!$K$33)</f>
        <v/>
      </c>
      <c r="BJ33">
        <f>IF(BI33="","",COUNTIFS(BI$4:BI$40,"&lt;"&amp;BI33,BI$4:BI$40,"&lt;&gt;"&amp;"")+COUNTIF(BI$4:BI33,BI33))</f>
        <v/>
      </c>
      <c r="BK33" s="55">
        <f>IF(ROW()-3&gt;COUNTIF(BI$4:BI$40,"&lt;&gt;"&amp;""),"",INDEX(BI$4:BI$40,MATCH(ROW()-3,BJ$4:BJ$40,0)))</f>
        <v/>
      </c>
      <c r="BL33">
        <f>BL32+IF(AND(BK33&lt;&gt;"",COUNTIF(BK$4:BK33,BK33)=1),1,0)</f>
        <v/>
      </c>
      <c r="BM33" s="55">
        <f>IF(ROW()-3&gt;MAX(BL$4:BL$40),"",INDEX(BK$4:BK$40,MATCH(ROW()-3,BL$4:BL$40,0)))</f>
        <v/>
      </c>
      <c r="BN33" s="55">
        <f>IF('Final Calculation Sheet'!$L$33="","",'Final Calculation Sheet'!$L$33)</f>
        <v/>
      </c>
      <c r="BO33">
        <f>IF(BN33="","",COUNTIFS(BN$4:BN$40,"&lt;"&amp;BN33,BN$4:BN$40,"&lt;&gt;"&amp;"")+COUNTIF(BN$4:BN33,BN33))</f>
        <v/>
      </c>
      <c r="BP33" s="55">
        <f>IF(ROW()-3&gt;COUNTIF(BN$4:BN$40,"&lt;&gt;"&amp;""),"",INDEX(BN$4:BN$40,MATCH(ROW()-3,BO$4:BO$40,0)))</f>
        <v/>
      </c>
      <c r="BQ33">
        <f>BQ32+IF(AND(BP33&lt;&gt;"",COUNTIF(BP$4:BP33,BP33)=1),1,0)</f>
        <v/>
      </c>
      <c r="BR33" s="55">
        <f>IF(ROW()-3&gt;MAX(BQ$4:BQ$40),"",INDEX(BP$4:BP$40,MATCH(ROW()-3,BQ$4:BQ$40,0)))</f>
        <v/>
      </c>
      <c r="BS33" s="55">
        <f>IF('Final Calculation Sheet'!$M$33="","",'Final Calculation Sheet'!$M$33)</f>
        <v/>
      </c>
      <c r="BT33">
        <f>IF(BS33="","",COUNTIFS(BS$4:BS$40,"&lt;"&amp;BS33,BS$4:BS$40,"&lt;&gt;"&amp;"")+COUNTIF(BS$4:BS33,BS33))</f>
        <v/>
      </c>
      <c r="BU33" s="55">
        <f>IF(ROW()-3&gt;COUNTIF(BS$4:BS$40,"&lt;&gt;"&amp;""),"",INDEX(BS$4:BS$40,MATCH(ROW()-3,BT$4:BT$40,0)))</f>
        <v/>
      </c>
      <c r="BV33">
        <f>BV32+IF(AND(BU33&lt;&gt;"",COUNTIF(BU$4:BU33,BU33)=1),1,0)</f>
        <v/>
      </c>
      <c r="BW33" s="55">
        <f>IF(ROW()-3&gt;MAX(BV$4:BV$40),"",INDEX(BU$4:BU$40,MATCH(ROW()-3,BV$4:BV$40,0)))</f>
        <v/>
      </c>
      <c r="BX33" s="138">
        <f>IF('Final Calculation Sheet'!$N$33="","",'Final Calculation Sheet'!$N$33)</f>
        <v/>
      </c>
      <c r="BY33">
        <f>IF(BX33="","",COUNTIFS(BX$4:BX$40,"&lt;"&amp;BX33,BX$4:BX$40,"&lt;&gt;"&amp;"")+COUNTIF(BX$4:BX33,BX33))</f>
        <v/>
      </c>
      <c r="BZ33" s="138">
        <f>IF(ROW()-3&gt;COUNTIF(BX$4:BX$40,"&lt;&gt;"&amp;""),"",INDEX(BX$4:BX$40,MATCH(ROW()-3,BY$4:BY$40,0)))</f>
        <v/>
      </c>
      <c r="CA33">
        <f>CA32+IF(AND(BZ33&lt;&gt;"",COUNTIF(BZ$4:BZ33,BZ33)=1),1,0)</f>
        <v/>
      </c>
      <c r="CB33" s="138">
        <f>IF(ROW()-3&gt;MAX(CA$4:CA$40),"",INDEX(BZ$4:BZ$40,MATCH(ROW()-3,CA$4:CA$40,0)))</f>
        <v/>
      </c>
      <c r="CC33" s="55">
        <f>IF('Final Calculation Sheet'!$O$33="","",'Final Calculation Sheet'!$O$33)</f>
        <v/>
      </c>
      <c r="CD33">
        <f>IF(CC33="","",COUNTIFS(CC$4:CC$40,"&lt;"&amp;CC33,CC$4:CC$40,"&lt;&gt;"&amp;"")+COUNTIF(CC$4:CC33,CC33))</f>
        <v/>
      </c>
      <c r="CE33" s="55">
        <f>IF(ROW()-3&gt;COUNTIF(CC$4:CC$40,"&lt;&gt;"&amp;""),"",INDEX(CC$4:CC$40,MATCH(ROW()-3,CD$4:CD$40,0)))</f>
        <v/>
      </c>
      <c r="CF33">
        <f>CF32+IF(AND(CE33&lt;&gt;"",COUNTIF(CE$4:CE33,CE33)=1),1,0)</f>
        <v/>
      </c>
      <c r="CG33" s="55">
        <f>IF(ROW()-3&gt;MAX(CF$4:CF$40),"",INDEX(CE$4:CE$40,MATCH(ROW()-3,CF$4:CF$40,0)))</f>
        <v/>
      </c>
      <c r="CH33" s="55">
        <f>IF('Final Calculation Sheet'!$P$33="","",'Final Calculation Sheet'!$P$33)</f>
        <v/>
      </c>
      <c r="CI33">
        <f>IF(CH33="","",COUNTIFS(CH$4:CH$40,"&lt;"&amp;CH33,CH$4:CH$40,"&lt;&gt;"&amp;"")+COUNTIF(CH$4:CH33,CH33))</f>
        <v/>
      </c>
      <c r="CJ33" s="55">
        <f>IF(ROW()-3&gt;COUNTIF(CH$4:CH$40,"&lt;&gt;"&amp;""),"",INDEX(CH$4:CH$40,MATCH(ROW()-3,CI$4:CI$40,0)))</f>
        <v/>
      </c>
      <c r="CK33">
        <f>CK32+IF(AND(CJ33&lt;&gt;"",COUNTIF(CJ$4:CJ33,CJ33)=1),1,0)</f>
        <v/>
      </c>
      <c r="CL33" s="55">
        <f>IF(ROW()-3&gt;MAX(CK$4:CK$40),"",INDEX(CJ$4:CJ$40,MATCH(ROW()-3,CK$4:CK$40,0)))</f>
        <v/>
      </c>
      <c r="CM33" s="139">
        <f>IF('Final Calculation Sheet'!$Q$33="","",'Final Calculation Sheet'!$Q$33)</f>
        <v/>
      </c>
      <c r="CN33">
        <f>IF(CM33="","",COUNTIFS(CM$4:CM$40,"&lt;"&amp;CM33,CM$4:CM$40,"&lt;&gt;"&amp;"")+COUNTIF(CM$4:CM33,CM33))</f>
        <v/>
      </c>
      <c r="CO33" s="139">
        <f>IF(ROW()-3&gt;COUNTIF(CM$4:CM$40,"&lt;&gt;"&amp;""),"",INDEX(CM$4:CM$40,MATCH(ROW()-3,CN$4:CN$40,0)))</f>
        <v/>
      </c>
      <c r="CP33">
        <f>CP32+IF(AND(CO33&lt;&gt;"",COUNTIF(CO$4:CO33,CO33)=1),1,0)</f>
        <v/>
      </c>
      <c r="CQ33">
        <f>IF(ROW()-3&gt;MAX(CP$4:CP$40),"",INDEX(CO$4:CO$40,MATCH(ROW()-3,CP$4:CP$40,0)))</f>
        <v/>
      </c>
      <c r="CR33" s="55">
        <f>IF('Final Calculation Sheet'!$R$33="","",'Final Calculation Sheet'!$R$33)</f>
        <v/>
      </c>
      <c r="CS33">
        <f>IF(CR33="","",COUNTIFS(CR$4:CR$40,"&lt;"&amp;CR33,CR$4:CR$40,"&lt;&gt;"&amp;"")+COUNTIF(CR$4:CR33,CR33))</f>
        <v/>
      </c>
      <c r="CT33" s="55">
        <f>IF(ROW()-3&gt;COUNTIF(CR$4:CR$40,"&lt;&gt;"&amp;""),"",INDEX(CR$4:CR$40,MATCH(ROW()-3,CS$4:CS$40,0)))</f>
        <v/>
      </c>
      <c r="CU33">
        <f>CU32+IF(AND(CT33&lt;&gt;"",COUNTIF(CT$4:CT33,CT33)=1),1,0)</f>
        <v/>
      </c>
      <c r="CV33">
        <f>IF(ROW()-3&gt;MAX(CU$4:CU$40),"",INDEX(CT$4:CT$40,MATCH(ROW()-3,CU$4:CU$40,0)))</f>
        <v/>
      </c>
      <c r="CW33" s="55">
        <f>IF('Final Calculation Sheet'!$S$33="","",'Final Calculation Sheet'!$S$33)</f>
        <v/>
      </c>
      <c r="CX33">
        <f>IF(CW33="","",COUNTIFS(CW$4:CW$40,"&lt;"&amp;CW33,CW$4:CW$40,"&lt;&gt;"&amp;"")+COUNTIF(CW$4:CW33,CW33))</f>
        <v/>
      </c>
      <c r="CY33" s="55">
        <f>IF(ROW()-3&gt;COUNTIF(CW$4:CW$40,"&lt;&gt;"&amp;""),"",INDEX(CW$4:CW$40,MATCH(ROW()-3,CX$4:CX$40,0)))</f>
        <v/>
      </c>
      <c r="CZ33">
        <f>CZ32+IF(AND(CY33&lt;&gt;"",COUNTIF(CY$4:CY33,CY33)=1),1,0)</f>
        <v/>
      </c>
      <c r="DA33" s="55">
        <f>IF(ROW()-3&gt;MAX(CZ$4:CZ$40),"",INDEX(CY$4:CY$40,MATCH(ROW()-3,CZ$4:CZ$40,0)))</f>
        <v/>
      </c>
      <c r="DB33" s="55">
        <f>IF('Final Calculation Sheet'!$T$33="","",'Final Calculation Sheet'!$T$33)</f>
        <v/>
      </c>
      <c r="DC33">
        <f>IF(DB33="","",COUNTIFS(DB$4:DB$40,"&lt;"&amp;DB33,DB$4:DB$40,"&lt;&gt;"&amp;"")+COUNTIF(DB$4:DB33,DB33))</f>
        <v/>
      </c>
      <c r="DD33" s="55">
        <f>IF(ROW()-3&gt;COUNTIF(DB$4:DB$40,"&lt;&gt;"&amp;""),"",INDEX(DB$4:DB$40,MATCH(ROW()-3,DC$4:DC$40,0)))</f>
        <v/>
      </c>
      <c r="DE33">
        <f>DE32+IF(AND(DD33&lt;&gt;"",COUNTIF(DD$4:DD33,DD33)=1),1,0)</f>
        <v/>
      </c>
      <c r="DF33" s="55">
        <f>IF(ROW()-3&gt;MAX(DE$4:DE$40),"",INDEX(DD$4:DD$40,MATCH(ROW()-3,DE$4:DE$40,0)))</f>
        <v/>
      </c>
      <c r="DG33" s="140">
        <f>IF('Final Calculation Sheet'!$U$33="","",'Final Calculation Sheet'!$U$33)</f>
        <v/>
      </c>
      <c r="DH33">
        <f>IF(DG33="","",COUNTIFS(DG$4:DG$40,"&lt;"&amp;DG33,DG$4:DG$40,"&lt;&gt;"&amp;"")+COUNTIF(DG$4:DG33,DG33))</f>
        <v/>
      </c>
      <c r="DI33" s="140">
        <f>IF(ROW()-3&gt;COUNTIF(DG$4:DG$40,"&lt;&gt;"&amp;""),"",INDEX(DG$4:DG$40,MATCH(ROW()-3,DH$4:DH$40,0)))</f>
        <v/>
      </c>
      <c r="DJ33">
        <f>DJ32+IF(AND(DI33&lt;&gt;"",COUNTIF(DI$4:DI33,DI33)=1),1,0)</f>
        <v/>
      </c>
      <c r="DK33" s="140">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s="55">
        <f>IF('Final Calculation Sheet'!$W$33="","",'Final Calculation Sheet'!$W$33)</f>
        <v/>
      </c>
      <c r="DR33">
        <f>IF(DQ33="","",COUNTIFS(DQ$4:DQ$40,"&lt;"&amp;DQ33,DQ$4:DQ$40,"&lt;&gt;"&amp;"")+COUNTIF(DQ$4:DQ33,DQ33))</f>
        <v/>
      </c>
      <c r="DS33" s="55">
        <f>IF(ROW()-3&gt;COUNTIF(DQ$4:DQ$40,"&lt;&gt;"&amp;""),"",INDEX(DQ$4:DQ$40,MATCH(ROW()-3,DR$4:DR$40,0)))</f>
        <v/>
      </c>
      <c r="DT33">
        <f>DT32+IF(AND(DS33&lt;&gt;"",COUNTIF(DS$4:DS33,DS33)=1),1,0)</f>
        <v/>
      </c>
      <c r="DU33" s="55">
        <f>IF(ROW()-3&gt;MAX(DT$4:DT$40),"",INDEX(DS$4:DS$40,MATCH(ROW()-3,DT$4:DT$40,0)))</f>
        <v/>
      </c>
      <c r="DV33" s="55">
        <f>IF('Final Calculation Sheet'!$X$33="","",'Final Calculation Sheet'!$X$33)</f>
        <v/>
      </c>
      <c r="DW33">
        <f>IF(DV33="","",COUNTIFS(DV$4:DV$40,"&lt;"&amp;DV33,DV$4:DV$40,"&lt;&gt;"&amp;"")+COUNTIF(DV$4:DV33,DV33))</f>
        <v/>
      </c>
      <c r="DX33" s="55">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s="55">
        <f>IF('Final Calculation Sheet'!$Z$33="","",'Final Calculation Sheet'!$Z$33)</f>
        <v/>
      </c>
      <c r="EG33">
        <f>IF(EF33="","",COUNTIFS(EF$4:EF$40,"&lt;"&amp;EF33,EF$4:EF$40,"&lt;&gt;"&amp;"")+COUNTIF(EF$4:EF33,EF33))</f>
        <v/>
      </c>
      <c r="EH33" s="55">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s="55">
        <f>IF('Final Calculation Sheet'!$AC$33="","",'Final Calculation Sheet'!$AC$33)</f>
        <v/>
      </c>
      <c r="EV33">
        <f>IF(EU33="","",COUNTIFS(EU$4:EU$40,"&lt;"&amp;EU33,EU$4:EU$40,"&lt;&gt;"&amp;"")+COUNTIF(EU$4:EU33,EU33))</f>
        <v/>
      </c>
      <c r="EW33" s="55">
        <f>IF(ROW()-3&gt;COUNTIF(EU$4:EU$40,"&lt;&gt;"&amp;""),"",INDEX(EU$4:EU$40,MATCH(ROW()-3,EV$4:EV$40,0)))</f>
        <v/>
      </c>
      <c r="EX33">
        <f>EX32+IF(AND(EW33&lt;&gt;"",COUNTIF(EW$4:EW33,EW33)=1),1,0)</f>
        <v/>
      </c>
      <c r="EY33" s="55">
        <f>IF(ROW()-3&gt;MAX(EX$4:EX$40),"",INDEX(EW$4:EW$40,MATCH(ROW()-3,EX$4:EX$40,0)))</f>
        <v/>
      </c>
      <c r="EZ33" s="55">
        <f>IF('Final Calculation Sheet'!$AD$33="","",'Final Calculation Sheet'!$AD$33)</f>
        <v/>
      </c>
      <c r="FA33">
        <f>IF(EZ33="","",COUNTIFS(EZ$4:EZ$40,"&lt;"&amp;EZ33,EZ$4:EZ$40,"&lt;&gt;"&amp;"")+COUNTIF(EZ$4:EZ33,EZ33))</f>
        <v/>
      </c>
      <c r="FB33" s="55">
        <f>IF(ROW()-3&gt;COUNTIF(EZ$4:EZ$40,"&lt;&gt;"&amp;""),"",INDEX(EZ$4:EZ$40,MATCH(ROW()-3,FA$4:FA$40,0)))</f>
        <v/>
      </c>
      <c r="FC33">
        <f>FC32+IF(AND(FB33&lt;&gt;"",COUNTIF(FB$4:FB33,FB33)=1),1,0)</f>
        <v/>
      </c>
      <c r="FD33">
        <f>IF(ROW()-3&gt;MAX(FC$4:FC$40),"",INDEX(FB$4:FB$40,MATCH(ROW()-3,FC$4:FC$40,0)))</f>
        <v/>
      </c>
      <c r="FE33">
        <f>IF('Final Calculation Sheet'!$AF$33="","",'Final Calculation Sheet'!$AF$33)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s="141">
        <f>IF('Final Calculation Sheet'!$AG$33="","",'Final Calculation Sheet'!$AG$33)</f>
        <v/>
      </c>
      <c r="FK33">
        <f>IF(FJ33="","",COUNTIFS(FJ$4:FJ$40,"&lt;"&amp;FJ33,FJ$4:FJ$40,"&lt;&gt;"&amp;"")+COUNTIF(FJ$4:FJ33,FJ33))</f>
        <v/>
      </c>
      <c r="FL33" s="141">
        <f>IF(ROW()-3&gt;COUNTIF(FJ$4:FJ$40,"&lt;&gt;"&amp;""),"",INDEX(FJ$4:FJ$40,MATCH(ROW()-3,FK$4:FK$40,0)))</f>
        <v/>
      </c>
      <c r="FM33">
        <f>FM32+IF(AND(FL33&lt;&gt;"",COUNTIF(FL$4:FL33,FL33)=1),1,0)</f>
        <v/>
      </c>
      <c r="FN33">
        <f>IF(ROW()-3&gt;MAX(FM$4:FM$40),"",INDEX(FL$4:FL$40,MATCH(ROW()-3,FM$4:FM$40,0)))</f>
        <v/>
      </c>
      <c r="FO33">
        <f>IF('Final Calculation Sheet'!$AH$33="","",'Final Calculation Sheet'!$AH$33)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c r="FY33">
        <f>IF(COUNTIF('Live Search'!BM$32:BO$32,0)+COUNTIF('Live Search'!BQ$32:CU$32,0)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3">
        <f>IF($Y$33="",FALSE,SUMPRODUCT(('Final Calculation Sheet'!$B$4:$B$40=$Y$33)*($FY$6:$FY$42=1))&gt;0)</f>
        <v/>
      </c>
      <c r="GA33">
        <f>$GA$32+--($FZ$33)</f>
        <v/>
      </c>
      <c r="GB33">
        <f>IF(ROW()-3&gt;MAX($GA$4:$GA$40),"",INDEX($Y$4:$Y$40,MATCH(ROW()-3,$GA$4:$GA$40,0)))</f>
        <v/>
      </c>
      <c r="GC33">
        <f>IF(COUNTIF('Live Search'!BM$32:BM$32,0)+COUNTIF('Live Search'!BO$32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D33">
        <f>IF($O$33="",FALSE,SUMPRODUCT(('Final Calculation Sheet'!$F$4:$F$40=$O$33)*($GC$6:$GC$42=1))&gt;0)</f>
        <v/>
      </c>
      <c r="GE33">
        <f>$GE$32+--($GD33)</f>
        <v/>
      </c>
      <c r="GF33">
        <f>IF(ROW()-3&gt;MAX($GE$4:$GE$40),"",INDEX($O$4:$O$40,MATCH(ROW()-3,$GE$4:$GE$40,0)))</f>
        <v/>
      </c>
      <c r="GG33">
        <f>IF(COUNTIF('Live Search'!BM$32:BN$32,0)+COUNTIF('Live Search'!BP$32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H33">
        <f>IF($T$33="",FALSE,SUMPRODUCT(('Final Calculation Sheet'!$G$4:$G$40=$T$33)*($GG$6:$GG$42=1))&gt;0)</f>
        <v/>
      </c>
      <c r="GI33">
        <f>$GI$32+--($GH33)</f>
        <v/>
      </c>
      <c r="GJ33">
        <f>IF(ROW()-3&gt;MAX($GI$4:$GI$40),"",INDEX($T$4:$T$40,MATCH(ROW()-3,$GI$4:$GI$40,0)))</f>
        <v/>
      </c>
      <c r="GK33">
        <f>IF(COUNTIF('Live Search'!BM$32:BP$32,0)+COUNTIF('Live Search'!BR$32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L33">
        <f>IF($AD$33="",FALSE,SUMPRODUCT(('Final Calculation Sheet'!$D$4:$D$40=$AD$33)*($GK$6:$GK$42=1))&gt;0)</f>
        <v/>
      </c>
      <c r="GM33">
        <f>$GM$32+--($GL33)</f>
        <v/>
      </c>
      <c r="GN33">
        <f>IF(ROW()-3&gt;MAX($GM$4:$GM$40),"",INDEX($AD$4:$AD$40,MATCH(ROW()-3,$GM$4:$GM$40,0)))</f>
        <v/>
      </c>
      <c r="GO33">
        <f>IF(COUNTIF('Live Search'!BM$32:BQ$32,0)+COUNTIF('Live Search'!BS$32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P33">
        <f>IF($AI$33="",FALSE,SUMPRODUCT(('Final Calculation Sheet'!$A$4:$A$40=$AI$33)*($GO$6:$GO$42=1))&gt;0)</f>
        <v/>
      </c>
      <c r="GQ33">
        <f>$GQ$32+--($GP33)</f>
        <v/>
      </c>
      <c r="GR33">
        <f>IF(ROW()-3&gt;MAX($GQ$4:$GQ$40),"",INDEX($AI$4:$AI$40,MATCH(ROW()-3,$GQ$4:$GQ$40,0)))</f>
        <v/>
      </c>
      <c r="GS33">
        <f>IF(COUNTIF('Live Search'!BM$32:BR$32,0)+COUNTIF('Live Search'!BT$32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T33">
        <f>IF($AN$33="",FALSE,SUMPRODUCT(('Final Calculation Sheet'!$E$4:$E$40=$AN$33)*($GS$6:$GS$42=1))&gt;0)</f>
        <v/>
      </c>
      <c r="GU33">
        <f>$GU$32+--($GT33)</f>
        <v/>
      </c>
      <c r="GV33">
        <f>IF(ROW()-3&gt;MAX($GU$4:$GU$40),"",INDEX($AN$4:$AN$40,MATCH(ROW()-3,$GU$4:$GU$40,0)))</f>
        <v/>
      </c>
      <c r="GW33">
        <f>IF(COUNTIF('Live Search'!BM$32:BS$32,0)+COUNTIF('Live Search'!BU$32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GX33">
        <f>IF($AS$33="",FALSE,SUMPRODUCT(('Final Calculation Sheet'!$C$4:$C$40=$AS$33)*($GW$6:$GW$42=1))&gt;0)</f>
        <v/>
      </c>
      <c r="GY33">
        <f>$GY$32+--($GX33)</f>
        <v/>
      </c>
      <c r="GZ33">
        <f>IF(ROW()-3&gt;MAX($GY$4:$GY$40),"",INDEX($AS$4:$AS$40,MATCH(ROW()-3,$GY$4:$GY$40,0)))</f>
        <v/>
      </c>
      <c r="HA33">
        <f>IF(COUNTIF('Live Search'!BM$32:BT$32,0)+COUNTIF('Live Search'!BV$32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B33">
        <f>IF($AX$33="",FALSE,SUMPRODUCT(('Final Calculation Sheet'!$H$4:$H$40=$AX$33)*($HA$6:$HA$42=1))&gt;0)</f>
        <v/>
      </c>
      <c r="HC33">
        <f>$HC$32+--($HB33)</f>
        <v/>
      </c>
      <c r="HD33">
        <f>IF(ROW()-3&gt;MAX($HC$4:$HC$40),"",INDEX($AX$4:$AX$40,MATCH(ROW()-3,$HC$4:$HC$40,0)))</f>
        <v/>
      </c>
      <c r="HE33">
        <f>IF(COUNTIF('Live Search'!BM$32:BU$32,0)+COUNTIF('Live Search'!BW$32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F33">
        <f>IF($BC$33="",FALSE,SUMPRODUCT(('Final Calculation Sheet'!$I$4:$I$40=$BC$33)*($HE$6:$HE$42=1))&gt;0)</f>
        <v/>
      </c>
      <c r="HG33">
        <f>$HG$32+--($HF33)</f>
        <v/>
      </c>
      <c r="HH33">
        <f>IF(ROW()-3&gt;MAX($HG$4:$HG$40),"",INDEX($BC$4:$BC$40,MATCH(ROW()-3,$HG$4:$HG$40,0)))</f>
        <v/>
      </c>
      <c r="HI33">
        <f>IF(COUNTIF('Live Search'!BM$32:BV$32,0)+COUNTIF('Live Search'!BX$32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J33">
        <f>IF($BH$33="",FALSE,SUMPRODUCT(('Final Calculation Sheet'!$J$4:$J$40=$BH$33)*($HI$6:$HI$42=1))&gt;0)</f>
        <v/>
      </c>
      <c r="HK33">
        <f>$HK$32+--($HJ33)</f>
        <v/>
      </c>
      <c r="HL33">
        <f>IF(ROW()-3&gt;MAX($HK$4:$HK$40),"",INDEX($BH$4:$BH$40,MATCH(ROW()-3,$HK$4:$HK$40,0)))</f>
        <v/>
      </c>
      <c r="HM33">
        <f>IF(COUNTIF('Live Search'!BM$32:BW$32,0)+COUNTIF('Live Search'!BY$32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N33">
        <f>IF($BM$33="",FALSE,SUMPRODUCT(('Final Calculation Sheet'!$K$4:$K$40=$BM$33)*($HM$6:$HM$42=1))&gt;0)</f>
        <v/>
      </c>
      <c r="HO33">
        <f>$HO$32+--($HN33)</f>
        <v/>
      </c>
      <c r="HP33">
        <f>IF(ROW()-3&gt;MAX($HO$4:$HO$40),"",INDEX($BM$4:$BM$40,MATCH(ROW()-3,$HO$4:$HO$40,0)))</f>
        <v/>
      </c>
      <c r="HQ33">
        <f>IF(COUNTIF('Live Search'!BM$32:BX$32,0)+COUNTIF('Live Search'!BZ$32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R33">
        <f>IF($BR$33="",FALSE,SUMPRODUCT(('Final Calculation Sheet'!$L$4:$L$40=$BR$33)*($HQ$6:$HQ$42=1))&gt;0)</f>
        <v/>
      </c>
      <c r="HS33">
        <f>$HS$32+--($HR33)</f>
        <v/>
      </c>
      <c r="HT33">
        <f>IF(ROW()-3&gt;MAX($HS$4:$HS$40),"",INDEX($BR$4:$BR$40,MATCH(ROW()-3,$HS$4:$HS$40,0)))</f>
        <v/>
      </c>
      <c r="HU33">
        <f>IF(COUNTIF('Live Search'!BM$32:BY$32,0)+COUNTIF('Live Search'!CA$32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V33">
        <f>IF($BW$33="",FALSE,SUMPRODUCT(('Final Calculation Sheet'!$M$4:$M$40=$BW$33)*($HU$6:$HU$42=1))&gt;0)</f>
        <v/>
      </c>
      <c r="HW33">
        <f>$HW$32+--($HV33)</f>
        <v/>
      </c>
      <c r="HX33">
        <f>IF(ROW()-3&gt;MAX($HW$4:$HW$40),"",INDEX($BW$4:$BW$40,MATCH(ROW()-3,$HW$4:$HW$40,0)))</f>
        <v/>
      </c>
      <c r="HY33">
        <f>IF(COUNTIF('Live Search'!BM$32:BZ$32,0)+COUNTIF('Live Search'!CB$32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HZ33">
        <f>IF($CB$33="",FALSE,SUMPRODUCT(('Final Calculation Sheet'!$N$4:$N$40=$CB$33)*($HY$6:$HY$42=1))&gt;0)</f>
        <v/>
      </c>
      <c r="IA33">
        <f>$IA$32+--($HZ33)</f>
        <v/>
      </c>
      <c r="IB33">
        <f>IF(ROW()-3&gt;MAX($IA$4:$IA$40),"",INDEX($CB$4:$CB$40,MATCH(ROW()-3,$IA$4:$IA$40,0)))</f>
        <v/>
      </c>
      <c r="IC33">
        <f>IF(COUNTIF('Live Search'!BM$32:CA$32,0)+COUNTIF('Live Search'!CC$32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D33">
        <f>IF($CG$33="",FALSE,SUMPRODUCT(('Final Calculation Sheet'!$O$4:$O$40=$CG$33)*($IC$6:$IC$42=1))&gt;0)</f>
        <v/>
      </c>
      <c r="IE33">
        <f>$IE$32+--($ID33)</f>
        <v/>
      </c>
      <c r="IF33">
        <f>IF(ROW()-3&gt;MAX($IE$4:$IE$40),"",INDEX($CG$4:$CG$40,MATCH(ROW()-3,$IE$4:$IE$40,0)))</f>
        <v/>
      </c>
      <c r="IG33">
        <f>IF(COUNTIF('Live Search'!BM$32:CB$32,0)+COUNTIF('Live Search'!CD$32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H33">
        <f>IF($CL$33="",FALSE,SUMPRODUCT(('Final Calculation Sheet'!$P$4:$P$40=$CL$33)*($IG$6:$IG$42=1))&gt;0)</f>
        <v/>
      </c>
      <c r="II33">
        <f>$II$32+--($IH33)</f>
        <v/>
      </c>
      <c r="IJ33">
        <f>IF(ROW()-3&gt;MAX($II$4:$II$40),"",INDEX($CL$4:$CL$40,MATCH(ROW()-3,$II$4:$II$40,0)))</f>
        <v/>
      </c>
      <c r="IK33">
        <f>IF(COUNTIF('Live Search'!BM$32:CC$32,0)+COUNTIF('Live Search'!CE$32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L33">
        <f>IF($CQ$33="",FALSE,SUMPRODUCT(('Final Calculation Sheet'!$Q$4:$Q$40=$CQ$33)*($IK$6:$IK$42=1))&gt;0)</f>
        <v/>
      </c>
      <c r="IM33">
        <f>$IM$32+--($IL33)</f>
        <v/>
      </c>
      <c r="IN33">
        <f>IF(ROW()-3&gt;MAX($IM$4:$IM$40),"",INDEX($CQ$4:$CQ$40,MATCH(ROW()-3,$IM$4:$IM$40,0)))</f>
        <v/>
      </c>
      <c r="IO33">
        <f>IF(COUNTIF('Live Search'!BM$32:CD$32,0)+COUNTIF('Live Search'!CF$32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P33">
        <f>IF($CV$33="",FALSE,SUMPRODUCT(('Final Calculation Sheet'!$R$4:$R$40=$CV$33)*($IO$6:$IO$42=1))&gt;0)</f>
        <v/>
      </c>
      <c r="IQ33">
        <f>$IQ$32+--($IP33)</f>
        <v/>
      </c>
      <c r="IR33">
        <f>IF(ROW()-3&gt;MAX($IQ$4:$IQ$40),"",INDEX($CV$4:$CV$40,MATCH(ROW()-3,$IQ$4:$IQ$40,0)))</f>
        <v/>
      </c>
      <c r="IS33">
        <f>IF(COUNTIF('Live Search'!BM$32:CE$32,0)+COUNTIF('Live Search'!CG$32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T33">
        <f>IF($DA$33="",FALSE,SUMPRODUCT(('Final Calculation Sheet'!$S$4:$S$40=$DA$33)*($IS$6:$IS$42=1))&gt;0)</f>
        <v/>
      </c>
      <c r="IU33">
        <f>$IU$32+--($IT33)</f>
        <v/>
      </c>
      <c r="IV33">
        <f>IF(ROW()-3&gt;MAX($IU$4:$IU$40),"",INDEX($DA$4:$DA$40,MATCH(ROW()-3,$IU$4:$IU$40,0)))</f>
        <v/>
      </c>
      <c r="IW33">
        <f>IF(COUNTIF('Live Search'!BM$32:CF$32,0)+COUNTIF('Live Search'!CH$32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IX33">
        <f>IF($DF$33="",FALSE,SUMPRODUCT(('Final Calculation Sheet'!$T$4:$T$40=$DF$33)*($IW$6:$IW$42=1))&gt;0)</f>
        <v/>
      </c>
      <c r="IY33">
        <f>$IY$32+--($IX33)</f>
        <v/>
      </c>
      <c r="IZ33">
        <f>IF(ROW()-3&gt;MAX($IY$4:$IY$40),"",INDEX($DF$4:$DF$40,MATCH(ROW()-3,$IY$4:$IY$40,0)))</f>
        <v/>
      </c>
      <c r="JA33">
        <f>IF(COUNTIF('Live Search'!BM$32:CG$32,0)+COUNTIF('Live Search'!CI$32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B33">
        <f>IF($DK$33="",FALSE,SUMPRODUCT(('Final Calculation Sheet'!$U$4:$U$40=$DK$33)*($JA$6:$JA$42=1))&gt;0)</f>
        <v/>
      </c>
      <c r="JC33">
        <f>$JC$32+--($JB33)</f>
        <v/>
      </c>
      <c r="JD33">
        <f>IF(ROW()-3&gt;MAX($JC$4:$JC$40),"",INDEX($DK$4:$DK$40,MATCH(ROW()-3,$JC$4:$JC$40,0)))</f>
        <v/>
      </c>
      <c r="JE33">
        <f>IF(COUNTIF('Live Search'!BM$32:CH$32,0)+COUNTIF('Live Search'!CJ$32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F33">
        <f>IF($DP$33="",FALSE,SUMPRODUCT(('Final Calculation Sheet'!$V$4:$V$40=$DP$33)*($JE$6:$JE$42=1))&gt;0)</f>
        <v/>
      </c>
      <c r="JG33">
        <f>$JG$32+--($JF33)</f>
        <v/>
      </c>
      <c r="JH33">
        <f>IF(ROW()-3&gt;MAX($JG$4:$JG$40),"",INDEX($DP$4:$DP$40,MATCH(ROW()-3,$JG$4:$JG$40,0)))</f>
        <v/>
      </c>
      <c r="JI33">
        <f>IF(COUNTIF('Live Search'!BM$32:CI$32,0)+COUNTIF('Live Search'!CK$32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J33">
        <f>IF($DU$33="",FALSE,SUMPRODUCT(('Final Calculation Sheet'!$W$4:$W$40=$DU$33)*($JI$6:$JI$42=1))&gt;0)</f>
        <v/>
      </c>
      <c r="JK33">
        <f>$JK$32+--($JJ33)</f>
        <v/>
      </c>
      <c r="JL33">
        <f>IF(ROW()-3&gt;MAX($JK$4:$JK$40),"",INDEX($DU$4:$DU$40,MATCH(ROW()-3,$JK$4:$JK$40,0)))</f>
        <v/>
      </c>
      <c r="JM33">
        <f>IF(COUNTIF('Live Search'!BM$32:CJ$32,0)+COUNTIF('Live Search'!CL$32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N33">
        <f>IF($DZ$33="",FALSE,SUMPRODUCT(('Final Calculation Sheet'!$X$4:$X$40=$DZ$33)*($JM$6:$JM$42=1))&gt;0)</f>
        <v/>
      </c>
      <c r="JO33">
        <f>$JO$32+--($JN33)</f>
        <v/>
      </c>
      <c r="JP33">
        <f>IF(ROW()-3&gt;MAX($JO$4:$JO$40),"",INDEX($DZ$4:$DZ$40,MATCH(ROW()-3,$JO$4:$JO$40,0)))</f>
        <v/>
      </c>
      <c r="JQ33">
        <f>IF(COUNTIF('Live Search'!BM$32:CK$32,0)+COUNTIF('Live Search'!C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R33">
        <f>IF($EE$33="",FALSE,SUMPRODUCT(('Final Calculation Sheet'!$Y$4:$Y$40=$EE$33)*($JQ$6:$JQ$42=1))&gt;0)</f>
        <v/>
      </c>
      <c r="JS33">
        <f>$JS$32+--($JR33)</f>
        <v/>
      </c>
      <c r="JT33">
        <f>IF(ROW()-3&gt;MAX($JS$4:$JS$40),"",INDEX($EE$4:$EE$40,MATCH(ROW()-3,$JS$4:$JS$40,0)))</f>
        <v/>
      </c>
      <c r="JU33">
        <f>IF(COUNTIF('Live Search'!BM$32:CL$32,0)+COUNTIF('Live Search'!CN$32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V33">
        <f>IF($EJ$33="",FALSE,SUMPRODUCT(('Final Calculation Sheet'!$Z$4:$Z$40=$EJ$33)*($JU$6:$JU$42=1))&gt;0)</f>
        <v/>
      </c>
      <c r="JW33">
        <f>$JW$32+--($JV33)</f>
        <v/>
      </c>
      <c r="JX33">
        <f>IF(ROW()-3&gt;MAX($JW$4:$JW$40),"",INDEX($EJ$4:$EJ$40,MATCH(ROW()-3,$JW$4:$JW$40,0)))</f>
        <v/>
      </c>
      <c r="JY33">
        <f>IF(COUNTIF('Live Search'!BM$32:CM$32,0)+COUNTIF('Live Search'!CO$32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JZ33">
        <f>IF($EO$33="",FALSE,SUMPRODUCT(('Final Calculation Sheet'!$AA$4:$AA$40=$EO$33)*($JY$6:$JY$42=1))&gt;0)</f>
        <v/>
      </c>
      <c r="KA33">
        <f>$KA$32+--($JZ33)</f>
        <v/>
      </c>
      <c r="KB33">
        <f>IF(ROW()-3&gt;MAX($KA$4:$KA$40),"",INDEX($EO$4:$EO$40,MATCH(ROW()-3,$KA$4:$KA$40,0)))</f>
        <v/>
      </c>
      <c r="KC33">
        <f>IF(COUNTIF('Live Search'!BM$32:CN$32,0)+COUNTIF('Live Search'!CP$32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D33">
        <f>IF($ET$33="",FALSE,SUMPRODUCT(('Final Calculation Sheet'!$AB$4:$AB$40=$ET$33)*($KC$6:$KC$42=1))&gt;0)</f>
        <v/>
      </c>
      <c r="KE33">
        <f>$KE$32+--($KD33)</f>
        <v/>
      </c>
      <c r="KF33">
        <f>IF(ROW()-3&gt;MAX($KE$4:$KE$40),"",INDEX($ET$4:$ET$40,MATCH(ROW()-3,$KE$4:$KE$40,0)))</f>
        <v/>
      </c>
      <c r="KG33">
        <f>IF(COUNTIF('Live Search'!BM$32:CO$32,0)+COUNTIF('Live Search'!CQ$32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H33">
        <f>IF($EY$33="",FALSE,SUMPRODUCT(('Final Calculation Sheet'!$AC$4:$AC$40=$EY$33)*($KG$6:$KG$42=1))&gt;0)</f>
        <v/>
      </c>
      <c r="KI33">
        <f>$KI$32+--($KH33)</f>
        <v/>
      </c>
      <c r="KJ33">
        <f>IF(ROW()-3&gt;MAX($KI$4:$KI$40),"",INDEX($EY$4:$EY$40,MATCH(ROW()-3,$KI$4:$KI$40,0)))</f>
        <v/>
      </c>
      <c r="KK33">
        <f>IF(COUNTIF('Live Search'!BM$32:CP$32,0)+COUNTIF('Live Search'!CR$32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L33">
        <f>IF($FD$33="",FALSE,SUMPRODUCT(('Final Calculation Sheet'!$AD$4:$AD$40=$FD$33)*($KK$6:$KK$42=1))&gt;0)</f>
        <v/>
      </c>
      <c r="KM33">
        <f>$KM$32+--($KL33)</f>
        <v/>
      </c>
      <c r="KN33">
        <f>IF(ROW()-3&gt;MAX($KM$4:$KM$40),"",INDEX($FD$4:$FD$40,MATCH(ROW()-3,$KM$4:$KM$40,0)))</f>
        <v/>
      </c>
      <c r="KO33">
        <f>IF(COUNTIF('Live Search'!BM$32:CT$32,0)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P33">
        <f>IF($FX$33="",FALSE,SUMPRODUCT((IF('Final Calculation Sheet'!$AD$4:$AD$40&lt;=5,"SETTLED","OUTSTANDING")=$FX$33)*($KO$6:$KO$42=1))&gt;0)</f>
        <v/>
      </c>
      <c r="KQ33">
        <f>$KQ$32+--($KP33)</f>
        <v/>
      </c>
      <c r="KR33">
        <f>IF(ROW()-3&gt;MAX($KQ$4:$KQ$40),"",INDEX($FX$4:$FX$40,MATCH(ROW()-3,$KQ$4:$KQ$40,0)))</f>
        <v/>
      </c>
      <c r="KS33">
        <f>IF(COUNTIF('Live Search'!BM$32:CQ$32,0)+COUNTIF('Live Search'!CS$32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T33">
        <f>IF($FI$33="",FALSE,SUMPRODUCT(('Final Calculation Sheet'!$AF$4:$AF$40=$FI$33)*($KS$6:$KS$42=1))&gt;0)</f>
        <v/>
      </c>
      <c r="KU33">
        <f>$KU$32+--($KT33)</f>
        <v/>
      </c>
      <c r="KV33">
        <f>IF(ROW()-3&gt;MAX($KU$4:$KU$40),"",INDEX($FI$4:$FI$40,MATCH(ROW()-3,$KU$4:$KU$40,0)))</f>
        <v/>
      </c>
      <c r="KW33">
        <f>IF(COUNTIF('Live Search'!BM$32:CR$32,0)+COUNTIF('Live Search'!CT$32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KX33">
        <f>IF($FN$33="",FALSE,SUMPRODUCT(('Final Calculation Sheet'!$AG$4:$AG$40=$FN$33)*($KW$6:$KW$42=1))&gt;0)</f>
        <v/>
      </c>
      <c r="KY33">
        <f>$KY$32+--($KX33)</f>
        <v/>
      </c>
      <c r="KZ33">
        <f>IF(ROW()-3&gt;MAX($KY$4:$KY$40),"",INDEX($FN$4:$FN$40,MATCH(ROW()-3,$KY$4:$KY$40,0)))</f>
        <v/>
      </c>
      <c r="LA33">
        <f>IF(COUNTIF('Live Search'!BM$32:CS$32,0)+COUNTIF('Live Search'!CU$32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LB33">
        <f>IF($FS$33="",FALSE,SUMPRODUCT(('Final Calculation Sheet'!$AH$4:$AH$40=$FS$33)*($LA$6:$LA$42=1))&gt;0)</f>
        <v/>
      </c>
      <c r="LC33">
        <f>$LC$32+--($LB33)</f>
        <v/>
      </c>
      <c r="LD33">
        <f>IF(ROW()-3&gt;MAX($LC$4:$LC$40),"",INDEX($FS$4:$FS$40,MATCH(ROW()-3,$LC$4:$LC$40,0)))</f>
        <v/>
      </c>
      <c r="LE33">
        <f>IF(COUNTIF('Buyer Groups'!DH86:EN86,0)&gt;0,0,1)</f>
        <v/>
      </c>
      <c r="LF33">
        <f>IF($O$33="",FALSE,SUMPRODUCT(('Final Calculation Sheet'!$F$4:$F$40=$O$33)*($LE$6:$LE$42=1))&gt;0)</f>
        <v/>
      </c>
      <c r="LG33">
        <f>$LG$32+--($LF33)</f>
        <v/>
      </c>
      <c r="LH33">
        <f>IF(ROW()-3&gt;MAX($LG$4:$LG$40),"",INDEX($O$4:$O$40,MATCH(ROW()-3,$LG$4:$LG$40,0)))</f>
        <v/>
      </c>
      <c r="LI33">
        <f>IF(COUNTIF('Buyer Groups'!DG86:DG86,0)+COUNTIF('Buyer Groups'!DI86:EN86,0)&gt;0,0,1)</f>
        <v/>
      </c>
      <c r="LJ33">
        <f>IF($T$33="",FALSE,SUMPRODUCT(('Final Calculation Sheet'!$G$4:$G$40=$T$33)*($LI$6:$LI$42=1))&gt;0)</f>
        <v/>
      </c>
      <c r="LK33">
        <f>$LK$32+--($LJ33)</f>
        <v/>
      </c>
      <c r="LL33">
        <f>IF(ROW()-3&gt;MAX($LK$4:$LK$40),"",INDEX($T$4:$T$40,MATCH(ROW()-3,$LK$4:$LK$40,0)))</f>
        <v/>
      </c>
      <c r="LM33">
        <f>IF(COUNTIF('Buyer Groups'!DG86:DH86,0)+COUNTIF('Buyer Groups'!DJ86:EN86,0)&gt;0,0,1)</f>
        <v/>
      </c>
      <c r="LN33">
        <f>IF($Y$33="",FALSE,SUMPRODUCT(('Final Calculation Sheet'!$B$4:$B$40=$Y$33)*($LM$6:$LM$42=1))&gt;0)</f>
        <v/>
      </c>
      <c r="LO33">
        <f>$LO$32+--($LN33)</f>
        <v/>
      </c>
      <c r="LP33">
        <f>IF(ROW()-3&gt;MAX($LO$4:$LO$40),"",INDEX($Y$4:$Y$40,MATCH(ROW()-3,$LO$4:$LO$40,0)))</f>
        <v/>
      </c>
      <c r="LQ33">
        <f>IF(COUNTIF('Buyer Groups'!DG86:DI86,0)+COUNTIF('Buyer Groups'!DK86:EN86,0)&gt;0,0,1)</f>
        <v/>
      </c>
      <c r="LR33">
        <f>IF($AD$33="",FALSE,SUMPRODUCT(('Final Calculation Sheet'!$D$4:$D$40=$AD$33)*($LQ$6:$LQ$42=1))&gt;0)</f>
        <v/>
      </c>
      <c r="LS33">
        <f>$LS$32+--($LR33)</f>
        <v/>
      </c>
      <c r="LT33">
        <f>IF(ROW()-3&gt;MAX($LS$4:$LS$40),"",INDEX($AD$4:$AD$40,MATCH(ROW()-3,$LS$4:$LS$40,0)))</f>
        <v/>
      </c>
      <c r="LU33">
        <f>IF(COUNTIF('Buyer Groups'!DG86:DJ86,0)+COUNTIF('Buyer Groups'!DL86:EN86,0)&gt;0,0,1)</f>
        <v/>
      </c>
      <c r="LV33">
        <f>IF($AI$33="",FALSE,SUMPRODUCT(('Final Calculation Sheet'!$A$4:$A$40=$AI$33)*($LU$6:$LU$42=1))&gt;0)</f>
        <v/>
      </c>
      <c r="LW33">
        <f>$LW$32+--($LV33)</f>
        <v/>
      </c>
      <c r="LX33">
        <f>IF(ROW()-3&gt;MAX($LW$4:$LW$40),"",INDEX($AI$4:$AI$40,MATCH(ROW()-3,$LW$4:$LW$40,0)))</f>
        <v/>
      </c>
      <c r="LY33">
        <f>IF(COUNTIF('Buyer Groups'!DG86:DK86,0)+COUNTIF('Buyer Groups'!DM86:EN86,0)&gt;0,0,1)</f>
        <v/>
      </c>
      <c r="LZ33">
        <f>IF($AN$33="",FALSE,SUMPRODUCT(('Final Calculation Sheet'!$E$4:$E$40=$AN$33)*($LY$6:$LY$42=1))&gt;0)</f>
        <v/>
      </c>
      <c r="MA33">
        <f>$MA$32+--($LZ33)</f>
        <v/>
      </c>
      <c r="MB33">
        <f>IF(ROW()-3&gt;MAX($MA$4:$MA$40),"",INDEX($AN$4:$AN$40,MATCH(ROW()-3,$MA$4:$MA$40,0)))</f>
        <v/>
      </c>
      <c r="MC33">
        <f>IF(COUNTIF('Buyer Groups'!DG86:DL86,0)+COUNTIF('Buyer Groups'!DN86:EN86,0)&gt;0,0,1)</f>
        <v/>
      </c>
      <c r="MD33">
        <f>IF($AS$33="",FALSE,SUMPRODUCT(('Final Calculation Sheet'!$C$4:$C$40=$AS$33)*($MC$6:$MC$42=1))&gt;0)</f>
        <v/>
      </c>
      <c r="ME33">
        <f>$ME$32+--($MD33)</f>
        <v/>
      </c>
      <c r="MF33">
        <f>IF(ROW()-3&gt;MAX($ME$4:$ME$40),"",INDEX($AS$4:$AS$40,MATCH(ROW()-3,$ME$4:$ME$40,0)))</f>
        <v/>
      </c>
      <c r="MG33">
        <f>IF(COUNTIF('Buyer Groups'!DG86:DM86,0)+COUNTIF('Buyer Groups'!DO86:EN86,0)&gt;0,0,1)</f>
        <v/>
      </c>
      <c r="MH33">
        <f>IF($AX$33="",FALSE,SUMPRODUCT(('Final Calculation Sheet'!$H$4:$H$40=$AX$33)*($MG$6:$MG$42=1))&gt;0)</f>
        <v/>
      </c>
      <c r="MI33">
        <f>$MI$32+--($MH33)</f>
        <v/>
      </c>
      <c r="MJ33">
        <f>IF(ROW()-3&gt;MAX($MI$4:$MI$40),"",INDEX($AX$4:$AX$40,MATCH(ROW()-3,$MI$4:$MI$40,0)))</f>
        <v/>
      </c>
      <c r="MK33">
        <f>IF(COUNTIF('Buyer Groups'!DG86:DN86,0)+COUNTIF('Buyer Groups'!DP86:EN86,0)&gt;0,0,1)</f>
        <v/>
      </c>
      <c r="ML33">
        <f>IF($BC$33="",FALSE,SUMPRODUCT(('Final Calculation Sheet'!$I$4:$I$40=$BC$33)*($MK$6:$MK$42=1))&gt;0)</f>
        <v/>
      </c>
      <c r="MM33">
        <f>$MM$32+--($ML33)</f>
        <v/>
      </c>
      <c r="MN33">
        <f>IF(ROW()-3&gt;MAX($MM$4:$MM$40),"",INDEX($BC$4:$BC$40,MATCH(ROW()-3,$MM$4:$MM$40,0)))</f>
        <v/>
      </c>
      <c r="MO33">
        <f>IF(COUNTIF('Buyer Groups'!DG86:DO86,0)+COUNTIF('Buyer Groups'!DQ86:EN86,0)&gt;0,0,1)</f>
        <v/>
      </c>
      <c r="MP33">
        <f>IF($BH$33="",FALSE,SUMPRODUCT(('Final Calculation Sheet'!$J$4:$J$40=$BH$33)*($MO$6:$MO$42=1))&gt;0)</f>
        <v/>
      </c>
      <c r="MQ33">
        <f>$MQ$32+--($MP33)</f>
        <v/>
      </c>
      <c r="MR33">
        <f>IF(ROW()-3&gt;MAX($MQ$4:$MQ$40),"",INDEX($BH$4:$BH$40,MATCH(ROW()-3,$MQ$4:$MQ$40,0)))</f>
        <v/>
      </c>
      <c r="MS33">
        <f>IF(COUNTIF('Buyer Groups'!DG86:DP86,0)+COUNTIF('Buyer Groups'!DR86:EN86,0)&gt;0,0,1)</f>
        <v/>
      </c>
      <c r="MT33">
        <f>IF($BM$33="",FALSE,SUMPRODUCT(('Final Calculation Sheet'!$K$4:$K$40=$BM$33)*($MS$6:$MS$42=1))&gt;0)</f>
        <v/>
      </c>
      <c r="MU33">
        <f>$MU$32+--($MT33)</f>
        <v/>
      </c>
      <c r="MV33">
        <f>IF(ROW()-3&gt;MAX($MU$4:$MU$40),"",INDEX($BM$4:$BM$40,MATCH(ROW()-3,$MU$4:$MU$40,0)))</f>
        <v/>
      </c>
      <c r="MW33">
        <f>IF(COUNTIF('Buyer Groups'!DG86:DQ86,0)+COUNTIF('Buyer Groups'!DS86:EN86,0)&gt;0,0,1)</f>
        <v/>
      </c>
      <c r="MX33">
        <f>IF($BR$33="",FALSE,SUMPRODUCT(('Final Calculation Sheet'!$L$4:$L$40=$BR$33)*($MW$6:$MW$42=1))&gt;0)</f>
        <v/>
      </c>
      <c r="MY33">
        <f>$MY$32+--($MX33)</f>
        <v/>
      </c>
      <c r="MZ33">
        <f>IF(ROW()-3&gt;MAX($MY$4:$MY$40),"",INDEX($BR$4:$BR$40,MATCH(ROW()-3,$MY$4:$MY$40,0)))</f>
        <v/>
      </c>
      <c r="NA33">
        <f>IF(COUNTIF('Buyer Groups'!DG86:DR86,0)+COUNTIF('Buyer Groups'!DT86:EN86,0)&gt;0,0,1)</f>
        <v/>
      </c>
      <c r="NB33">
        <f>IF($BW$33="",FALSE,SUMPRODUCT(('Final Calculation Sheet'!$M$4:$M$40=$BW$33)*($NA$6:$NA$42=1))&gt;0)</f>
        <v/>
      </c>
      <c r="NC33">
        <f>$NC$32+--($NB33)</f>
        <v/>
      </c>
      <c r="ND33">
        <f>IF(ROW()-3&gt;MAX($NC$4:$NC$40),"",INDEX($BW$4:$BW$40,MATCH(ROW()-3,$NC$4:$NC$40,0)))</f>
        <v/>
      </c>
      <c r="NE33">
        <f>IF(COUNTIF('Buyer Groups'!DG86:DS86,0)+COUNTIF('Buyer Groups'!DU86:EN86,0)&gt;0,0,1)</f>
        <v/>
      </c>
      <c r="NF33">
        <f>IF($CB$33="",FALSE,SUMPRODUCT(('Final Calculation Sheet'!$N$4:$N$40=$CB$33)*($NE$6:$NE$42=1))&gt;0)</f>
        <v/>
      </c>
      <c r="NG33">
        <f>$NG$32+--($NF33)</f>
        <v/>
      </c>
      <c r="NH33">
        <f>IF(ROW()-3&gt;MAX($NG$4:$NG$40),"",INDEX($CB$4:$CB$40,MATCH(ROW()-3,$NG$4:$NG$40,0)))</f>
        <v/>
      </c>
      <c r="NI33">
        <f>IF(COUNTIF('Buyer Groups'!DG86:DT86,0)+COUNTIF('Buyer Groups'!DV86:EN86,0)&gt;0,0,1)</f>
        <v/>
      </c>
      <c r="NJ33">
        <f>IF($CG$33="",FALSE,SUMPRODUCT(('Final Calculation Sheet'!$O$4:$O$40=$CG$33)*($NI$6:$NI$42=1))&gt;0)</f>
        <v/>
      </c>
      <c r="NK33">
        <f>$NK$32+--($NJ33)</f>
        <v/>
      </c>
      <c r="NL33">
        <f>IF(ROW()-3&gt;MAX($NK$4:$NK$40),"",INDEX($CG$4:$CG$40,MATCH(ROW()-3,$NK$4:$NK$40,0)))</f>
        <v/>
      </c>
      <c r="NM33">
        <f>IF(COUNTIF('Buyer Groups'!DG86:DU86,0)+COUNTIF('Buyer Groups'!DW86:EN86,0)&gt;0,0,1)</f>
        <v/>
      </c>
      <c r="NN33">
        <f>IF($CL$33="",FALSE,SUMPRODUCT(('Final Calculation Sheet'!$P$4:$P$40=$CL$33)*($NM$6:$NM$42=1))&gt;0)</f>
        <v/>
      </c>
      <c r="NO33">
        <f>$NO$32+--($NN33)</f>
        <v/>
      </c>
      <c r="NP33">
        <f>IF(ROW()-3&gt;MAX($NO$4:$NO$40),"",INDEX($CL$4:$CL$40,MATCH(ROW()-3,$NO$4:$NO$40,0)))</f>
        <v/>
      </c>
      <c r="NQ33">
        <f>IF(COUNTIF('Buyer Groups'!DG86:DV86,0)+COUNTIF('Buyer Groups'!DX86:EN86,0)&gt;0,0,1)</f>
        <v/>
      </c>
      <c r="NR33">
        <f>IF($CQ$33="",FALSE,SUMPRODUCT(('Final Calculation Sheet'!$Q$4:$Q$40=$CQ$33)*($NQ$6:$NQ$42=1))&gt;0)</f>
        <v/>
      </c>
      <c r="NS33">
        <f>$NS$32+--($NR33)</f>
        <v/>
      </c>
      <c r="NT33">
        <f>IF(ROW()-3&gt;MAX($NS$4:$NS$40),"",INDEX($CQ$4:$CQ$40,MATCH(ROW()-3,$NS$4:$NS$40,0)))</f>
        <v/>
      </c>
      <c r="NU33">
        <f>IF(COUNTIF('Buyer Groups'!DG86:DW86,0)+COUNTIF('Buyer Groups'!DY86:EN86,0)&gt;0,0,1)</f>
        <v/>
      </c>
      <c r="NV33">
        <f>IF($CV$33="",FALSE,SUMPRODUCT(('Final Calculation Sheet'!$R$4:$R$40=$CV$33)*($NU$6:$NU$42=1))&gt;0)</f>
        <v/>
      </c>
      <c r="NW33">
        <f>$NW$32+--($NV33)</f>
        <v/>
      </c>
      <c r="NX33">
        <f>IF(ROW()-3&gt;MAX($NW$4:$NW$40),"",INDEX($CV$4:$CV$40,MATCH(ROW()-3,$NW$4:$NW$40,0)))</f>
        <v/>
      </c>
      <c r="NY33">
        <f>IF(COUNTIF('Buyer Groups'!DG86:DX86,0)+COUNTIF('Buyer Groups'!DZ86:EN86,0)&gt;0,0,1)</f>
        <v/>
      </c>
      <c r="NZ33">
        <f>IF($DA$33="",FALSE,SUMPRODUCT(('Final Calculation Sheet'!$S$4:$S$40=$DA$33)*($NY$6:$NY$42=1))&gt;0)</f>
        <v/>
      </c>
      <c r="OA33">
        <f>$OA$32+--($NZ33)</f>
        <v/>
      </c>
      <c r="OB33">
        <f>IF(ROW()-3&gt;MAX($OA$4:$OA$40),"",INDEX($DA$4:$DA$40,MATCH(ROW()-3,$OA$4:$OA$40,0)))</f>
        <v/>
      </c>
      <c r="OC33">
        <f>IF(COUNTIF('Buyer Groups'!DG86:DY86,0)+COUNTIF('Buyer Groups'!EA86:EN86,0)&gt;0,0,1)</f>
        <v/>
      </c>
      <c r="OD33">
        <f>IF($DF$33="",FALSE,SUMPRODUCT(('Final Calculation Sheet'!$T$4:$T$40=$DF$33)*($OC$6:$OC$42=1))&gt;0)</f>
        <v/>
      </c>
      <c r="OE33">
        <f>$OE$32+--($OD33)</f>
        <v/>
      </c>
      <c r="OF33">
        <f>IF(ROW()-3&gt;MAX($OE$4:$OE$40),"",INDEX($DF$4:$DF$40,MATCH(ROW()-3,$OE$4:$OE$40,0)))</f>
        <v/>
      </c>
      <c r="OG33">
        <f>IF(COUNTIF('Buyer Groups'!DG86:DZ86,0)+COUNTIF('Buyer Groups'!EB86:EN86,0)&gt;0,0,1)</f>
        <v/>
      </c>
      <c r="OH33">
        <f>IF($DK$33="",FALSE,SUMPRODUCT(('Final Calculation Sheet'!$U$4:$U$40=$DK$33)*($OG$6:$OG$42=1))&gt;0)</f>
        <v/>
      </c>
      <c r="OI33">
        <f>$OI$32+--($OH33)</f>
        <v/>
      </c>
      <c r="OJ33">
        <f>IF(ROW()-3&gt;MAX($OI$4:$OI$40),"",INDEX($DK$4:$DK$40,MATCH(ROW()-3,$OI$4:$OI$40,0)))</f>
        <v/>
      </c>
      <c r="OK33">
        <f>IF(COUNTIF('Buyer Groups'!DG86:EA86,0)+COUNTIF('Buyer Groups'!EC86:EN86,0)&gt;0,0,1)</f>
        <v/>
      </c>
      <c r="OL33">
        <f>IF($DP$33="",FALSE,SUMPRODUCT(('Final Calculation Sheet'!$V$4:$V$40=$DP$33)*($OK$6:$OK$42=1))&gt;0)</f>
        <v/>
      </c>
      <c r="OM33">
        <f>$OM$32+--($OL33)</f>
        <v/>
      </c>
      <c r="ON33">
        <f>IF(ROW()-3&gt;MAX($OM$4:$OM$40),"",INDEX($DP$4:$DP$40,MATCH(ROW()-3,$OM$4:$OM$40,0)))</f>
        <v/>
      </c>
      <c r="OO33">
        <f>IF(COUNTIF('Buyer Groups'!DG86:EB86,0)+COUNTIF('Buyer Groups'!ED86:EN86,0)&gt;0,0,1)</f>
        <v/>
      </c>
      <c r="OP33">
        <f>IF($DU$33="",FALSE,SUMPRODUCT(('Final Calculation Sheet'!$W$4:$W$40=$DU$33)*($OO$6:$OO$42=1))&gt;0)</f>
        <v/>
      </c>
      <c r="OQ33">
        <f>$OQ$32+--($OP33)</f>
        <v/>
      </c>
      <c r="OR33">
        <f>IF(ROW()-3&gt;MAX($OQ$4:$OQ$40),"",INDEX($DU$4:$DU$40,MATCH(ROW()-3,$OQ$4:$OQ$40,0)))</f>
        <v/>
      </c>
      <c r="OS33">
        <f>IF(COUNTIF('Buyer Groups'!DG86:EC86,0)+COUNTIF('Buyer Groups'!EE86:EN86,0)&gt;0,0,1)</f>
        <v/>
      </c>
      <c r="OT33">
        <f>IF($DZ$33="",FALSE,SUMPRODUCT(('Final Calculation Sheet'!$X$4:$X$40=$DZ$33)*($OS$6:$OS$42=1))&gt;0)</f>
        <v/>
      </c>
      <c r="OU33">
        <f>$OU$32+--($OT33)</f>
        <v/>
      </c>
      <c r="OV33">
        <f>IF(ROW()-3&gt;MAX($OU$4:$OU$40),"",INDEX($DZ$4:$DZ$40,MATCH(ROW()-3,$OU$4:$OU$40,0)))</f>
        <v/>
      </c>
      <c r="OW33">
        <f>IF(COUNTIF('Buyer Groups'!DG86:ED86,0)+COUNTIF('Buyer Groups'!EF86:EN86,0)&gt;0,0,1)</f>
        <v/>
      </c>
      <c r="OX33">
        <f>IF($EE$33="",FALSE,SUMPRODUCT(('Final Calculation Sheet'!$Y$4:$Y$40=$EE$33)*($OW$6:$OW$42=1))&gt;0)</f>
        <v/>
      </c>
      <c r="OY33">
        <f>$OY$32+--($OX33)</f>
        <v/>
      </c>
      <c r="OZ33">
        <f>IF(ROW()-3&gt;MAX($OY$4:$OY$40),"",INDEX($EE$4:$EE$40,MATCH(ROW()-3,$OY$4:$OY$40,0)))</f>
        <v/>
      </c>
      <c r="PA33">
        <f>IF(COUNTIF('Buyer Groups'!DG86:EE86,0)+COUNTIF('Buyer Groups'!EG86:EN86,0)&gt;0,0,1)</f>
        <v/>
      </c>
      <c r="PB33">
        <f>IF($EJ$33="",FALSE,SUMPRODUCT(('Final Calculation Sheet'!$Z$4:$Z$40=$EJ$33)*($PA$6:$PA$42=1))&gt;0)</f>
        <v/>
      </c>
      <c r="PC33">
        <f>$PC$32+--($PB33)</f>
        <v/>
      </c>
      <c r="PD33">
        <f>IF(ROW()-3&gt;MAX($PC$4:$PC$40),"",INDEX($EJ$4:$EJ$40,MATCH(ROW()-3,$PC$4:$PC$40,0)))</f>
        <v/>
      </c>
      <c r="PE33">
        <f>IF(COUNTIF('Buyer Groups'!DG86:EF86,0)+COUNTIF('Buyer Groups'!EH86:EN86,0)&gt;0,0,1)</f>
        <v/>
      </c>
      <c r="PF33">
        <f>IF($EO$33="",FALSE,SUMPRODUCT(('Final Calculation Sheet'!$AA$4:$AA$40=$EO$33)*($PE$6:$PE$42=1))&gt;0)</f>
        <v/>
      </c>
      <c r="PG33">
        <f>$PG$32+--($PF33)</f>
        <v/>
      </c>
      <c r="PH33">
        <f>IF(ROW()-3&gt;MAX($PG$4:$PG$40),"",INDEX($EO$4:$EO$40,MATCH(ROW()-3,$PG$4:$PG$40,0)))</f>
        <v/>
      </c>
      <c r="PI33">
        <f>IF(COUNTIF('Buyer Groups'!DG86:EG86,0)+COUNTIF('Buyer Groups'!EI86:EN86,0)&gt;0,0,1)</f>
        <v/>
      </c>
      <c r="PJ33">
        <f>IF($ET$33="",FALSE,SUMPRODUCT(('Final Calculation Sheet'!$AB$4:$AB$40=$ET$33)*($PI$6:$PI$42=1))&gt;0)</f>
        <v/>
      </c>
      <c r="PK33">
        <f>$PK$32+--($PJ33)</f>
        <v/>
      </c>
      <c r="PL33">
        <f>IF(ROW()-3&gt;MAX($PK$4:$PK$40),"",INDEX($ET$4:$ET$40,MATCH(ROW()-3,$PK$4:$PK$40,0)))</f>
        <v/>
      </c>
      <c r="PM33">
        <f>IF(COUNTIF('Buyer Groups'!DG86:EH86,0)+COUNTIF('Buyer Groups'!EJ86:EN86,0)&gt;0,0,1)</f>
        <v/>
      </c>
      <c r="PN33">
        <f>IF($EY$33="",FALSE,SUMPRODUCT(('Final Calculation Sheet'!$AC$4:$AC$40=$EY$33)*($PM$6:$PM$42=1))&gt;0)</f>
        <v/>
      </c>
      <c r="PO33">
        <f>$PO$32+--($PN33)</f>
        <v/>
      </c>
      <c r="PP33">
        <f>IF(ROW()-3&gt;MAX($PO$4:$PO$40),"",INDEX($EY$4:$EY$40,MATCH(ROW()-3,$PO$4:$PO$40,0)))</f>
        <v/>
      </c>
      <c r="PQ33">
        <f>IF(COUNTIF('Buyer Groups'!DG86:EI86,0)+COUNTIF('Buyer Groups'!EK86:EN86,0)&gt;0,0,1)</f>
        <v/>
      </c>
      <c r="PR33">
        <f>IF($FD$33="",FALSE,SUMPRODUCT(('Final Calculation Sheet'!$AD$4:$AD$40=$FD$33)*($PQ$6:$PQ$42=1))&gt;0)</f>
        <v/>
      </c>
      <c r="PS33">
        <f>$PS$32+--($PR33)</f>
        <v/>
      </c>
      <c r="PT33">
        <f>IF(ROW()-3&gt;MAX($PS$4:$PS$40),"",INDEX($FD$4:$FD$40,MATCH(ROW()-3,$PS$4:$PS$40,0)))</f>
        <v/>
      </c>
      <c r="PU33">
        <f>IF(COUNTIF('Buyer Groups'!DG86:EJ86,0)+COUNTIF('Buyer Groups'!EL86:EN86,0)&gt;0,0,1)</f>
        <v/>
      </c>
      <c r="PV33">
        <f>IF($FX$33="",FALSE,SUMPRODUCT((IF('Final Calculation Sheet'!$AD$4:$AD$40&lt;=5,"SETTLED","OUTSTANDING")=$FX$33)*($PU$6:$PU$42=1))&gt;0)</f>
        <v/>
      </c>
      <c r="PW33">
        <f>$PW$32+--($PV33)</f>
        <v/>
      </c>
      <c r="PX33">
        <f>IF(ROW()-3&gt;MAX($PW$4:$PW$40),"",INDEX($FX$4:$FX$40,MATCH(ROW()-3,$PW$4:$PW$40,0)))</f>
        <v/>
      </c>
      <c r="PY33">
        <f>IF(COUNTIF('Buyer Groups'!DG86:EK86,0)+COUNTIF('Buyer Groups'!EM86:EN86,0)&gt;0,0,1)</f>
        <v/>
      </c>
      <c r="PZ33">
        <f>IF($FI$33="",FALSE,SUMPRODUCT(('Final Calculation Sheet'!$AF$4:$AF$40=$FI$33)*($PY$6:$PY$42=1))&gt;0)</f>
        <v/>
      </c>
      <c r="QA33">
        <f>$QA$32+--($PZ33)</f>
        <v/>
      </c>
      <c r="QB33">
        <f>IF(ROW()-3&gt;MAX($QA$4:$QA$40),"",INDEX($FI$4:$FI$40,MATCH(ROW()-3,$QA$4:$QA$40,0)))</f>
        <v/>
      </c>
      <c r="QC33">
        <f>IF(COUNTIF('Buyer Groups'!DG86:EL86,0)+COUNTIF('Buyer Groups'!EN86:EN86,0)&gt;0,0,1)</f>
        <v/>
      </c>
      <c r="QD33">
        <f>IF($FN$33="",FALSE,SUMPRODUCT(('Final Calculation Sheet'!$AG$4:$AG$40=$FN$33)*($QC$6:$QC$42=1))&gt;0)</f>
        <v/>
      </c>
      <c r="QE33">
        <f>$QE$32+--($QD33)</f>
        <v/>
      </c>
      <c r="QF33">
        <f>IF(ROW()-3&gt;MAX($QE$4:$QE$40),"",INDEX($FN$4:$FN$40,MATCH(ROW()-3,$QE$4:$QE$40,0)))</f>
        <v/>
      </c>
      <c r="QG33">
        <f>IF(COUNTIF('Buyer Groups'!DG86:EM86,0)&gt;0,0,1)</f>
        <v/>
      </c>
      <c r="QH33">
        <f>IF($FS$33="",FALSE,SUMPRODUCT(('Final Calculation Sheet'!$AH$4:$AH$40=$FS$33)*($QG$6:$QG$42=1))&gt;0)</f>
        <v/>
      </c>
      <c r="QI33">
        <f>$QI$32+--($QH33)</f>
        <v/>
      </c>
      <c r="QJ33">
        <f>IF(ROW()-3&gt;MAX($QI$4:$QI$40),"",INDEX($FS$4:$FS$40,MATCH(ROW()-3,$QI$4:$QI$40,0)))</f>
        <v/>
      </c>
      <c r="QK33" t="str">
        <f>IF('Final Calculation Sheet'!$AH$33="","",'Final Calculation Sheet'!$AH$33)</f>
      </c>
      <c r="QL33" t="str">
        <f>IF(QK33="","",COUNTIFS(QK$4:QK$40,"&lt;"&amp;QK33,QK$4:QK$40,"&lt;&gt;"&amp;"")+COUNTIF(QK$4:QK33,QK33))</f>
      </c>
      <c r="QM33" t="str">
        <f>IF(ROW()-3&gt;COUNTIF(QK$4:QK$40,"&lt;&gt;"&amp;""),"",INDEX(QK$4:QK$40,MATCH(ROW()-3,QL$4:QL$40,0)))</f>
      </c>
      <c r="QN33" t="str">
        <f>=QN32+F(AND(QM33&lt;&gt;"",COUNTIF(QM$4:QM33,QM33)=1),1,0)</f>
      </c>
      <c r="QO33" t="str">
        <f>IF(ROW()-3&gt;MAX(QN$4:QN$40),"",INDEX(QM$4:QM$40,MATCH(ROW()-3,QN$4:QN$40,0)))</f>
      </c>
      <c r="QP33" t="str">
        <f>IF(COUNTIF('Final Calculation Sheet'!$AM33:$BS33,0)&gt;0,0,1)</f>
      </c>
      <c r="QQ33" t="str">
        <f>IF($AI$33="",FALSE,SUMPRODUCT(('Final Calculation Sheet'!$A$4:$A$40=$AI$33)*($QP$4:$QP$40=1))&gt;0)</f>
      </c>
      <c r="QR33" t="str">
        <f>=$QR32+--($QQ33)</f>
      </c>
      <c r="QS33" t="str">
        <f>IF(ROW()-3&gt;MAX($QR$4:$QR$40),"",INDEX($AI$4:$AI$40,MATCH(ROW()-3,$QR$4:$QR$40,0)))</f>
      </c>
      <c r="QT33" t="str">
        <f>IF(COUNTIF('Final Calculation Sheet'!$AL33:$AL33,0)+COUNTIF('Final Calculation Sheet'!$AN33:$BS33,0)&gt;0,0,1)</f>
      </c>
      <c r="QU33" t="str">
        <f>IF($Y$33="",FALSE,SUMPRODUCT(('Final Calculation Sheet'!$B$4:$B$40=$Y$33)*($QT$4:$QT$40=1))&gt;0)</f>
      </c>
      <c r="QV33" t="str">
        <f>=$QV32+--($QU33)</f>
      </c>
      <c r="QW33" t="str">
        <f>IF(ROW()-3&gt;MAX($QV$4:$QV$40),"",INDEX($Y$4:$Y$40,MATCH(ROW()-3,$QV$4:$QV$40,0)))</f>
      </c>
      <c r="QX33" t="str">
        <f>IF(COUNTIF('Final Calculation Sheet'!$AL33:$AM33,0)+COUNTIF('Final Calculation Sheet'!$AO33:$BS33,0)&gt;0,0,1)</f>
      </c>
      <c r="QY33" t="str">
        <f>IF($AS$33="",FALSE,SUMPRODUCT(('Final Calculation Sheet'!$C$4:$C$40=$AS$33)*($QX$4:$QX$40=1))&gt;0)</f>
      </c>
      <c r="QZ33" t="str">
        <f>=$QZ32+--($QY33)</f>
      </c>
      <c r="RA33" t="str">
        <f>IF(ROW()-3&gt;MAX($QZ$4:$QZ$40),"",INDEX($AS$4:$AS$40,MATCH(ROW()-3,$QZ$4:$QZ$40,0)))</f>
      </c>
      <c r="RB33" t="str">
        <f>IF(COUNTIF('Final Calculation Sheet'!$AL33:$AN33,0)+COUNTIF('Final Calculation Sheet'!$AP33:$BS33,0)&gt;0,0,1)</f>
      </c>
      <c r="RC33" t="str">
        <f>IF($AD$33="",FALSE,SUMPRODUCT(('Final Calculation Sheet'!$D$4:$D$40=$AD$33)*($RB$4:$RB$40=1))&gt;0)</f>
      </c>
      <c r="RD33" t="str">
        <f>=$RD32+--($RC33)</f>
      </c>
      <c r="RE33" t="str">
        <f>IF(ROW()-3&gt;MAX($RD$4:$RD$40),"",INDEX($AD$4:$AD$40,MATCH(ROW()-3,$RD$4:$RD$40,0)))</f>
      </c>
      <c r="RF33" t="str">
        <f>IF(COUNTIF('Final Calculation Sheet'!$AL33:$AO33,0)+COUNTIF('Final Calculation Sheet'!$AQ33:$BS33,0)&gt;0,0,1)</f>
      </c>
      <c r="RG33" t="str">
        <f>IF($AN$33="",FALSE,SUMPRODUCT(('Final Calculation Sheet'!$E$4:$E$40=$AN$33)*($RF$4:$RF$40=1))&gt;0)</f>
      </c>
      <c r="RH33" t="str">
        <f>=$RH32+--($RG33)</f>
      </c>
      <c r="RI33" t="str">
        <f>IF(ROW()-3&gt;MAX($RH$4:$RH$40),"",INDEX($AN$4:$AN$40,MATCH(ROW()-3,$RH$4:$RH$40,0)))</f>
      </c>
      <c r="RJ33" t="str">
        <f>IF(COUNTIF('Final Calculation Sheet'!$AL33:$AP33,0)+COUNTIF('Final Calculation Sheet'!$AR33:$BS33,0)&gt;0,0,1)</f>
      </c>
      <c r="RK33" t="str">
        <f>IF($O$33="",FALSE,SUMPRODUCT(('Final Calculation Sheet'!$F$4:$F$40=$O$33)*($RJ$4:$RJ$40=1))&gt;0)</f>
      </c>
      <c r="RL33" t="str">
        <f>=$RL32+--($RK33)</f>
      </c>
      <c r="RM33" t="str">
        <f>IF(ROW()-3&gt;MAX($RL$4:$RL$40),"",INDEX($O$4:$O$40,MATCH(ROW()-3,$RL$4:$RL$40,0)))</f>
      </c>
      <c r="RN33" t="str">
        <f>IF(COUNTIF('Final Calculation Sheet'!$AL33:$AQ33,0)+COUNTIF('Final Calculation Sheet'!$AS33:$BS33,0)&gt;0,0,1)</f>
      </c>
      <c r="RO33" t="str">
        <f>IF($T$33="",FALSE,SUMPRODUCT(('Final Calculation Sheet'!$G$4:$G$40=$T$33)*($RN$4:$RN$40=1))&gt;0)</f>
      </c>
      <c r="RP33" t="str">
        <f>=$RP32+--($RO33)</f>
      </c>
      <c r="RQ33" t="str">
        <f>IF(ROW()-3&gt;MAX($RP$4:$RP$40),"",INDEX($T$4:$T$40,MATCH(ROW()-3,$RP$4:$RP$40,0)))</f>
      </c>
      <c r="RR33" t="str">
        <f>IF(COUNTIF('Final Calculation Sheet'!$AL33:$AR33,0)+COUNTIF('Final Calculation Sheet'!$AT33:$BS33,0)&gt;0,0,1)</f>
      </c>
      <c r="RS33" t="str">
        <f>IF($AX$33="",FALSE,SUMPRODUCT(('Final Calculation Sheet'!$H$4:$H$40=$AX$33)*($RR$4:$RR$40=1))&gt;0)</f>
      </c>
      <c r="RT33" t="str">
        <f>=$RT32+--($RS33)</f>
      </c>
      <c r="RU33" t="str">
        <f>IF(ROW()-3&gt;MAX($RT$4:$RT$40),"",INDEX($AX$4:$AX$40,MATCH(ROW()-3,$RT$4:$RT$40,0)))</f>
      </c>
      <c r="RV33" t="str">
        <f>IF(COUNTIF('Final Calculation Sheet'!$AL33:$AS33,0)+COUNTIF('Final Calculation Sheet'!$AU33:$BS33,0)&gt;0,0,1)</f>
      </c>
      <c r="RW33" t="str">
        <f>IF($BC$33="",FALSE,SUMPRODUCT(('Final Calculation Sheet'!$I$4:$I$40=$BC$33)*($RV$4:$RV$40=1))&gt;0)</f>
      </c>
      <c r="RX33" t="str">
        <f>=$RX32+--($RW33)</f>
      </c>
      <c r="RY33" t="str">
        <f>IF(ROW()-3&gt;MAX($RX$4:$RX$40),"",INDEX($BC$4:$BC$40,MATCH(ROW()-3,$RX$4:$RX$40,0)))</f>
      </c>
      <c r="RZ33" t="str">
        <f>IF(COUNTIF('Final Calculation Sheet'!$AL33:$AT33,0)+COUNTIF('Final Calculation Sheet'!$AV33:$BS33,0)&gt;0,0,1)</f>
      </c>
      <c r="SA33" t="str">
        <f>IF($BH$33="",FALSE,SUMPRODUCT(('Final Calculation Sheet'!$J$4:$J$40=$BH$33)*($RZ$4:$RZ$40=1))&gt;0)</f>
      </c>
      <c r="SB33" t="str">
        <f>=$SB32+--($SA33)</f>
      </c>
      <c r="SC33" t="str">
        <f>IF(ROW()-3&gt;MAX($SB$4:$SB$40),"",INDEX($BH$4:$BH$40,MATCH(ROW()-3,$SB$4:$SB$40,0)))</f>
      </c>
      <c r="SD33" t="str">
        <f>IF(COUNTIF('Final Calculation Sheet'!$AL33:$AU33,0)+COUNTIF('Final Calculation Sheet'!$AW33:$BS33,0)&gt;0,0,1)</f>
      </c>
      <c r="SE33" t="str">
        <f>IF($BM$33="",FALSE,SUMPRODUCT(('Final Calculation Sheet'!$K$4:$K$40=$BM$33)*($SD$4:$SD$40=1))&gt;0)</f>
      </c>
      <c r="SF33" t="str">
        <f>=$SF32+--($SE33)</f>
      </c>
      <c r="SG33" t="str">
        <f>IF(ROW()-3&gt;MAX($SF$4:$SF$40),"",INDEX($BM$4:$BM$40,MATCH(ROW()-3,$SF$4:$SF$40,0)))</f>
      </c>
      <c r="SH33" t="str">
        <f>IF(COUNTIF('Final Calculation Sheet'!$AL33:$AV33,0)+COUNTIF('Final Calculation Sheet'!$AX33:$BS33,0)&gt;0,0,1)</f>
      </c>
      <c r="SI33" t="str">
        <f>IF($BR$33="",FALSE,SUMPRODUCT(('Final Calculation Sheet'!$L$4:$L$40=$BR$33)*($SH$4:$SH$40=1))&gt;0)</f>
      </c>
      <c r="SJ33" t="str">
        <f>=$SJ32+--($SI33)</f>
      </c>
      <c r="SK33" t="str">
        <f>IF(ROW()-3&gt;MAX($SJ$4:$SJ$40),"",INDEX($BR$4:$BR$40,MATCH(ROW()-3,$SJ$4:$SJ$40,0)))</f>
      </c>
      <c r="SL33" t="str">
        <f>IF(COUNTIF('Final Calculation Sheet'!$AL33:$AW33,0)+COUNTIF('Final Calculation Sheet'!$AY33:$BS33,0)&gt;0,0,1)</f>
      </c>
      <c r="SM33" t="str">
        <f>IF($BW$33="",FALSE,SUMPRODUCT(('Final Calculation Sheet'!$M$4:$M$40=$BW$33)*($SL$4:$SL$40=1))&gt;0)</f>
      </c>
      <c r="SN33" t="str">
        <f>=$SN32+--($SM33)</f>
      </c>
      <c r="SO33" t="str">
        <f>IF(ROW()-3&gt;MAX($SN$4:$SN$40),"",INDEX($BW$4:$BW$40,MATCH(ROW()-3,$SN$4:$SN$40,0)))</f>
      </c>
      <c r="SP33" t="str">
        <f>IF(COUNTIF('Final Calculation Sheet'!$AL33:$AX33,0)+COUNTIF('Final Calculation Sheet'!$AZ33:$BS33,0)&gt;0,0,1)</f>
      </c>
      <c r="SQ33" t="str">
        <f>IF($CB$33="",FALSE,SUMPRODUCT(('Final Calculation Sheet'!$N$4:$N$40=$CB$33)*($SP$4:$SP$40=1))&gt;0)</f>
      </c>
      <c r="SR33" t="str">
        <f>=$SR32+--($SQ33)</f>
      </c>
      <c r="SS33" t="str">
        <f>IF(ROW()-3&gt;MAX($SR$4:$SR$40),"",INDEX($CB$4:$CB$40,MATCH(ROW()-3,$SR$4:$SR$40,0)))</f>
      </c>
      <c r="ST33" t="str">
        <f>IF(COUNTIF('Final Calculation Sheet'!$AL33:$AY33,0)+COUNTIF('Final Calculation Sheet'!$BA33:$BS33,0)&gt;0,0,1)</f>
      </c>
      <c r="SU33" t="str">
        <f>IF($CG$33="",FALSE,SUMPRODUCT(('Final Calculation Sheet'!$O$4:$O$40=$CG$33)*($ST$4:$ST$40=1))&gt;0)</f>
      </c>
      <c r="SV33" t="str">
        <f>=$SV32+--($SU33)</f>
      </c>
      <c r="SW33" t="str">
        <f>IF(ROW()-3&gt;MAX($SV$4:$SV$40),"",INDEX($CG$4:$CG$40,MATCH(ROW()-3,$SV$4:$SV$40,0)))</f>
      </c>
      <c r="SX33" t="str">
        <f>IF(COUNTIF('Final Calculation Sheet'!$AL33:$AZ33,0)+COUNTIF('Final Calculation Sheet'!$BB33:$BS33,0)&gt;0,0,1)</f>
      </c>
      <c r="SY33" t="str">
        <f>IF($CL$33="",FALSE,SUMPRODUCT(('Final Calculation Sheet'!$P$4:$P$40=$CL$33)*($SX$4:$SX$40=1))&gt;0)</f>
      </c>
      <c r="SZ33" t="str">
        <f>=$SZ32+--($SY33)</f>
      </c>
      <c r="TA33" t="str">
        <f>IF(ROW()-3&gt;MAX($SZ$4:$SZ$40),"",INDEX($CL$4:$CL$40,MATCH(ROW()-3,$SZ$4:$SZ$40,0)))</f>
      </c>
      <c r="TB33" t="str">
        <f>IF(COUNTIF('Final Calculation Sheet'!$AL33:$BA33,0)+COUNTIF('Final Calculation Sheet'!$BC33:$BS33,0)&gt;0,0,1)</f>
      </c>
      <c r="TC33" t="str">
        <f>IF($CQ$33="",FALSE,SUMPRODUCT(('Final Calculation Sheet'!$Q$4:$Q$40=$CQ$33)*($TB$4:$TB$40=1))&gt;0)</f>
      </c>
      <c r="TD33" t="str">
        <f>=$TD32+--($TC33)</f>
      </c>
      <c r="TE33" t="str">
        <f>IF(ROW()-3&gt;MAX($TD$4:$TD$40),"",INDEX($CQ$4:$CQ$40,MATCH(ROW()-3,$TD$4:$TD$40,0)))</f>
      </c>
      <c r="TF33" t="str">
        <f>IF(COUNTIF('Final Calculation Sheet'!$AL33:$BB33,0)+COUNTIF('Final Calculation Sheet'!$BD33:$BS33,0)&gt;0,0,1)</f>
      </c>
      <c r="TG33" t="str">
        <f>IF($CV$33="",FALSE,SUMPRODUCT(('Final Calculation Sheet'!$R$4:$R$40=$CV$33)*($TF$4:$TF$40=1))&gt;0)</f>
      </c>
      <c r="TH33" t="str">
        <f>=$TH32+--($TG33)</f>
      </c>
      <c r="TI33" t="str">
        <f>IF(ROW()-3&gt;MAX($TH$4:$TH$40),"",INDEX($CV$4:$CV$40,MATCH(ROW()-3,$TH$4:$TH$40,0)))</f>
      </c>
      <c r="TJ33" t="str">
        <f>IF(COUNTIF('Final Calculation Sheet'!$AL33:$BC33,0)+COUNTIF('Final Calculation Sheet'!$BE33:$BS33,0)&gt;0,0,1)</f>
      </c>
      <c r="TK33" t="str">
        <f>IF($DA$33="",FALSE,SUMPRODUCT(('Final Calculation Sheet'!$S$4:$S$40=$DA$33)*($TJ$4:$TJ$40=1))&gt;0)</f>
      </c>
      <c r="TL33" t="str">
        <f>=$TL32+--($TK33)</f>
      </c>
      <c r="TM33" t="str">
        <f>IF(ROW()-3&gt;MAX($TL$4:$TL$40),"",INDEX($DA$4:$DA$40,MATCH(ROW()-3,$TL$4:$TL$40,0)))</f>
      </c>
      <c r="TN33" t="str">
        <f>IF(COUNTIF('Final Calculation Sheet'!$AL33:$BD33,0)+COUNTIF('Final Calculation Sheet'!$BF33:$BS33,0)&gt;0,0,1)</f>
      </c>
      <c r="TO33" t="str">
        <f>IF($DF$33="",FALSE,SUMPRODUCT(('Final Calculation Sheet'!$T$4:$T$40=$DF$33)*($TN$4:$TN$40=1))&gt;0)</f>
      </c>
      <c r="TP33" t="str">
        <f>=$TP32+--($TO33)</f>
      </c>
      <c r="TQ33" t="str">
        <f>IF(ROW()-3&gt;MAX($TP$4:$TP$40),"",INDEX($DF$4:$DF$40,MATCH(ROW()-3,$TP$4:$TP$40,0)))</f>
      </c>
      <c r="TR33" t="str">
        <f>IF(COUNTIF('Final Calculation Sheet'!$AL33:$BE33,0)+COUNTIF('Final Calculation Sheet'!$BG33:$BS33,0)&gt;0,0,1)</f>
      </c>
      <c r="TS33" t="str">
        <f>IF($DK$33="",FALSE,SUMPRODUCT(('Final Calculation Sheet'!$U$4:$U$40=$DK$33)*($TR$4:$TR$40=1))&gt;0)</f>
      </c>
      <c r="TT33" t="str">
        <f>=$TT32+--($TS33)</f>
      </c>
      <c r="TU33" t="str">
        <f>IF(ROW()-3&gt;MAX($TT$4:$TT$40),"",INDEX($DK$4:$DK$40,MATCH(ROW()-3,$TT$4:$TT$40,0)))</f>
      </c>
      <c r="TV33" t="str">
        <f>IF(COUNTIF('Final Calculation Sheet'!$AL33:$BF33,0)+COUNTIF('Final Calculation Sheet'!$BH33:$BS33,0)&gt;0,0,1)</f>
      </c>
      <c r="TW33" t="str">
        <f>IF($DP$33="",FALSE,SUMPRODUCT(('Final Calculation Sheet'!$V$4:$V$40=$DP$33)*($TV$4:$TV$40=1))&gt;0)</f>
      </c>
      <c r="TX33" t="str">
        <f>=$TX32+--($TW33)</f>
      </c>
      <c r="TY33" t="str">
        <f>IF(ROW()-3&gt;MAX($TX$4:$TX$40),"",INDEX($DP$4:$DP$40,MATCH(ROW()-3,$TX$4:$TX$40,0)))</f>
      </c>
      <c r="TZ33" t="str">
        <f>IF(COUNTIF('Final Calculation Sheet'!$AL33:$BG33,0)+COUNTIF('Final Calculation Sheet'!$BI33:$BS33,0)&gt;0,0,1)</f>
      </c>
      <c r="UA33" t="str">
        <f>IF($DU$33="",FALSE,SUMPRODUCT(('Final Calculation Sheet'!$W$4:$W$40=$DU$33)*($TZ$4:$TZ$40=1))&gt;0)</f>
      </c>
      <c r="UB33" t="str">
        <f>=$UB32+--($UA33)</f>
      </c>
      <c r="UC33" t="str">
        <f>IF(ROW()-3&gt;MAX($UB$4:$UB$40),"",INDEX($DU$4:$DU$40,MATCH(ROW()-3,$UB$4:$UB$40,0)))</f>
      </c>
      <c r="UD33" t="str">
        <f>IF(COUNTIF('Final Calculation Sheet'!$AL33:$BH33,0)+COUNTIF('Final Calculation Sheet'!$BJ33:$BS33,0)&gt;0,0,1)</f>
      </c>
      <c r="UE33" t="str">
        <f>IF($DZ$33="",FALSE,SUMPRODUCT(('Final Calculation Sheet'!$X$4:$X$40=$DZ$33)*($UD$4:$UD$40=1))&gt;0)</f>
      </c>
      <c r="UF33" t="str">
        <f>=$UF32+--($UE33)</f>
      </c>
      <c r="UG33" t="str">
        <f>IF(ROW()-3&gt;MAX($UF$4:$UF$40),"",INDEX($DZ$4:$DZ$40,MATCH(ROW()-3,$UF$4:$UF$40,0)))</f>
      </c>
      <c r="UH33" t="str">
        <f>IF(COUNTIF('Final Calculation Sheet'!$AL33:$BI33,0)+COUNTIF('Final Calculation Sheet'!$BK33:$BS33,0)&gt;0,0,1)</f>
      </c>
      <c r="UI33" t="str">
        <f>IF($EE$33="",FALSE,SUMPRODUCT(('Final Calculation Sheet'!$Y$4:$Y$40=$EE$33)*($UH$4:$UH$40=1))&gt;0)</f>
      </c>
      <c r="UJ33" t="str">
        <f>=$UJ32+--($UI33)</f>
      </c>
      <c r="UK33" t="str">
        <f>IF(ROW()-3&gt;MAX($UJ$4:$UJ$40),"",INDEX($EE$4:$EE$40,MATCH(ROW()-3,$UJ$4:$UJ$40,0)))</f>
      </c>
      <c r="UL33" t="str">
        <f>IF(COUNTIF('Final Calculation Sheet'!$AL33:$BJ33,0)+COUNTIF('Final Calculation Sheet'!$BL33:$BS33,0)&gt;0,0,1)</f>
      </c>
      <c r="UM33" t="str">
        <f>IF($EJ$33="",FALSE,SUMPRODUCT(('Final Calculation Sheet'!$Z$4:$Z$40=$EJ$33)*($UL$4:$UL$40=1))&gt;0)</f>
      </c>
      <c r="UN33" t="str">
        <f>=$UN32+--($UM33)</f>
      </c>
      <c r="UO33" t="str">
        <f>IF(ROW()-3&gt;MAX($UN$4:$UN$40),"",INDEX($EJ$4:$EJ$40,MATCH(ROW()-3,$UN$4:$UN$40,0)))</f>
      </c>
      <c r="UP33" t="str">
        <f>IF(COUNTIF('Final Calculation Sheet'!$AL33:$BK33,0)+COUNTIF('Final Calculation Sheet'!$BM33:$BS33,0)&gt;0,0,1)</f>
      </c>
      <c r="UQ33" t="str">
        <f>IF($EO$33="",FALSE,SUMPRODUCT(('Final Calculation Sheet'!$AA$4:$AA$40=$EO$33)*($UP$4:$UP$40=1))&gt;0)</f>
      </c>
      <c r="UR33" t="str">
        <f>=$UR32+--($UQ33)</f>
      </c>
      <c r="US33" t="str">
        <f>IF(ROW()-3&gt;MAX($UR$4:$UR$40),"",INDEX($EO$4:$EO$40,MATCH(ROW()-3,$UR$4:$UR$40,0)))</f>
      </c>
      <c r="UT33" t="str">
        <f>IF(COUNTIF('Final Calculation Sheet'!$AL33:$BL33,0)+COUNTIF('Final Calculation Sheet'!$BN33:$BS33,0)&gt;0,0,1)</f>
      </c>
      <c r="UU33" t="str">
        <f>IF($ET$33="",FALSE,SUMPRODUCT(('Final Calculation Sheet'!$AB$4:$AB$40=$ET$33)*($UT$4:$UT$40=1))&gt;0)</f>
      </c>
      <c r="UV33" t="str">
        <f>=$UV32+--($UU33)</f>
      </c>
      <c r="UW33" t="str">
        <f>IF(ROW()-3&gt;MAX($UV$4:$UV$40),"",INDEX($ET$4:$ET$40,MATCH(ROW()-3,$UV$4:$UV$40,0)))</f>
      </c>
      <c r="UX33" t="str">
        <f>IF(COUNTIF('Final Calculation Sheet'!$AL33:$BM33,0)+COUNTIF('Final Calculation Sheet'!$BO33:$BS33,0)&gt;0,0,1)</f>
      </c>
      <c r="UY33" t="str">
        <f>IF($EY$33="",FALSE,SUMPRODUCT(('Final Calculation Sheet'!$AC$4:$AC$40=$EY$33)*($UX$4:$UX$40=1))&gt;0)</f>
      </c>
      <c r="UZ33" t="str">
        <f>=$UZ32+--($UY33)</f>
      </c>
      <c r="VA33" t="str">
        <f>IF(ROW()-3&gt;MAX($UZ$4:$UZ$40),"",INDEX($EY$4:$EY$40,MATCH(ROW()-3,$UZ$4:$UZ$40,0)))</f>
      </c>
      <c r="VB33" t="str">
        <f>IF(COUNTIF('Final Calculation Sheet'!$AL33:$BN33,0)+COUNTIF('Final Calculation Sheet'!$BP33:$BS33,0)&gt;0,0,1)</f>
      </c>
      <c r="VC33" t="str">
        <f>IF($FD$33="",FALSE,SUMPRODUCT(('Final Calculation Sheet'!$AD$4:$AD$40=$FD$33)*($VB$4:$VB$40=1))&gt;0)</f>
      </c>
      <c r="VD33" t="str">
        <f>=$VD32+--($VC33)</f>
      </c>
      <c r="VE33" t="str">
        <f>IF(ROW()-3&gt;MAX($VD$4:$VD$40),"",INDEX($FD$4:$FD$40,MATCH(ROW()-3,$VD$4:$VD$40,0)))</f>
      </c>
      <c r="VF33" t="str">
        <f>IF(COUNTIF('Final Calculation Sheet'!$AL33:$BO33,0)+COUNTIF('Final Calculation Sheet'!$BQ33:$BS33,0)&gt;0,0,1)</f>
      </c>
      <c r="VG33" t="str">
        <f>IF($FI$33="",FALSE,SUMPRODUCT(('Final Calculation Sheet'!$AE$4:$AE$40=$FI$33)*($VF$4:$VF$40=1))&gt;0)</f>
      </c>
      <c r="VH33" t="str">
        <f>=$VH32+--($VG33)</f>
      </c>
      <c r="VI33" t="str">
        <f>IF(ROW()-3&gt;MAX($VH$4:$VH$40),"",INDEX($FI$4:$FI$40,MATCH(ROW()-3,$VH$4:$VH$40,0)))</f>
      </c>
      <c r="VJ33" t="str">
        <f>IF(COUNTIF('Final Calculation Sheet'!$AL33:$BP33,0)+COUNTIF('Final Calculation Sheet'!$BR33:$BS33,0)&gt;0,0,1)</f>
      </c>
      <c r="VK33" t="str">
        <f>IF($FN$33="",FALSE,SUMPRODUCT(('Final Calculation Sheet'!$AF$4:$AF$40=$FN$33)*($VJ$4:$VJ$40=1))&gt;0)</f>
      </c>
      <c r="VL33" t="str">
        <f>=$VL32+--($VK33)</f>
      </c>
      <c r="VM33" t="str">
        <f>IF(ROW()-3&gt;MAX($VL$4:$VL$40),"",INDEX($FN$4:$FN$40,MATCH(ROW()-3,$VL$4:$VL$40,0)))</f>
      </c>
      <c r="VN33" t="str">
        <f>IF(COUNTIF('Final Calculation Sheet'!$AL33:$BQ33,0)+COUNTIF('Final Calculation Sheet'!$BS33:$BS33,0)&gt;0,0,1)</f>
      </c>
      <c r="VO33" t="str">
        <f>IF($FS$33="",FALSE,SUMPRODUCT(('Final Calculation Sheet'!$AG$4:$AG$40=$FS$33)*($VN$4:$VN$40=1))&gt;0)</f>
      </c>
      <c r="VP33" t="str">
        <f>=$VP32+--($VO33)</f>
      </c>
      <c r="VQ33" t="str">
        <f>IF(ROW()-3&gt;MAX($VP$4:$VP$40),"",INDEX($FS$4:$FS$40,MATCH(ROW()-3,$VP$4:$VP$40,0)))</f>
      </c>
      <c r="VR33" t="str">
        <f>IF(COUNTIF('Final Calculation Sheet'!$AL33:$BR33,0)&gt;0,0,1)</f>
      </c>
      <c r="VS33" t="str">
        <f>IF($QO$33="",FALSE,SUMPRODUCT(('Final Calculation Sheet'!$AH$4:$AH$40=$QO$33)*($VR$4:$VR$40=1))&gt;0)</f>
      </c>
      <c r="VT33" t="str">
        <f>=$VT32+--($VS33)</f>
      </c>
      <c r="VU33" t="str">
        <f>IF(ROW()-3&gt;MAX($VT$4:$VT$40),"",INDEX($QO$4:$QO$40,MATCH(ROW()-3,$VT$4:$VT$40,0)))</f>
      </c>
    </row>
    <row r="34">
      <c r="A34">
        <f>IF(IFERROR('Final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IF(IFERROR('Final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s="55">
        <f>IF('Final Calculation Sheet'!$C$34="","",'Final Calculation Sheet'!$C$34)</f>
        <v/>
      </c>
      <c r="AP34">
        <f>IF(AO34="","",COUNTIFS(AO$4:AO$40,"&lt;"&amp;AO34,AO$4:AO$40,"&lt;&gt;"&amp;"")+COUNTIF(AO$4:AO34,AO34))</f>
        <v/>
      </c>
      <c r="AQ34" s="55">
        <f>IF(ROW()-3&gt;COUNTIF(AO$4:AO$40,"&lt;&gt;"&amp;""),"",INDEX(AO$4:AO$40,MATCH(ROW()-3,AP$4:AP$40,0)))</f>
        <v/>
      </c>
      <c r="AR34">
        <f>AR33+IF(AND(AQ34&lt;&gt;"",COUNTIF(AQ$4:AQ34,AQ34)=1),1,0)</f>
        <v/>
      </c>
      <c r="AS34" s="55">
        <f>IF(ROW()-3&gt;MAX(AR$4:AR$40),"",INDEX(AQ$4:AQ$40,MATCH(ROW()-3,AR$4:AR$40,0)))</f>
        <v/>
      </c>
      <c r="AT34" s="55">
        <f>IF('Final Calculation Sheet'!$H$34="","",'Final Calculation Sheet'!$H$34)</f>
        <v/>
      </c>
      <c r="AU34">
        <f>IF(AT34="","",COUNTIFS(AT$4:AT$40,"&lt;"&amp;AT34,AT$4:AT$40,"&lt;&gt;"&amp;"")+COUNTIF(AT$4:AT34,AT34))</f>
        <v/>
      </c>
      <c r="AV34" s="55">
        <f>IF(ROW()-3&gt;COUNTIF(AT$4:AT$40,"&lt;&gt;"&amp;""),"",INDEX(AT$4:AT$40,MATCH(ROW()-3,AU$4:AU$40,0)))</f>
        <v/>
      </c>
      <c r="AW34">
        <f>AW33+IF(AND(AV34&lt;&gt;"",COUNTIF(AV$4:AV34,AV34)=1),1,0)</f>
        <v/>
      </c>
      <c r="AX34" s="55">
        <f>IF(ROW()-3&gt;MAX(AW$4:AW$40),"",INDEX(AV$4:AV$40,MATCH(ROW()-3,AW$4:AW$40,0)))</f>
        <v/>
      </c>
      <c r="AY34" s="55">
        <f>IF('Final Calculation Sheet'!$I$34="","",'Final Calculation Sheet'!$I$34)</f>
        <v/>
      </c>
      <c r="AZ34">
        <f>IF(AY34="","",COUNTIFS(AY$4:AY$40,"&lt;"&amp;AY34,AY$4:AY$40,"&lt;&gt;"&amp;"")+COUNTIF(AY$4:AY34,AY34))</f>
        <v/>
      </c>
      <c r="BA34" s="55">
        <f>IF(ROW()-3&gt;COUNTIF(AY$4:AY$40,"&lt;&gt;"&amp;""),"",INDEX(AY$4:AY$40,MATCH(ROW()-3,AZ$4:AZ$40,0)))</f>
        <v/>
      </c>
      <c r="BB34">
        <f>BB33+IF(AND(BA34&lt;&gt;"",COUNTIF(BA$4:BA34,BA34)=1),1,0)</f>
        <v/>
      </c>
      <c r="BC34" s="55">
        <f>IF(ROW()-3&gt;MAX(BB$4:BB$40),"",INDEX(BA$4:BA$40,MATCH(ROW()-3,BB$4:BB$40,0)))</f>
        <v/>
      </c>
      <c r="BD34" s="55">
        <f>IF('Final Calculation Sheet'!$J$34="","",'Final Calculation Sheet'!$J$34)</f>
        <v/>
      </c>
      <c r="BE34">
        <f>IF(BD34="","",COUNTIFS(BD$4:BD$40,"&lt;"&amp;BD34,BD$4:BD$40,"&lt;&gt;"&amp;"")+COUNTIF(BD$4:BD34,BD34))</f>
        <v/>
      </c>
      <c r="BF34" s="55">
        <f>IF(ROW()-3&gt;COUNTIF(BD$4:BD$40,"&lt;&gt;"&amp;""),"",INDEX(BD$4:BD$40,MATCH(ROW()-3,BE$4:BE$40,0)))</f>
        <v/>
      </c>
      <c r="BG34">
        <f>BG33+IF(AND(BF34&lt;&gt;"",COUNTIF(BF$4:BF34,BF34)=1),1,0)</f>
        <v/>
      </c>
      <c r="BH34" s="55">
        <f>IF(ROW()-3&gt;MAX(BG$4:BG$40),"",INDEX(BF$4:BF$40,MATCH(ROW()-3,BG$4:BG$40,0)))</f>
        <v/>
      </c>
      <c r="BI34" s="55">
        <f>IF('Final Calculation Sheet'!$K$34="","",'Final Calculation Sheet'!$K$34)</f>
        <v/>
      </c>
      <c r="BJ34">
        <f>IF(BI34="","",COUNTIFS(BI$4:BI$40,"&lt;"&amp;BI34,BI$4:BI$40,"&lt;&gt;"&amp;"")+COUNTIF(BI$4:BI34,BI34))</f>
        <v/>
      </c>
      <c r="BK34" s="55">
        <f>IF(ROW()-3&gt;COUNTIF(BI$4:BI$40,"&lt;&gt;"&amp;""),"",INDEX(BI$4:BI$40,MATCH(ROW()-3,BJ$4:BJ$40,0)))</f>
        <v/>
      </c>
      <c r="BL34">
        <f>BL33+IF(AND(BK34&lt;&gt;"",COUNTIF(BK$4:BK34,BK34)=1),1,0)</f>
        <v/>
      </c>
      <c r="BM34" s="55">
        <f>IF(ROW()-3&gt;MAX(BL$4:BL$40),"",INDEX(BK$4:BK$40,MATCH(ROW()-3,BL$4:BL$40,0)))</f>
        <v/>
      </c>
      <c r="BN34" s="55">
        <f>IF('Final Calculation Sheet'!$L$34="","",'Final Calculation Sheet'!$L$34)</f>
        <v/>
      </c>
      <c r="BO34">
        <f>IF(BN34="","",COUNTIFS(BN$4:BN$40,"&lt;"&amp;BN34,BN$4:BN$40,"&lt;&gt;"&amp;"")+COUNTIF(BN$4:BN34,BN34))</f>
        <v/>
      </c>
      <c r="BP34" s="55">
        <f>IF(ROW()-3&gt;COUNTIF(BN$4:BN$40,"&lt;&gt;"&amp;""),"",INDEX(BN$4:BN$40,MATCH(ROW()-3,BO$4:BO$40,0)))</f>
        <v/>
      </c>
      <c r="BQ34">
        <f>BQ33+IF(AND(BP34&lt;&gt;"",COUNTIF(BP$4:BP34,BP34)=1),1,0)</f>
        <v/>
      </c>
      <c r="BR34" s="55">
        <f>IF(ROW()-3&gt;MAX(BQ$4:BQ$40),"",INDEX(BP$4:BP$40,MATCH(ROW()-3,BQ$4:BQ$40,0)))</f>
        <v/>
      </c>
      <c r="BS34" s="55">
        <f>IF('Final Calculation Sheet'!$M$34="","",'Final Calculation Sheet'!$M$34)</f>
        <v/>
      </c>
      <c r="BT34">
        <f>IF(BS34="","",COUNTIFS(BS$4:BS$40,"&lt;"&amp;BS34,BS$4:BS$40,"&lt;&gt;"&amp;"")+COUNTIF(BS$4:BS34,BS34))</f>
        <v/>
      </c>
      <c r="BU34" s="55">
        <f>IF(ROW()-3&gt;COUNTIF(BS$4:BS$40,"&lt;&gt;"&amp;""),"",INDEX(BS$4:BS$40,MATCH(ROW()-3,BT$4:BT$40,0)))</f>
        <v/>
      </c>
      <c r="BV34">
        <f>BV33+IF(AND(BU34&lt;&gt;"",COUNTIF(BU$4:BU34,BU34)=1),1,0)</f>
        <v/>
      </c>
      <c r="BW34" s="55">
        <f>IF(ROW()-3&gt;MAX(BV$4:BV$40),"",INDEX(BU$4:BU$40,MATCH(ROW()-3,BV$4:BV$40,0)))</f>
        <v/>
      </c>
      <c r="BX34" s="138">
        <f>IF('Final Calculation Sheet'!$N$34="","",'Final Calculation Sheet'!$N$34)</f>
        <v/>
      </c>
      <c r="BY34">
        <f>IF(BX34="","",COUNTIFS(BX$4:BX$40,"&lt;"&amp;BX34,BX$4:BX$40,"&lt;&gt;"&amp;"")+COUNTIF(BX$4:BX34,BX34))</f>
        <v/>
      </c>
      <c r="BZ34" s="138">
        <f>IF(ROW()-3&gt;COUNTIF(BX$4:BX$40,"&lt;&gt;"&amp;""),"",INDEX(BX$4:BX$40,MATCH(ROW()-3,BY$4:BY$40,0)))</f>
        <v/>
      </c>
      <c r="CA34">
        <f>CA33+IF(AND(BZ34&lt;&gt;"",COUNTIF(BZ$4:BZ34,BZ34)=1),1,0)</f>
        <v/>
      </c>
      <c r="CB34" s="138">
        <f>IF(ROW()-3&gt;MAX(CA$4:CA$40),"",INDEX(BZ$4:BZ$40,MATCH(ROW()-3,CA$4:CA$40,0)))</f>
        <v/>
      </c>
      <c r="CC34" s="55">
        <f>IF('Final Calculation Sheet'!$O$34="","",'Final Calculation Sheet'!$O$34)</f>
        <v/>
      </c>
      <c r="CD34">
        <f>IF(CC34="","",COUNTIFS(CC$4:CC$40,"&lt;"&amp;CC34,CC$4:CC$40,"&lt;&gt;"&amp;"")+COUNTIF(CC$4:CC34,CC34))</f>
        <v/>
      </c>
      <c r="CE34" s="55">
        <f>IF(ROW()-3&gt;COUNTIF(CC$4:CC$40,"&lt;&gt;"&amp;""),"",INDEX(CC$4:CC$40,MATCH(ROW()-3,CD$4:CD$40,0)))</f>
        <v/>
      </c>
      <c r="CF34">
        <f>CF33+IF(AND(CE34&lt;&gt;"",COUNTIF(CE$4:CE34,CE34)=1),1,0)</f>
        <v/>
      </c>
      <c r="CG34" s="55">
        <f>IF(ROW()-3&gt;MAX(CF$4:CF$40),"",INDEX(CE$4:CE$40,MATCH(ROW()-3,CF$4:CF$40,0)))</f>
        <v/>
      </c>
      <c r="CH34" s="55">
        <f>IF('Final Calculation Sheet'!$P$34="","",'Final Calculation Sheet'!$P$34)</f>
        <v/>
      </c>
      <c r="CI34">
        <f>IF(CH34="","",COUNTIFS(CH$4:CH$40,"&lt;"&amp;CH34,CH$4:CH$40,"&lt;&gt;"&amp;"")+COUNTIF(CH$4:CH34,CH34))</f>
        <v/>
      </c>
      <c r="CJ34" s="55">
        <f>IF(ROW()-3&gt;COUNTIF(CH$4:CH$40,"&lt;&gt;"&amp;""),"",INDEX(CH$4:CH$40,MATCH(ROW()-3,CI$4:CI$40,0)))</f>
        <v/>
      </c>
      <c r="CK34">
        <f>CK33+IF(AND(CJ34&lt;&gt;"",COUNTIF(CJ$4:CJ34,CJ34)=1),1,0)</f>
        <v/>
      </c>
      <c r="CL34" s="55">
        <f>IF(ROW()-3&gt;MAX(CK$4:CK$40),"",INDEX(CJ$4:CJ$40,MATCH(ROW()-3,CK$4:CK$40,0)))</f>
        <v/>
      </c>
      <c r="CM34" s="139">
        <f>IF('Final Calculation Sheet'!$Q$34="","",'Final Calculation Sheet'!$Q$34)</f>
        <v/>
      </c>
      <c r="CN34">
        <f>IF(CM34="","",COUNTIFS(CM$4:CM$40,"&lt;"&amp;CM34,CM$4:CM$40,"&lt;&gt;"&amp;"")+COUNTIF(CM$4:CM34,CM34))</f>
        <v/>
      </c>
      <c r="CO34" s="139">
        <f>IF(ROW()-3&gt;COUNTIF(CM$4:CM$40,"&lt;&gt;"&amp;""),"",INDEX(CM$4:CM$40,MATCH(ROW()-3,CN$4:CN$40,0)))</f>
        <v/>
      </c>
      <c r="CP34">
        <f>CP33+IF(AND(CO34&lt;&gt;"",COUNTIF(CO$4:CO34,CO34)=1),1,0)</f>
        <v/>
      </c>
      <c r="CQ34">
        <f>IF(ROW()-3&gt;MAX(CP$4:CP$40),"",INDEX(CO$4:CO$40,MATCH(ROW()-3,CP$4:CP$40,0)))</f>
        <v/>
      </c>
      <c r="CR34" s="55">
        <f>IF('Final Calculation Sheet'!$R$34="","",'Final Calculation Sheet'!$R$34)</f>
        <v/>
      </c>
      <c r="CS34">
        <f>IF(CR34="","",COUNTIFS(CR$4:CR$40,"&lt;"&amp;CR34,CR$4:CR$40,"&lt;&gt;"&amp;"")+COUNTIF(CR$4:CR34,CR34))</f>
        <v/>
      </c>
      <c r="CT34" s="55">
        <f>IF(ROW()-3&gt;COUNTIF(CR$4:CR$40,"&lt;&gt;"&amp;""),"",INDEX(CR$4:CR$40,MATCH(ROW()-3,CS$4:CS$40,0)))</f>
        <v/>
      </c>
      <c r="CU34">
        <f>CU33+IF(AND(CT34&lt;&gt;"",COUNTIF(CT$4:CT34,CT34)=1),1,0)</f>
        <v/>
      </c>
      <c r="CV34">
        <f>IF(ROW()-3&gt;MAX(CU$4:CU$40),"",INDEX(CT$4:CT$40,MATCH(ROW()-3,CU$4:CU$40,0)))</f>
        <v/>
      </c>
      <c r="CW34" s="55">
        <f>IF('Final Calculation Sheet'!$S$34="","",'Final Calculation Sheet'!$S$34)</f>
        <v/>
      </c>
      <c r="CX34">
        <f>IF(CW34="","",COUNTIFS(CW$4:CW$40,"&lt;"&amp;CW34,CW$4:CW$40,"&lt;&gt;"&amp;"")+COUNTIF(CW$4:CW34,CW34))</f>
        <v/>
      </c>
      <c r="CY34" s="55">
        <f>IF(ROW()-3&gt;COUNTIF(CW$4:CW$40,"&lt;&gt;"&amp;""),"",INDEX(CW$4:CW$40,MATCH(ROW()-3,CX$4:CX$40,0)))</f>
        <v/>
      </c>
      <c r="CZ34">
        <f>CZ33+IF(AND(CY34&lt;&gt;"",COUNTIF(CY$4:CY34,CY34)=1),1,0)</f>
        <v/>
      </c>
      <c r="DA34" s="55">
        <f>IF(ROW()-3&gt;MAX(CZ$4:CZ$40),"",INDEX(CY$4:CY$40,MATCH(ROW()-3,CZ$4:CZ$40,0)))</f>
        <v/>
      </c>
      <c r="DB34" s="55">
        <f>IF('Final Calculation Sheet'!$T$34="","",'Final Calculation Sheet'!$T$34)</f>
        <v/>
      </c>
      <c r="DC34">
        <f>IF(DB34="","",COUNTIFS(DB$4:DB$40,"&lt;"&amp;DB34,DB$4:DB$40,"&lt;&gt;"&amp;"")+COUNTIF(DB$4:DB34,DB34))</f>
        <v/>
      </c>
      <c r="DD34" s="55">
        <f>IF(ROW()-3&gt;COUNTIF(DB$4:DB$40,"&lt;&gt;"&amp;""),"",INDEX(DB$4:DB$40,MATCH(ROW()-3,DC$4:DC$40,0)))</f>
        <v/>
      </c>
      <c r="DE34">
        <f>DE33+IF(AND(DD34&lt;&gt;"",COUNTIF(DD$4:DD34,DD34)=1),1,0)</f>
        <v/>
      </c>
      <c r="DF34" s="55">
        <f>IF(ROW()-3&gt;MAX(DE$4:DE$40),"",INDEX(DD$4:DD$40,MATCH(ROW()-3,DE$4:DE$40,0)))</f>
        <v/>
      </c>
      <c r="DG34" s="140">
        <f>IF('Final Calculation Sheet'!$U$34="","",'Final Calculation Sheet'!$U$34)</f>
        <v/>
      </c>
      <c r="DH34">
        <f>IF(DG34="","",COUNTIFS(DG$4:DG$40,"&lt;"&amp;DG34,DG$4:DG$40,"&lt;&gt;"&amp;"")+COUNTIF(DG$4:DG34,DG34))</f>
        <v/>
      </c>
      <c r="DI34" s="140">
        <f>IF(ROW()-3&gt;COUNTIF(DG$4:DG$40,"&lt;&gt;"&amp;""),"",INDEX(DG$4:DG$40,MATCH(ROW()-3,DH$4:DH$40,0)))</f>
        <v/>
      </c>
      <c r="DJ34">
        <f>DJ33+IF(AND(DI34&lt;&gt;"",COUNTIF(DI$4:DI34,DI34)=1),1,0)</f>
        <v/>
      </c>
      <c r="DK34" s="140">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s="55">
        <f>IF('Final Calculation Sheet'!$W$34="","",'Final Calculation Sheet'!$W$34)</f>
        <v/>
      </c>
      <c r="DR34">
        <f>IF(DQ34="","",COUNTIFS(DQ$4:DQ$40,"&lt;"&amp;DQ34,DQ$4:DQ$40,"&lt;&gt;"&amp;"")+COUNTIF(DQ$4:DQ34,DQ34))</f>
        <v/>
      </c>
      <c r="DS34" s="55">
        <f>IF(ROW()-3&gt;COUNTIF(DQ$4:DQ$40,"&lt;&gt;"&amp;""),"",INDEX(DQ$4:DQ$40,MATCH(ROW()-3,DR$4:DR$40,0)))</f>
        <v/>
      </c>
      <c r="DT34">
        <f>DT33+IF(AND(DS34&lt;&gt;"",COUNTIF(DS$4:DS34,DS34)=1),1,0)</f>
        <v/>
      </c>
      <c r="DU34" s="55">
        <f>IF(ROW()-3&gt;MAX(DT$4:DT$40),"",INDEX(DS$4:DS$40,MATCH(ROW()-3,DT$4:DT$40,0)))</f>
        <v/>
      </c>
      <c r="DV34" s="55">
        <f>IF('Final Calculation Sheet'!$X$34="","",'Final Calculation Sheet'!$X$34)</f>
        <v/>
      </c>
      <c r="DW34">
        <f>IF(DV34="","",COUNTIFS(DV$4:DV$40,"&lt;"&amp;DV34,DV$4:DV$40,"&lt;&gt;"&amp;"")+COUNTIF(DV$4:DV34,DV34))</f>
        <v/>
      </c>
      <c r="DX34" s="55">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s="55">
        <f>IF('Final Calculation Sheet'!$Z$34="","",'Final Calculation Sheet'!$Z$34)</f>
        <v/>
      </c>
      <c r="EG34">
        <f>IF(EF34="","",COUNTIFS(EF$4:EF$40,"&lt;"&amp;EF34,EF$4:EF$40,"&lt;&gt;"&amp;"")+COUNTIF(EF$4:EF34,EF34))</f>
        <v/>
      </c>
      <c r="EH34" s="55">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s="55">
        <f>IF('Final Calculation Sheet'!$AC$34="","",'Final Calculation Sheet'!$AC$34)</f>
        <v/>
      </c>
      <c r="EV34">
        <f>IF(EU34="","",COUNTIFS(EU$4:EU$40,"&lt;"&amp;EU34,EU$4:EU$40,"&lt;&gt;"&amp;"")+COUNTIF(EU$4:EU34,EU34))</f>
        <v/>
      </c>
      <c r="EW34" s="55">
        <f>IF(ROW()-3&gt;COUNTIF(EU$4:EU$40,"&lt;&gt;"&amp;""),"",INDEX(EU$4:EU$40,MATCH(ROW()-3,EV$4:EV$40,0)))</f>
        <v/>
      </c>
      <c r="EX34">
        <f>EX33+IF(AND(EW34&lt;&gt;"",COUNTIF(EW$4:EW34,EW34)=1),1,0)</f>
        <v/>
      </c>
      <c r="EY34" s="55">
        <f>IF(ROW()-3&gt;MAX(EX$4:EX$40),"",INDEX(EW$4:EW$40,MATCH(ROW()-3,EX$4:EX$40,0)))</f>
        <v/>
      </c>
      <c r="EZ34" s="55">
        <f>IF('Final Calculation Sheet'!$AD$34="","",'Final Calculation Sheet'!$AD$34)</f>
        <v/>
      </c>
      <c r="FA34">
        <f>IF(EZ34="","",COUNTIFS(EZ$4:EZ$40,"&lt;"&amp;EZ34,EZ$4:EZ$40,"&lt;&gt;"&amp;"")+COUNTIF(EZ$4:EZ34,EZ34))</f>
        <v/>
      </c>
      <c r="FB34" s="55">
        <f>IF(ROW()-3&gt;COUNTIF(EZ$4:EZ$40,"&lt;&gt;"&amp;""),"",INDEX(EZ$4:EZ$40,MATCH(ROW()-3,FA$4:FA$40,0)))</f>
        <v/>
      </c>
      <c r="FC34">
        <f>FC33+IF(AND(FB34&lt;&gt;"",COUNTIF(FB$4:FB34,FB34)=1),1,0)</f>
        <v/>
      </c>
      <c r="FD34">
        <f>IF(ROW()-3&gt;MAX(FC$4:FC$40),"",INDEX(FB$4:FB$40,MATCH(ROW()-3,FC$4:FC$40,0)))</f>
        <v/>
      </c>
      <c r="FE34">
        <f>IF('Final Calculation Sheet'!$AF$34="","",'Final Calculation Sheet'!$AF$34)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s="141">
        <f>IF('Final Calculation Sheet'!$AG$34="","",'Final Calculation Sheet'!$AG$34)</f>
        <v/>
      </c>
      <c r="FK34">
        <f>IF(FJ34="","",COUNTIFS(FJ$4:FJ$40,"&lt;"&amp;FJ34,FJ$4:FJ$40,"&lt;&gt;"&amp;"")+COUNTIF(FJ$4:FJ34,FJ34))</f>
        <v/>
      </c>
      <c r="FL34" s="141">
        <f>IF(ROW()-3&gt;COUNTIF(FJ$4:FJ$40,"&lt;&gt;"&amp;""),"",INDEX(FJ$4:FJ$40,MATCH(ROW()-3,FK$4:FK$40,0)))</f>
        <v/>
      </c>
      <c r="FM34">
        <f>FM33+IF(AND(FL34&lt;&gt;"",COUNTIF(FL$4:FL34,FL34)=1),1,0)</f>
        <v/>
      </c>
      <c r="FN34">
        <f>IF(ROW()-3&gt;MAX(FM$4:FM$40),"",INDEX(FL$4:FL$40,MATCH(ROW()-3,FM$4:FM$40,0)))</f>
        <v/>
      </c>
      <c r="FO34">
        <f>IF('Final Calculation Sheet'!$AH$34="","",'Final Calculation Sheet'!$AH$34)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c r="FY34">
        <f>IF(COUNTIF('Live Search'!BM$33:BO$33,0)+COUNTIF('Live Search'!BQ$33:CU$33,0)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4">
        <f>IF($Y$34="",FALSE,SUMPRODUCT(('Final Calculation Sheet'!$B$4:$B$40=$Y$34)*($FY$6:$FY$42=1))&gt;0)</f>
        <v/>
      </c>
      <c r="GA34">
        <f>$GA$33+--($FZ$34)</f>
        <v/>
      </c>
      <c r="GB34">
        <f>IF(ROW()-3&gt;MAX($GA$4:$GA$40),"",INDEX($Y$4:$Y$40,MATCH(ROW()-3,$GA$4:$GA$40,0)))</f>
        <v/>
      </c>
      <c r="GC34">
        <f>IF(COUNTIF('Live Search'!BM$33:BM$33,0)+COUNTIF('Live Search'!BO$33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D34">
        <f>IF($O$34="",FALSE,SUMPRODUCT(('Final Calculation Sheet'!$F$4:$F$40=$O$34)*($GC$6:$GC$42=1))&gt;0)</f>
        <v/>
      </c>
      <c r="GE34">
        <f>$GE$33+--($GD34)</f>
        <v/>
      </c>
      <c r="GF34">
        <f>IF(ROW()-3&gt;MAX($GE$4:$GE$40),"",INDEX($O$4:$O$40,MATCH(ROW()-3,$GE$4:$GE$40,0)))</f>
        <v/>
      </c>
      <c r="GG34">
        <f>IF(COUNTIF('Live Search'!BM$33:BN$33,0)+COUNTIF('Live Search'!BP$33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H34">
        <f>IF($T$34="",FALSE,SUMPRODUCT(('Final Calculation Sheet'!$G$4:$G$40=$T$34)*($GG$6:$GG$42=1))&gt;0)</f>
        <v/>
      </c>
      <c r="GI34">
        <f>$GI$33+--($GH34)</f>
        <v/>
      </c>
      <c r="GJ34">
        <f>IF(ROW()-3&gt;MAX($GI$4:$GI$40),"",INDEX($T$4:$T$40,MATCH(ROW()-3,$GI$4:$GI$40,0)))</f>
        <v/>
      </c>
      <c r="GK34">
        <f>IF(COUNTIF('Live Search'!BM$33:BP$33,0)+COUNTIF('Live Search'!BR$33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L34">
        <f>IF($AD$34="",FALSE,SUMPRODUCT(('Final Calculation Sheet'!$D$4:$D$40=$AD$34)*($GK$6:$GK$42=1))&gt;0)</f>
        <v/>
      </c>
      <c r="GM34">
        <f>$GM$33+--($GL34)</f>
        <v/>
      </c>
      <c r="GN34">
        <f>IF(ROW()-3&gt;MAX($GM$4:$GM$40),"",INDEX($AD$4:$AD$40,MATCH(ROW()-3,$GM$4:$GM$40,0)))</f>
        <v/>
      </c>
      <c r="GO34">
        <f>IF(COUNTIF('Live Search'!BM$33:BQ$33,0)+COUNTIF('Live Search'!BS$33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P34">
        <f>IF($AI$34="",FALSE,SUMPRODUCT(('Final Calculation Sheet'!$A$4:$A$40=$AI$34)*($GO$6:$GO$42=1))&gt;0)</f>
        <v/>
      </c>
      <c r="GQ34">
        <f>$GQ$33+--($GP34)</f>
        <v/>
      </c>
      <c r="GR34">
        <f>IF(ROW()-3&gt;MAX($GQ$4:$GQ$40),"",INDEX($AI$4:$AI$40,MATCH(ROW()-3,$GQ$4:$GQ$40,0)))</f>
        <v/>
      </c>
      <c r="GS34">
        <f>IF(COUNTIF('Live Search'!BM$33:BR$33,0)+COUNTIF('Live Search'!BT$33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T34">
        <f>IF($AN$34="",FALSE,SUMPRODUCT(('Final Calculation Sheet'!$E$4:$E$40=$AN$34)*($GS$6:$GS$42=1))&gt;0)</f>
        <v/>
      </c>
      <c r="GU34">
        <f>$GU$33+--($GT34)</f>
        <v/>
      </c>
      <c r="GV34">
        <f>IF(ROW()-3&gt;MAX($GU$4:$GU$40),"",INDEX($AN$4:$AN$40,MATCH(ROW()-3,$GU$4:$GU$40,0)))</f>
        <v/>
      </c>
      <c r="GW34">
        <f>IF(COUNTIF('Live Search'!BM$33:BS$33,0)+COUNTIF('Live Search'!BU$33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GX34">
        <f>IF($AS$34="",FALSE,SUMPRODUCT(('Final Calculation Sheet'!$C$4:$C$40=$AS$34)*($GW$6:$GW$42=1))&gt;0)</f>
        <v/>
      </c>
      <c r="GY34">
        <f>$GY$33+--($GX34)</f>
        <v/>
      </c>
      <c r="GZ34">
        <f>IF(ROW()-3&gt;MAX($GY$4:$GY$40),"",INDEX($AS$4:$AS$40,MATCH(ROW()-3,$GY$4:$GY$40,0)))</f>
        <v/>
      </c>
      <c r="HA34">
        <f>IF(COUNTIF('Live Search'!BM$33:BT$33,0)+COUNTIF('Live Search'!BV$33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B34">
        <f>IF($AX$34="",FALSE,SUMPRODUCT(('Final Calculation Sheet'!$H$4:$H$40=$AX$34)*($HA$6:$HA$42=1))&gt;0)</f>
        <v/>
      </c>
      <c r="HC34">
        <f>$HC$33+--($HB34)</f>
        <v/>
      </c>
      <c r="HD34">
        <f>IF(ROW()-3&gt;MAX($HC$4:$HC$40),"",INDEX($AX$4:$AX$40,MATCH(ROW()-3,$HC$4:$HC$40,0)))</f>
        <v/>
      </c>
      <c r="HE34">
        <f>IF(COUNTIF('Live Search'!BM$33:BU$33,0)+COUNTIF('Live Search'!BW$33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F34">
        <f>IF($BC$34="",FALSE,SUMPRODUCT(('Final Calculation Sheet'!$I$4:$I$40=$BC$34)*($HE$6:$HE$42=1))&gt;0)</f>
        <v/>
      </c>
      <c r="HG34">
        <f>$HG$33+--($HF34)</f>
        <v/>
      </c>
      <c r="HH34">
        <f>IF(ROW()-3&gt;MAX($HG$4:$HG$40),"",INDEX($BC$4:$BC$40,MATCH(ROW()-3,$HG$4:$HG$40,0)))</f>
        <v/>
      </c>
      <c r="HI34">
        <f>IF(COUNTIF('Live Search'!BM$33:BV$33,0)+COUNTIF('Live Search'!BX$33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J34">
        <f>IF($BH$34="",FALSE,SUMPRODUCT(('Final Calculation Sheet'!$J$4:$J$40=$BH$34)*($HI$6:$HI$42=1))&gt;0)</f>
        <v/>
      </c>
      <c r="HK34">
        <f>$HK$33+--($HJ34)</f>
        <v/>
      </c>
      <c r="HL34">
        <f>IF(ROW()-3&gt;MAX($HK$4:$HK$40),"",INDEX($BH$4:$BH$40,MATCH(ROW()-3,$HK$4:$HK$40,0)))</f>
        <v/>
      </c>
      <c r="HM34">
        <f>IF(COUNTIF('Live Search'!BM$33:BW$33,0)+COUNTIF('Live Search'!BY$33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N34">
        <f>IF($BM$34="",FALSE,SUMPRODUCT(('Final Calculation Sheet'!$K$4:$K$40=$BM$34)*($HM$6:$HM$42=1))&gt;0)</f>
        <v/>
      </c>
      <c r="HO34">
        <f>$HO$33+--($HN34)</f>
        <v/>
      </c>
      <c r="HP34">
        <f>IF(ROW()-3&gt;MAX($HO$4:$HO$40),"",INDEX($BM$4:$BM$40,MATCH(ROW()-3,$HO$4:$HO$40,0)))</f>
        <v/>
      </c>
      <c r="HQ34">
        <f>IF(COUNTIF('Live Search'!BM$33:BX$33,0)+COUNTIF('Live Search'!BZ$33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R34">
        <f>IF($BR$34="",FALSE,SUMPRODUCT(('Final Calculation Sheet'!$L$4:$L$40=$BR$34)*($HQ$6:$HQ$42=1))&gt;0)</f>
        <v/>
      </c>
      <c r="HS34">
        <f>$HS$33+--($HR34)</f>
        <v/>
      </c>
      <c r="HT34">
        <f>IF(ROW()-3&gt;MAX($HS$4:$HS$40),"",INDEX($BR$4:$BR$40,MATCH(ROW()-3,$HS$4:$HS$40,0)))</f>
        <v/>
      </c>
      <c r="HU34">
        <f>IF(COUNTIF('Live Search'!BM$33:BY$33,0)+COUNTIF('Live Search'!CA$33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V34">
        <f>IF($BW$34="",FALSE,SUMPRODUCT(('Final Calculation Sheet'!$M$4:$M$40=$BW$34)*($HU$6:$HU$42=1))&gt;0)</f>
        <v/>
      </c>
      <c r="HW34">
        <f>$HW$33+--($HV34)</f>
        <v/>
      </c>
      <c r="HX34">
        <f>IF(ROW()-3&gt;MAX($HW$4:$HW$40),"",INDEX($BW$4:$BW$40,MATCH(ROW()-3,$HW$4:$HW$40,0)))</f>
        <v/>
      </c>
      <c r="HY34">
        <f>IF(COUNTIF('Live Search'!BM$33:BZ$33,0)+COUNTIF('Live Search'!CB$33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HZ34">
        <f>IF($CB$34="",FALSE,SUMPRODUCT(('Final Calculation Sheet'!$N$4:$N$40=$CB$34)*($HY$6:$HY$42=1))&gt;0)</f>
        <v/>
      </c>
      <c r="IA34">
        <f>$IA$33+--($HZ34)</f>
        <v/>
      </c>
      <c r="IB34">
        <f>IF(ROW()-3&gt;MAX($IA$4:$IA$40),"",INDEX($CB$4:$CB$40,MATCH(ROW()-3,$IA$4:$IA$40,0)))</f>
        <v/>
      </c>
      <c r="IC34">
        <f>IF(COUNTIF('Live Search'!BM$33:CA$33,0)+COUNTIF('Live Search'!CC$33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D34">
        <f>IF($CG$34="",FALSE,SUMPRODUCT(('Final Calculation Sheet'!$O$4:$O$40=$CG$34)*($IC$6:$IC$42=1))&gt;0)</f>
        <v/>
      </c>
      <c r="IE34">
        <f>$IE$33+--($ID34)</f>
        <v/>
      </c>
      <c r="IF34">
        <f>IF(ROW()-3&gt;MAX($IE$4:$IE$40),"",INDEX($CG$4:$CG$40,MATCH(ROW()-3,$IE$4:$IE$40,0)))</f>
        <v/>
      </c>
      <c r="IG34">
        <f>IF(COUNTIF('Live Search'!BM$33:CB$33,0)+COUNTIF('Live Search'!CD$33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H34">
        <f>IF($CL$34="",FALSE,SUMPRODUCT(('Final Calculation Sheet'!$P$4:$P$40=$CL$34)*($IG$6:$IG$42=1))&gt;0)</f>
        <v/>
      </c>
      <c r="II34">
        <f>$II$33+--($IH34)</f>
        <v/>
      </c>
      <c r="IJ34">
        <f>IF(ROW()-3&gt;MAX($II$4:$II$40),"",INDEX($CL$4:$CL$40,MATCH(ROW()-3,$II$4:$II$40,0)))</f>
        <v/>
      </c>
      <c r="IK34">
        <f>IF(COUNTIF('Live Search'!BM$33:CC$33,0)+COUNTIF('Live Search'!CE$33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L34">
        <f>IF($CQ$34="",FALSE,SUMPRODUCT(('Final Calculation Sheet'!$Q$4:$Q$40=$CQ$34)*($IK$6:$IK$42=1))&gt;0)</f>
        <v/>
      </c>
      <c r="IM34">
        <f>$IM$33+--($IL34)</f>
        <v/>
      </c>
      <c r="IN34">
        <f>IF(ROW()-3&gt;MAX($IM$4:$IM$40),"",INDEX($CQ$4:$CQ$40,MATCH(ROW()-3,$IM$4:$IM$40,0)))</f>
        <v/>
      </c>
      <c r="IO34">
        <f>IF(COUNTIF('Live Search'!BM$33:CD$33,0)+COUNTIF('Live Search'!CF$33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P34">
        <f>IF($CV$34="",FALSE,SUMPRODUCT(('Final Calculation Sheet'!$R$4:$R$40=$CV$34)*($IO$6:$IO$42=1))&gt;0)</f>
        <v/>
      </c>
      <c r="IQ34">
        <f>$IQ$33+--($IP34)</f>
        <v/>
      </c>
      <c r="IR34">
        <f>IF(ROW()-3&gt;MAX($IQ$4:$IQ$40),"",INDEX($CV$4:$CV$40,MATCH(ROW()-3,$IQ$4:$IQ$40,0)))</f>
        <v/>
      </c>
      <c r="IS34">
        <f>IF(COUNTIF('Live Search'!BM$33:CE$33,0)+COUNTIF('Live Search'!CG$33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T34">
        <f>IF($DA$34="",FALSE,SUMPRODUCT(('Final Calculation Sheet'!$S$4:$S$40=$DA$34)*($IS$6:$IS$42=1))&gt;0)</f>
        <v/>
      </c>
      <c r="IU34">
        <f>$IU$33+--($IT34)</f>
        <v/>
      </c>
      <c r="IV34">
        <f>IF(ROW()-3&gt;MAX($IU$4:$IU$40),"",INDEX($DA$4:$DA$40,MATCH(ROW()-3,$IU$4:$IU$40,0)))</f>
        <v/>
      </c>
      <c r="IW34">
        <f>IF(COUNTIF('Live Search'!BM$33:CF$33,0)+COUNTIF('Live Search'!CH$33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IX34">
        <f>IF($DF$34="",FALSE,SUMPRODUCT(('Final Calculation Sheet'!$T$4:$T$40=$DF$34)*($IW$6:$IW$42=1))&gt;0)</f>
        <v/>
      </c>
      <c r="IY34">
        <f>$IY$33+--($IX34)</f>
        <v/>
      </c>
      <c r="IZ34">
        <f>IF(ROW()-3&gt;MAX($IY$4:$IY$40),"",INDEX($DF$4:$DF$40,MATCH(ROW()-3,$IY$4:$IY$40,0)))</f>
        <v/>
      </c>
      <c r="JA34">
        <f>IF(COUNTIF('Live Search'!BM$33:CG$33,0)+COUNTIF('Live Search'!CI$33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B34">
        <f>IF($DK$34="",FALSE,SUMPRODUCT(('Final Calculation Sheet'!$U$4:$U$40=$DK$34)*($JA$6:$JA$42=1))&gt;0)</f>
        <v/>
      </c>
      <c r="JC34">
        <f>$JC$33+--($JB34)</f>
        <v/>
      </c>
      <c r="JD34">
        <f>IF(ROW()-3&gt;MAX($JC$4:$JC$40),"",INDEX($DK$4:$DK$40,MATCH(ROW()-3,$JC$4:$JC$40,0)))</f>
        <v/>
      </c>
      <c r="JE34">
        <f>IF(COUNTIF('Live Search'!BM$33:CH$33,0)+COUNTIF('Live Search'!CJ$33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F34">
        <f>IF($DP$34="",FALSE,SUMPRODUCT(('Final Calculation Sheet'!$V$4:$V$40=$DP$34)*($JE$6:$JE$42=1))&gt;0)</f>
        <v/>
      </c>
      <c r="JG34">
        <f>$JG$33+--($JF34)</f>
        <v/>
      </c>
      <c r="JH34">
        <f>IF(ROW()-3&gt;MAX($JG$4:$JG$40),"",INDEX($DP$4:$DP$40,MATCH(ROW()-3,$JG$4:$JG$40,0)))</f>
        <v/>
      </c>
      <c r="JI34">
        <f>IF(COUNTIF('Live Search'!BM$33:CI$33,0)+COUNTIF('Live Search'!CK$33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J34">
        <f>IF($DU$34="",FALSE,SUMPRODUCT(('Final Calculation Sheet'!$W$4:$W$40=$DU$34)*($JI$6:$JI$42=1))&gt;0)</f>
        <v/>
      </c>
      <c r="JK34">
        <f>$JK$33+--($JJ34)</f>
        <v/>
      </c>
      <c r="JL34">
        <f>IF(ROW()-3&gt;MAX($JK$4:$JK$40),"",INDEX($DU$4:$DU$40,MATCH(ROW()-3,$JK$4:$JK$40,0)))</f>
        <v/>
      </c>
      <c r="JM34">
        <f>IF(COUNTIF('Live Search'!BM$33:CJ$33,0)+COUNTIF('Live Search'!CL$33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N34">
        <f>IF($DZ$34="",FALSE,SUMPRODUCT(('Final Calculation Sheet'!$X$4:$X$40=$DZ$34)*($JM$6:$JM$42=1))&gt;0)</f>
        <v/>
      </c>
      <c r="JO34">
        <f>$JO$33+--($JN34)</f>
        <v/>
      </c>
      <c r="JP34">
        <f>IF(ROW()-3&gt;MAX($JO$4:$JO$40),"",INDEX($DZ$4:$DZ$40,MATCH(ROW()-3,$JO$4:$JO$40,0)))</f>
        <v/>
      </c>
      <c r="JQ34">
        <f>IF(COUNTIF('Live Search'!BM$33:CK$33,0)+COUNTIF('Live Search'!C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R34">
        <f>IF($EE$34="",FALSE,SUMPRODUCT(('Final Calculation Sheet'!$Y$4:$Y$40=$EE$34)*($JQ$6:$JQ$42=1))&gt;0)</f>
        <v/>
      </c>
      <c r="JS34">
        <f>$JS$33+--($JR34)</f>
        <v/>
      </c>
      <c r="JT34">
        <f>IF(ROW()-3&gt;MAX($JS$4:$JS$40),"",INDEX($EE$4:$EE$40,MATCH(ROW()-3,$JS$4:$JS$40,0)))</f>
        <v/>
      </c>
      <c r="JU34">
        <f>IF(COUNTIF('Live Search'!BM$33:CL$33,0)+COUNTIF('Live Search'!CN$33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V34">
        <f>IF($EJ$34="",FALSE,SUMPRODUCT(('Final Calculation Sheet'!$Z$4:$Z$40=$EJ$34)*($JU$6:$JU$42=1))&gt;0)</f>
        <v/>
      </c>
      <c r="JW34">
        <f>$JW$33+--($JV34)</f>
        <v/>
      </c>
      <c r="JX34">
        <f>IF(ROW()-3&gt;MAX($JW$4:$JW$40),"",INDEX($EJ$4:$EJ$40,MATCH(ROW()-3,$JW$4:$JW$40,0)))</f>
        <v/>
      </c>
      <c r="JY34">
        <f>IF(COUNTIF('Live Search'!BM$33:CM$33,0)+COUNTIF('Live Search'!CO$33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JZ34">
        <f>IF($EO$34="",FALSE,SUMPRODUCT(('Final Calculation Sheet'!$AA$4:$AA$40=$EO$34)*($JY$6:$JY$42=1))&gt;0)</f>
        <v/>
      </c>
      <c r="KA34">
        <f>$KA$33+--($JZ34)</f>
        <v/>
      </c>
      <c r="KB34">
        <f>IF(ROW()-3&gt;MAX($KA$4:$KA$40),"",INDEX($EO$4:$EO$40,MATCH(ROW()-3,$KA$4:$KA$40,0)))</f>
        <v/>
      </c>
      <c r="KC34">
        <f>IF(COUNTIF('Live Search'!BM$33:CN$33,0)+COUNTIF('Live Search'!CP$33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D34">
        <f>IF($ET$34="",FALSE,SUMPRODUCT(('Final Calculation Sheet'!$AB$4:$AB$40=$ET$34)*($KC$6:$KC$42=1))&gt;0)</f>
        <v/>
      </c>
      <c r="KE34">
        <f>$KE$33+--($KD34)</f>
        <v/>
      </c>
      <c r="KF34">
        <f>IF(ROW()-3&gt;MAX($KE$4:$KE$40),"",INDEX($ET$4:$ET$40,MATCH(ROW()-3,$KE$4:$KE$40,0)))</f>
        <v/>
      </c>
      <c r="KG34">
        <f>IF(COUNTIF('Live Search'!BM$33:CO$33,0)+COUNTIF('Live Search'!CQ$33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H34">
        <f>IF($EY$34="",FALSE,SUMPRODUCT(('Final Calculation Sheet'!$AC$4:$AC$40=$EY$34)*($KG$6:$KG$42=1))&gt;0)</f>
        <v/>
      </c>
      <c r="KI34">
        <f>$KI$33+--($KH34)</f>
        <v/>
      </c>
      <c r="KJ34">
        <f>IF(ROW()-3&gt;MAX($KI$4:$KI$40),"",INDEX($EY$4:$EY$40,MATCH(ROW()-3,$KI$4:$KI$40,0)))</f>
        <v/>
      </c>
      <c r="KK34">
        <f>IF(COUNTIF('Live Search'!BM$33:CP$33,0)+COUNTIF('Live Search'!CR$33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L34">
        <f>IF($FD$34="",FALSE,SUMPRODUCT(('Final Calculation Sheet'!$AD$4:$AD$40=$FD$34)*($KK$6:$KK$42=1))&gt;0)</f>
        <v/>
      </c>
      <c r="KM34">
        <f>$KM$33+--($KL34)</f>
        <v/>
      </c>
      <c r="KN34">
        <f>IF(ROW()-3&gt;MAX($KM$4:$KM$40),"",INDEX($FD$4:$FD$40,MATCH(ROW()-3,$KM$4:$KM$40,0)))</f>
        <v/>
      </c>
      <c r="KO34">
        <f>IF(COUNTIF('Live Search'!BM$33:CT$33,0)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P34">
        <f>IF($FX$34="",FALSE,SUMPRODUCT((IF('Final Calculation Sheet'!$AD$4:$AD$40&lt;=5,"SETTLED","OUTSTANDING")=$FX$34)*($KO$6:$KO$42=1))&gt;0)</f>
        <v/>
      </c>
      <c r="KQ34">
        <f>$KQ$33+--($KP34)</f>
        <v/>
      </c>
      <c r="KR34">
        <f>IF(ROW()-3&gt;MAX($KQ$4:$KQ$40),"",INDEX($FX$4:$FX$40,MATCH(ROW()-3,$KQ$4:$KQ$40,0)))</f>
        <v/>
      </c>
      <c r="KS34">
        <f>IF(COUNTIF('Live Search'!BM$33:CQ$33,0)+COUNTIF('Live Search'!CS$33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T34">
        <f>IF($FI$34="",FALSE,SUMPRODUCT(('Final Calculation Sheet'!$AF$4:$AF$40=$FI$34)*($KS$6:$KS$42=1))&gt;0)</f>
        <v/>
      </c>
      <c r="KU34">
        <f>$KU$33+--($KT34)</f>
        <v/>
      </c>
      <c r="KV34">
        <f>IF(ROW()-3&gt;MAX($KU$4:$KU$40),"",INDEX($FI$4:$FI$40,MATCH(ROW()-3,$KU$4:$KU$40,0)))</f>
        <v/>
      </c>
      <c r="KW34">
        <f>IF(COUNTIF('Live Search'!BM$33:CR$33,0)+COUNTIF('Live Search'!CT$33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KX34">
        <f>IF($FN$34="",FALSE,SUMPRODUCT(('Final Calculation Sheet'!$AG$4:$AG$40=$FN$34)*($KW$6:$KW$42=1))&gt;0)</f>
        <v/>
      </c>
      <c r="KY34">
        <f>$KY$33+--($KX34)</f>
        <v/>
      </c>
      <c r="KZ34">
        <f>IF(ROW()-3&gt;MAX($KY$4:$KY$40),"",INDEX($FN$4:$FN$40,MATCH(ROW()-3,$KY$4:$KY$40,0)))</f>
        <v/>
      </c>
      <c r="LA34">
        <f>IF(COUNTIF('Live Search'!BM$33:CS$33,0)+COUNTIF('Live Search'!CU$33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LB34">
        <f>IF($FS$34="",FALSE,SUMPRODUCT(('Final Calculation Sheet'!$AH$4:$AH$40=$FS$34)*($LA$6:$LA$42=1))&gt;0)</f>
        <v/>
      </c>
      <c r="LC34">
        <f>$LC$33+--($LB34)</f>
        <v/>
      </c>
      <c r="LD34">
        <f>IF(ROW()-3&gt;MAX($LC$4:$LC$40),"",INDEX($FS$4:$FS$40,MATCH(ROW()-3,$LC$4:$LC$40,0)))</f>
        <v/>
      </c>
      <c r="LE34">
        <f>IF(COUNTIF('Buyer Groups'!DH87:EN87,0)&gt;0,0,1)</f>
        <v/>
      </c>
      <c r="LF34">
        <f>IF($O$34="",FALSE,SUMPRODUCT(('Final Calculation Sheet'!$F$4:$F$40=$O$34)*($LE$6:$LE$42=1))&gt;0)</f>
        <v/>
      </c>
      <c r="LG34">
        <f>$LG$33+--($LF34)</f>
        <v/>
      </c>
      <c r="LH34">
        <f>IF(ROW()-3&gt;MAX($LG$4:$LG$40),"",INDEX($O$4:$O$40,MATCH(ROW()-3,$LG$4:$LG$40,0)))</f>
        <v/>
      </c>
      <c r="LI34">
        <f>IF(COUNTIF('Buyer Groups'!DG87:DG87,0)+COUNTIF('Buyer Groups'!DI87:EN87,0)&gt;0,0,1)</f>
        <v/>
      </c>
      <c r="LJ34">
        <f>IF($T$34="",FALSE,SUMPRODUCT(('Final Calculation Sheet'!$G$4:$G$40=$T$34)*($LI$6:$LI$42=1))&gt;0)</f>
        <v/>
      </c>
      <c r="LK34">
        <f>$LK$33+--($LJ34)</f>
        <v/>
      </c>
      <c r="LL34">
        <f>IF(ROW()-3&gt;MAX($LK$4:$LK$40),"",INDEX($T$4:$T$40,MATCH(ROW()-3,$LK$4:$LK$40,0)))</f>
        <v/>
      </c>
      <c r="LM34">
        <f>IF(COUNTIF('Buyer Groups'!DG87:DH87,0)+COUNTIF('Buyer Groups'!DJ87:EN87,0)&gt;0,0,1)</f>
        <v/>
      </c>
      <c r="LN34">
        <f>IF($Y$34="",FALSE,SUMPRODUCT(('Final Calculation Sheet'!$B$4:$B$40=$Y$34)*($LM$6:$LM$42=1))&gt;0)</f>
        <v/>
      </c>
      <c r="LO34">
        <f>$LO$33+--($LN34)</f>
        <v/>
      </c>
      <c r="LP34">
        <f>IF(ROW()-3&gt;MAX($LO$4:$LO$40),"",INDEX($Y$4:$Y$40,MATCH(ROW()-3,$LO$4:$LO$40,0)))</f>
        <v/>
      </c>
      <c r="LQ34">
        <f>IF(COUNTIF('Buyer Groups'!DG87:DI87,0)+COUNTIF('Buyer Groups'!DK87:EN87,0)&gt;0,0,1)</f>
        <v/>
      </c>
      <c r="LR34">
        <f>IF($AD$34="",FALSE,SUMPRODUCT(('Final Calculation Sheet'!$D$4:$D$40=$AD$34)*($LQ$6:$LQ$42=1))&gt;0)</f>
        <v/>
      </c>
      <c r="LS34">
        <f>$LS$33+--($LR34)</f>
        <v/>
      </c>
      <c r="LT34">
        <f>IF(ROW()-3&gt;MAX($LS$4:$LS$40),"",INDEX($AD$4:$AD$40,MATCH(ROW()-3,$LS$4:$LS$40,0)))</f>
        <v/>
      </c>
      <c r="LU34">
        <f>IF(COUNTIF('Buyer Groups'!DG87:DJ87,0)+COUNTIF('Buyer Groups'!DL87:EN87,0)&gt;0,0,1)</f>
        <v/>
      </c>
      <c r="LV34">
        <f>IF($AI$34="",FALSE,SUMPRODUCT(('Final Calculation Sheet'!$A$4:$A$40=$AI$34)*($LU$6:$LU$42=1))&gt;0)</f>
        <v/>
      </c>
      <c r="LW34">
        <f>$LW$33+--($LV34)</f>
        <v/>
      </c>
      <c r="LX34">
        <f>IF(ROW()-3&gt;MAX($LW$4:$LW$40),"",INDEX($AI$4:$AI$40,MATCH(ROW()-3,$LW$4:$LW$40,0)))</f>
        <v/>
      </c>
      <c r="LY34">
        <f>IF(COUNTIF('Buyer Groups'!DG87:DK87,0)+COUNTIF('Buyer Groups'!DM87:EN87,0)&gt;0,0,1)</f>
        <v/>
      </c>
      <c r="LZ34">
        <f>IF($AN$34="",FALSE,SUMPRODUCT(('Final Calculation Sheet'!$E$4:$E$40=$AN$34)*($LY$6:$LY$42=1))&gt;0)</f>
        <v/>
      </c>
      <c r="MA34">
        <f>$MA$33+--($LZ34)</f>
        <v/>
      </c>
      <c r="MB34">
        <f>IF(ROW()-3&gt;MAX($MA$4:$MA$40),"",INDEX($AN$4:$AN$40,MATCH(ROW()-3,$MA$4:$MA$40,0)))</f>
        <v/>
      </c>
      <c r="MC34">
        <f>IF(COUNTIF('Buyer Groups'!DG87:DL87,0)+COUNTIF('Buyer Groups'!DN87:EN87,0)&gt;0,0,1)</f>
        <v/>
      </c>
      <c r="MD34">
        <f>IF($AS$34="",FALSE,SUMPRODUCT(('Final Calculation Sheet'!$C$4:$C$40=$AS$34)*($MC$6:$MC$42=1))&gt;0)</f>
        <v/>
      </c>
      <c r="ME34">
        <f>$ME$33+--($MD34)</f>
        <v/>
      </c>
      <c r="MF34">
        <f>IF(ROW()-3&gt;MAX($ME$4:$ME$40),"",INDEX($AS$4:$AS$40,MATCH(ROW()-3,$ME$4:$ME$40,0)))</f>
        <v/>
      </c>
      <c r="MG34">
        <f>IF(COUNTIF('Buyer Groups'!DG87:DM87,0)+COUNTIF('Buyer Groups'!DO87:EN87,0)&gt;0,0,1)</f>
        <v/>
      </c>
      <c r="MH34">
        <f>IF($AX$34="",FALSE,SUMPRODUCT(('Final Calculation Sheet'!$H$4:$H$40=$AX$34)*($MG$6:$MG$42=1))&gt;0)</f>
        <v/>
      </c>
      <c r="MI34">
        <f>$MI$33+--($MH34)</f>
        <v/>
      </c>
      <c r="MJ34">
        <f>IF(ROW()-3&gt;MAX($MI$4:$MI$40),"",INDEX($AX$4:$AX$40,MATCH(ROW()-3,$MI$4:$MI$40,0)))</f>
        <v/>
      </c>
      <c r="MK34">
        <f>IF(COUNTIF('Buyer Groups'!DG87:DN87,0)+COUNTIF('Buyer Groups'!DP87:EN87,0)&gt;0,0,1)</f>
        <v/>
      </c>
      <c r="ML34">
        <f>IF($BC$34="",FALSE,SUMPRODUCT(('Final Calculation Sheet'!$I$4:$I$40=$BC$34)*($MK$6:$MK$42=1))&gt;0)</f>
        <v/>
      </c>
      <c r="MM34">
        <f>$MM$33+--($ML34)</f>
        <v/>
      </c>
      <c r="MN34">
        <f>IF(ROW()-3&gt;MAX($MM$4:$MM$40),"",INDEX($BC$4:$BC$40,MATCH(ROW()-3,$MM$4:$MM$40,0)))</f>
        <v/>
      </c>
      <c r="MO34">
        <f>IF(COUNTIF('Buyer Groups'!DG87:DO87,0)+COUNTIF('Buyer Groups'!DQ87:EN87,0)&gt;0,0,1)</f>
        <v/>
      </c>
      <c r="MP34">
        <f>IF($BH$34="",FALSE,SUMPRODUCT(('Final Calculation Sheet'!$J$4:$J$40=$BH$34)*($MO$6:$MO$42=1))&gt;0)</f>
        <v/>
      </c>
      <c r="MQ34">
        <f>$MQ$33+--($MP34)</f>
        <v/>
      </c>
      <c r="MR34">
        <f>IF(ROW()-3&gt;MAX($MQ$4:$MQ$40),"",INDEX($BH$4:$BH$40,MATCH(ROW()-3,$MQ$4:$MQ$40,0)))</f>
        <v/>
      </c>
      <c r="MS34">
        <f>IF(COUNTIF('Buyer Groups'!DG87:DP87,0)+COUNTIF('Buyer Groups'!DR87:EN87,0)&gt;0,0,1)</f>
        <v/>
      </c>
      <c r="MT34">
        <f>IF($BM$34="",FALSE,SUMPRODUCT(('Final Calculation Sheet'!$K$4:$K$40=$BM$34)*($MS$6:$MS$42=1))&gt;0)</f>
        <v/>
      </c>
      <c r="MU34">
        <f>$MU$33+--($MT34)</f>
        <v/>
      </c>
      <c r="MV34">
        <f>IF(ROW()-3&gt;MAX($MU$4:$MU$40),"",INDEX($BM$4:$BM$40,MATCH(ROW()-3,$MU$4:$MU$40,0)))</f>
        <v/>
      </c>
      <c r="MW34">
        <f>IF(COUNTIF('Buyer Groups'!DG87:DQ87,0)+COUNTIF('Buyer Groups'!DS87:EN87,0)&gt;0,0,1)</f>
        <v/>
      </c>
      <c r="MX34">
        <f>IF($BR$34="",FALSE,SUMPRODUCT(('Final Calculation Sheet'!$L$4:$L$40=$BR$34)*($MW$6:$MW$42=1))&gt;0)</f>
        <v/>
      </c>
      <c r="MY34">
        <f>$MY$33+--($MX34)</f>
        <v/>
      </c>
      <c r="MZ34">
        <f>IF(ROW()-3&gt;MAX($MY$4:$MY$40),"",INDEX($BR$4:$BR$40,MATCH(ROW()-3,$MY$4:$MY$40,0)))</f>
        <v/>
      </c>
      <c r="NA34">
        <f>IF(COUNTIF('Buyer Groups'!DG87:DR87,0)+COUNTIF('Buyer Groups'!DT87:EN87,0)&gt;0,0,1)</f>
        <v/>
      </c>
      <c r="NB34">
        <f>IF($BW$34="",FALSE,SUMPRODUCT(('Final Calculation Sheet'!$M$4:$M$40=$BW$34)*($NA$6:$NA$42=1))&gt;0)</f>
        <v/>
      </c>
      <c r="NC34">
        <f>$NC$33+--($NB34)</f>
        <v/>
      </c>
      <c r="ND34">
        <f>IF(ROW()-3&gt;MAX($NC$4:$NC$40),"",INDEX($BW$4:$BW$40,MATCH(ROW()-3,$NC$4:$NC$40,0)))</f>
        <v/>
      </c>
      <c r="NE34">
        <f>IF(COUNTIF('Buyer Groups'!DG87:DS87,0)+COUNTIF('Buyer Groups'!DU87:EN87,0)&gt;0,0,1)</f>
        <v/>
      </c>
      <c r="NF34">
        <f>IF($CB$34="",FALSE,SUMPRODUCT(('Final Calculation Sheet'!$N$4:$N$40=$CB$34)*($NE$6:$NE$42=1))&gt;0)</f>
        <v/>
      </c>
      <c r="NG34">
        <f>$NG$33+--($NF34)</f>
        <v/>
      </c>
      <c r="NH34">
        <f>IF(ROW()-3&gt;MAX($NG$4:$NG$40),"",INDEX($CB$4:$CB$40,MATCH(ROW()-3,$NG$4:$NG$40,0)))</f>
        <v/>
      </c>
      <c r="NI34">
        <f>IF(COUNTIF('Buyer Groups'!DG87:DT87,0)+COUNTIF('Buyer Groups'!DV87:EN87,0)&gt;0,0,1)</f>
        <v/>
      </c>
      <c r="NJ34">
        <f>IF($CG$34="",FALSE,SUMPRODUCT(('Final Calculation Sheet'!$O$4:$O$40=$CG$34)*($NI$6:$NI$42=1))&gt;0)</f>
        <v/>
      </c>
      <c r="NK34">
        <f>$NK$33+--($NJ34)</f>
        <v/>
      </c>
      <c r="NL34">
        <f>IF(ROW()-3&gt;MAX($NK$4:$NK$40),"",INDEX($CG$4:$CG$40,MATCH(ROW()-3,$NK$4:$NK$40,0)))</f>
        <v/>
      </c>
      <c r="NM34">
        <f>IF(COUNTIF('Buyer Groups'!DG87:DU87,0)+COUNTIF('Buyer Groups'!DW87:EN87,0)&gt;0,0,1)</f>
        <v/>
      </c>
      <c r="NN34">
        <f>IF($CL$34="",FALSE,SUMPRODUCT(('Final Calculation Sheet'!$P$4:$P$40=$CL$34)*($NM$6:$NM$42=1))&gt;0)</f>
        <v/>
      </c>
      <c r="NO34">
        <f>$NO$33+--($NN34)</f>
        <v/>
      </c>
      <c r="NP34">
        <f>IF(ROW()-3&gt;MAX($NO$4:$NO$40),"",INDEX($CL$4:$CL$40,MATCH(ROW()-3,$NO$4:$NO$40,0)))</f>
        <v/>
      </c>
      <c r="NQ34">
        <f>IF(COUNTIF('Buyer Groups'!DG87:DV87,0)+COUNTIF('Buyer Groups'!DX87:EN87,0)&gt;0,0,1)</f>
        <v/>
      </c>
      <c r="NR34">
        <f>IF($CQ$34="",FALSE,SUMPRODUCT(('Final Calculation Sheet'!$Q$4:$Q$40=$CQ$34)*($NQ$6:$NQ$42=1))&gt;0)</f>
        <v/>
      </c>
      <c r="NS34">
        <f>$NS$33+--($NR34)</f>
        <v/>
      </c>
      <c r="NT34">
        <f>IF(ROW()-3&gt;MAX($NS$4:$NS$40),"",INDEX($CQ$4:$CQ$40,MATCH(ROW()-3,$NS$4:$NS$40,0)))</f>
        <v/>
      </c>
      <c r="NU34">
        <f>IF(COUNTIF('Buyer Groups'!DG87:DW87,0)+COUNTIF('Buyer Groups'!DY87:EN87,0)&gt;0,0,1)</f>
        <v/>
      </c>
      <c r="NV34">
        <f>IF($CV$34="",FALSE,SUMPRODUCT(('Final Calculation Sheet'!$R$4:$R$40=$CV$34)*($NU$6:$NU$42=1))&gt;0)</f>
        <v/>
      </c>
      <c r="NW34">
        <f>$NW$33+--($NV34)</f>
        <v/>
      </c>
      <c r="NX34">
        <f>IF(ROW()-3&gt;MAX($NW$4:$NW$40),"",INDEX($CV$4:$CV$40,MATCH(ROW()-3,$NW$4:$NW$40,0)))</f>
        <v/>
      </c>
      <c r="NY34">
        <f>IF(COUNTIF('Buyer Groups'!DG87:DX87,0)+COUNTIF('Buyer Groups'!DZ87:EN87,0)&gt;0,0,1)</f>
        <v/>
      </c>
      <c r="NZ34">
        <f>IF($DA$34="",FALSE,SUMPRODUCT(('Final Calculation Sheet'!$S$4:$S$40=$DA$34)*($NY$6:$NY$42=1))&gt;0)</f>
        <v/>
      </c>
      <c r="OA34">
        <f>$OA$33+--($NZ34)</f>
        <v/>
      </c>
      <c r="OB34">
        <f>IF(ROW()-3&gt;MAX($OA$4:$OA$40),"",INDEX($DA$4:$DA$40,MATCH(ROW()-3,$OA$4:$OA$40,0)))</f>
        <v/>
      </c>
      <c r="OC34">
        <f>IF(COUNTIF('Buyer Groups'!DG87:DY87,0)+COUNTIF('Buyer Groups'!EA87:EN87,0)&gt;0,0,1)</f>
        <v/>
      </c>
      <c r="OD34">
        <f>IF($DF$34="",FALSE,SUMPRODUCT(('Final Calculation Sheet'!$T$4:$T$40=$DF$34)*($OC$6:$OC$42=1))&gt;0)</f>
        <v/>
      </c>
      <c r="OE34">
        <f>$OE$33+--($OD34)</f>
        <v/>
      </c>
      <c r="OF34">
        <f>IF(ROW()-3&gt;MAX($OE$4:$OE$40),"",INDEX($DF$4:$DF$40,MATCH(ROW()-3,$OE$4:$OE$40,0)))</f>
        <v/>
      </c>
      <c r="OG34">
        <f>IF(COUNTIF('Buyer Groups'!DG87:DZ87,0)+COUNTIF('Buyer Groups'!EB87:EN87,0)&gt;0,0,1)</f>
        <v/>
      </c>
      <c r="OH34">
        <f>IF($DK$34="",FALSE,SUMPRODUCT(('Final Calculation Sheet'!$U$4:$U$40=$DK$34)*($OG$6:$OG$42=1))&gt;0)</f>
        <v/>
      </c>
      <c r="OI34">
        <f>$OI$33+--($OH34)</f>
        <v/>
      </c>
      <c r="OJ34">
        <f>IF(ROW()-3&gt;MAX($OI$4:$OI$40),"",INDEX($DK$4:$DK$40,MATCH(ROW()-3,$OI$4:$OI$40,0)))</f>
        <v/>
      </c>
      <c r="OK34">
        <f>IF(COUNTIF('Buyer Groups'!DG87:EA87,0)+COUNTIF('Buyer Groups'!EC87:EN87,0)&gt;0,0,1)</f>
        <v/>
      </c>
      <c r="OL34">
        <f>IF($DP$34="",FALSE,SUMPRODUCT(('Final Calculation Sheet'!$V$4:$V$40=$DP$34)*($OK$6:$OK$42=1))&gt;0)</f>
        <v/>
      </c>
      <c r="OM34">
        <f>$OM$33+--($OL34)</f>
        <v/>
      </c>
      <c r="ON34">
        <f>IF(ROW()-3&gt;MAX($OM$4:$OM$40),"",INDEX($DP$4:$DP$40,MATCH(ROW()-3,$OM$4:$OM$40,0)))</f>
        <v/>
      </c>
      <c r="OO34">
        <f>IF(COUNTIF('Buyer Groups'!DG87:EB87,0)+COUNTIF('Buyer Groups'!ED87:EN87,0)&gt;0,0,1)</f>
        <v/>
      </c>
      <c r="OP34">
        <f>IF($DU$34="",FALSE,SUMPRODUCT(('Final Calculation Sheet'!$W$4:$W$40=$DU$34)*($OO$6:$OO$42=1))&gt;0)</f>
        <v/>
      </c>
      <c r="OQ34">
        <f>$OQ$33+--($OP34)</f>
        <v/>
      </c>
      <c r="OR34">
        <f>IF(ROW()-3&gt;MAX($OQ$4:$OQ$40),"",INDEX($DU$4:$DU$40,MATCH(ROW()-3,$OQ$4:$OQ$40,0)))</f>
        <v/>
      </c>
      <c r="OS34">
        <f>IF(COUNTIF('Buyer Groups'!DG87:EC87,0)+COUNTIF('Buyer Groups'!EE87:EN87,0)&gt;0,0,1)</f>
        <v/>
      </c>
      <c r="OT34">
        <f>IF($DZ$34="",FALSE,SUMPRODUCT(('Final Calculation Sheet'!$X$4:$X$40=$DZ$34)*($OS$6:$OS$42=1))&gt;0)</f>
        <v/>
      </c>
      <c r="OU34">
        <f>$OU$33+--($OT34)</f>
        <v/>
      </c>
      <c r="OV34">
        <f>IF(ROW()-3&gt;MAX($OU$4:$OU$40),"",INDEX($DZ$4:$DZ$40,MATCH(ROW()-3,$OU$4:$OU$40,0)))</f>
        <v/>
      </c>
      <c r="OW34">
        <f>IF(COUNTIF('Buyer Groups'!DG87:ED87,0)+COUNTIF('Buyer Groups'!EF87:EN87,0)&gt;0,0,1)</f>
        <v/>
      </c>
      <c r="OX34">
        <f>IF($EE$34="",FALSE,SUMPRODUCT(('Final Calculation Sheet'!$Y$4:$Y$40=$EE$34)*($OW$6:$OW$42=1))&gt;0)</f>
        <v/>
      </c>
      <c r="OY34">
        <f>$OY$33+--($OX34)</f>
        <v/>
      </c>
      <c r="OZ34">
        <f>IF(ROW()-3&gt;MAX($OY$4:$OY$40),"",INDEX($EE$4:$EE$40,MATCH(ROW()-3,$OY$4:$OY$40,0)))</f>
        <v/>
      </c>
      <c r="PA34">
        <f>IF(COUNTIF('Buyer Groups'!DG87:EE87,0)+COUNTIF('Buyer Groups'!EG87:EN87,0)&gt;0,0,1)</f>
        <v/>
      </c>
      <c r="PB34">
        <f>IF($EJ$34="",FALSE,SUMPRODUCT(('Final Calculation Sheet'!$Z$4:$Z$40=$EJ$34)*($PA$6:$PA$42=1))&gt;0)</f>
        <v/>
      </c>
      <c r="PC34">
        <f>$PC$33+--($PB34)</f>
        <v/>
      </c>
      <c r="PD34">
        <f>IF(ROW()-3&gt;MAX($PC$4:$PC$40),"",INDEX($EJ$4:$EJ$40,MATCH(ROW()-3,$PC$4:$PC$40,0)))</f>
        <v/>
      </c>
      <c r="PE34">
        <f>IF(COUNTIF('Buyer Groups'!DG87:EF87,0)+COUNTIF('Buyer Groups'!EH87:EN87,0)&gt;0,0,1)</f>
        <v/>
      </c>
      <c r="PF34">
        <f>IF($EO$34="",FALSE,SUMPRODUCT(('Final Calculation Sheet'!$AA$4:$AA$40=$EO$34)*($PE$6:$PE$42=1))&gt;0)</f>
        <v/>
      </c>
      <c r="PG34">
        <f>$PG$33+--($PF34)</f>
        <v/>
      </c>
      <c r="PH34">
        <f>IF(ROW()-3&gt;MAX($PG$4:$PG$40),"",INDEX($EO$4:$EO$40,MATCH(ROW()-3,$PG$4:$PG$40,0)))</f>
        <v/>
      </c>
      <c r="PI34">
        <f>IF(COUNTIF('Buyer Groups'!DG87:EG87,0)+COUNTIF('Buyer Groups'!EI87:EN87,0)&gt;0,0,1)</f>
        <v/>
      </c>
      <c r="PJ34">
        <f>IF($ET$34="",FALSE,SUMPRODUCT(('Final Calculation Sheet'!$AB$4:$AB$40=$ET$34)*($PI$6:$PI$42=1))&gt;0)</f>
        <v/>
      </c>
      <c r="PK34">
        <f>$PK$33+--($PJ34)</f>
        <v/>
      </c>
      <c r="PL34">
        <f>IF(ROW()-3&gt;MAX($PK$4:$PK$40),"",INDEX($ET$4:$ET$40,MATCH(ROW()-3,$PK$4:$PK$40,0)))</f>
        <v/>
      </c>
      <c r="PM34">
        <f>IF(COUNTIF('Buyer Groups'!DG87:EH87,0)+COUNTIF('Buyer Groups'!EJ87:EN87,0)&gt;0,0,1)</f>
        <v/>
      </c>
      <c r="PN34">
        <f>IF($EY$34="",FALSE,SUMPRODUCT(('Final Calculation Sheet'!$AC$4:$AC$40=$EY$34)*($PM$6:$PM$42=1))&gt;0)</f>
        <v/>
      </c>
      <c r="PO34">
        <f>$PO$33+--($PN34)</f>
        <v/>
      </c>
      <c r="PP34">
        <f>IF(ROW()-3&gt;MAX($PO$4:$PO$40),"",INDEX($EY$4:$EY$40,MATCH(ROW()-3,$PO$4:$PO$40,0)))</f>
        <v/>
      </c>
      <c r="PQ34">
        <f>IF(COUNTIF('Buyer Groups'!DG87:EI87,0)+COUNTIF('Buyer Groups'!EK87:EN87,0)&gt;0,0,1)</f>
        <v/>
      </c>
      <c r="PR34">
        <f>IF($FD$34="",FALSE,SUMPRODUCT(('Final Calculation Sheet'!$AD$4:$AD$40=$FD$34)*($PQ$6:$PQ$42=1))&gt;0)</f>
        <v/>
      </c>
      <c r="PS34">
        <f>$PS$33+--($PR34)</f>
        <v/>
      </c>
      <c r="PT34">
        <f>IF(ROW()-3&gt;MAX($PS$4:$PS$40),"",INDEX($FD$4:$FD$40,MATCH(ROW()-3,$PS$4:$PS$40,0)))</f>
        <v/>
      </c>
      <c r="PU34">
        <f>IF(COUNTIF('Buyer Groups'!DG87:EJ87,0)+COUNTIF('Buyer Groups'!EL87:EN87,0)&gt;0,0,1)</f>
        <v/>
      </c>
      <c r="PV34">
        <f>IF($FX$34="",FALSE,SUMPRODUCT((IF('Final Calculation Sheet'!$AD$4:$AD$40&lt;=5,"SETTLED","OUTSTANDING")=$FX$34)*($PU$6:$PU$42=1))&gt;0)</f>
        <v/>
      </c>
      <c r="PW34">
        <f>$PW$33+--($PV34)</f>
        <v/>
      </c>
      <c r="PX34">
        <f>IF(ROW()-3&gt;MAX($PW$4:$PW$40),"",INDEX($FX$4:$FX$40,MATCH(ROW()-3,$PW$4:$PW$40,0)))</f>
        <v/>
      </c>
      <c r="PY34">
        <f>IF(COUNTIF('Buyer Groups'!DG87:EK87,0)+COUNTIF('Buyer Groups'!EM87:EN87,0)&gt;0,0,1)</f>
        <v/>
      </c>
      <c r="PZ34">
        <f>IF($FI$34="",FALSE,SUMPRODUCT(('Final Calculation Sheet'!$AF$4:$AF$40=$FI$34)*($PY$6:$PY$42=1))&gt;0)</f>
        <v/>
      </c>
      <c r="QA34">
        <f>$QA$33+--($PZ34)</f>
        <v/>
      </c>
      <c r="QB34">
        <f>IF(ROW()-3&gt;MAX($QA$4:$QA$40),"",INDEX($FI$4:$FI$40,MATCH(ROW()-3,$QA$4:$QA$40,0)))</f>
        <v/>
      </c>
      <c r="QC34">
        <f>IF(COUNTIF('Buyer Groups'!DG87:EL87,0)+COUNTIF('Buyer Groups'!EN87:EN87,0)&gt;0,0,1)</f>
        <v/>
      </c>
      <c r="QD34">
        <f>IF($FN$34="",FALSE,SUMPRODUCT(('Final Calculation Sheet'!$AG$4:$AG$40=$FN$34)*($QC$6:$QC$42=1))&gt;0)</f>
        <v/>
      </c>
      <c r="QE34">
        <f>$QE$33+--($QD34)</f>
        <v/>
      </c>
      <c r="QF34">
        <f>IF(ROW()-3&gt;MAX($QE$4:$QE$40),"",INDEX($FN$4:$FN$40,MATCH(ROW()-3,$QE$4:$QE$40,0)))</f>
        <v/>
      </c>
      <c r="QG34">
        <f>IF(COUNTIF('Buyer Groups'!DG87:EM87,0)&gt;0,0,1)</f>
        <v/>
      </c>
      <c r="QH34">
        <f>IF($FS$34="",FALSE,SUMPRODUCT(('Final Calculation Sheet'!$AH$4:$AH$40=$FS$34)*($QG$6:$QG$42=1))&gt;0)</f>
        <v/>
      </c>
      <c r="QI34">
        <f>$QI$33+--($QH34)</f>
        <v/>
      </c>
      <c r="QJ34">
        <f>IF(ROW()-3&gt;MAX($QI$4:$QI$40),"",INDEX($FS$4:$FS$40,MATCH(ROW()-3,$QI$4:$QI$40,0)))</f>
        <v/>
      </c>
      <c r="QK34" t="str">
        <f>IF('Final Calculation Sheet'!$AH$34="","",'Final Calculation Sheet'!$AH$34)</f>
      </c>
      <c r="QL34" t="str">
        <f>IF(QK34="","",COUNTIFS(QK$4:QK$40,"&lt;"&amp;QK34,QK$4:QK$40,"&lt;&gt;"&amp;"")+COUNTIF(QK$4:QK34,QK34))</f>
      </c>
      <c r="QM34" t="str">
        <f>IF(ROW()-3&gt;COUNTIF(QK$4:QK$40,"&lt;&gt;"&amp;""),"",INDEX(QK$4:QK$40,MATCH(ROW()-3,QL$4:QL$40,0)))</f>
      </c>
      <c r="QN34" t="str">
        <f>=QN33+F(AND(QM34&lt;&gt;"",COUNTIF(QM$4:QM34,QM34)=1),1,0)</f>
      </c>
      <c r="QO34" t="str">
        <f>IF(ROW()-3&gt;MAX(QN$4:QN$40),"",INDEX(QM$4:QM$40,MATCH(ROW()-3,QN$4:QN$40,0)))</f>
      </c>
      <c r="QP34" t="str">
        <f>IF(COUNTIF('Final Calculation Sheet'!$AM34:$BS34,0)&gt;0,0,1)</f>
      </c>
      <c r="QQ34" t="str">
        <f>IF($AI$34="",FALSE,SUMPRODUCT(('Final Calculation Sheet'!$A$4:$A$40=$AI$34)*($QP$4:$QP$40=1))&gt;0)</f>
      </c>
      <c r="QR34" t="str">
        <f>=$QR33+--($QQ34)</f>
      </c>
      <c r="QS34" t="str">
        <f>IF(ROW()-3&gt;MAX($QR$4:$QR$40),"",INDEX($AI$4:$AI$40,MATCH(ROW()-3,$QR$4:$QR$40,0)))</f>
      </c>
      <c r="QT34" t="str">
        <f>IF(COUNTIF('Final Calculation Sheet'!$AL34:$AL34,0)+COUNTIF('Final Calculation Sheet'!$AN34:$BS34,0)&gt;0,0,1)</f>
      </c>
      <c r="QU34" t="str">
        <f>IF($Y$34="",FALSE,SUMPRODUCT(('Final Calculation Sheet'!$B$4:$B$40=$Y$34)*($QT$4:$QT$40=1))&gt;0)</f>
      </c>
      <c r="QV34" t="str">
        <f>=$QV33+--($QU34)</f>
      </c>
      <c r="QW34" t="str">
        <f>IF(ROW()-3&gt;MAX($QV$4:$QV$40),"",INDEX($Y$4:$Y$40,MATCH(ROW()-3,$QV$4:$QV$40,0)))</f>
      </c>
      <c r="QX34" t="str">
        <f>IF(COUNTIF('Final Calculation Sheet'!$AL34:$AM34,0)+COUNTIF('Final Calculation Sheet'!$AO34:$BS34,0)&gt;0,0,1)</f>
      </c>
      <c r="QY34" t="str">
        <f>IF($AS$34="",FALSE,SUMPRODUCT(('Final Calculation Sheet'!$C$4:$C$40=$AS$34)*($QX$4:$QX$40=1))&gt;0)</f>
      </c>
      <c r="QZ34" t="str">
        <f>=$QZ33+--($QY34)</f>
      </c>
      <c r="RA34" t="str">
        <f>IF(ROW()-3&gt;MAX($QZ$4:$QZ$40),"",INDEX($AS$4:$AS$40,MATCH(ROW()-3,$QZ$4:$QZ$40,0)))</f>
      </c>
      <c r="RB34" t="str">
        <f>IF(COUNTIF('Final Calculation Sheet'!$AL34:$AN34,0)+COUNTIF('Final Calculation Sheet'!$AP34:$BS34,0)&gt;0,0,1)</f>
      </c>
      <c r="RC34" t="str">
        <f>IF($AD$34="",FALSE,SUMPRODUCT(('Final Calculation Sheet'!$D$4:$D$40=$AD$34)*($RB$4:$RB$40=1))&gt;0)</f>
      </c>
      <c r="RD34" t="str">
        <f>=$RD33+--($RC34)</f>
      </c>
      <c r="RE34" t="str">
        <f>IF(ROW()-3&gt;MAX($RD$4:$RD$40),"",INDEX($AD$4:$AD$40,MATCH(ROW()-3,$RD$4:$RD$40,0)))</f>
      </c>
      <c r="RF34" t="str">
        <f>IF(COUNTIF('Final Calculation Sheet'!$AL34:$AO34,0)+COUNTIF('Final Calculation Sheet'!$AQ34:$BS34,0)&gt;0,0,1)</f>
      </c>
      <c r="RG34" t="str">
        <f>IF($AN$34="",FALSE,SUMPRODUCT(('Final Calculation Sheet'!$E$4:$E$40=$AN$34)*($RF$4:$RF$40=1))&gt;0)</f>
      </c>
      <c r="RH34" t="str">
        <f>=$RH33+--($RG34)</f>
      </c>
      <c r="RI34" t="str">
        <f>IF(ROW()-3&gt;MAX($RH$4:$RH$40),"",INDEX($AN$4:$AN$40,MATCH(ROW()-3,$RH$4:$RH$40,0)))</f>
      </c>
      <c r="RJ34" t="str">
        <f>IF(COUNTIF('Final Calculation Sheet'!$AL34:$AP34,0)+COUNTIF('Final Calculation Sheet'!$AR34:$BS34,0)&gt;0,0,1)</f>
      </c>
      <c r="RK34" t="str">
        <f>IF($O$34="",FALSE,SUMPRODUCT(('Final Calculation Sheet'!$F$4:$F$40=$O$34)*($RJ$4:$RJ$40=1))&gt;0)</f>
      </c>
      <c r="RL34" t="str">
        <f>=$RL33+--($RK34)</f>
      </c>
      <c r="RM34" t="str">
        <f>IF(ROW()-3&gt;MAX($RL$4:$RL$40),"",INDEX($O$4:$O$40,MATCH(ROW()-3,$RL$4:$RL$40,0)))</f>
      </c>
      <c r="RN34" t="str">
        <f>IF(COUNTIF('Final Calculation Sheet'!$AL34:$AQ34,0)+COUNTIF('Final Calculation Sheet'!$AS34:$BS34,0)&gt;0,0,1)</f>
      </c>
      <c r="RO34" t="str">
        <f>IF($T$34="",FALSE,SUMPRODUCT(('Final Calculation Sheet'!$G$4:$G$40=$T$34)*($RN$4:$RN$40=1))&gt;0)</f>
      </c>
      <c r="RP34" t="str">
        <f>=$RP33+--($RO34)</f>
      </c>
      <c r="RQ34" t="str">
        <f>IF(ROW()-3&gt;MAX($RP$4:$RP$40),"",INDEX($T$4:$T$40,MATCH(ROW()-3,$RP$4:$RP$40,0)))</f>
      </c>
      <c r="RR34" t="str">
        <f>IF(COUNTIF('Final Calculation Sheet'!$AL34:$AR34,0)+COUNTIF('Final Calculation Sheet'!$AT34:$BS34,0)&gt;0,0,1)</f>
      </c>
      <c r="RS34" t="str">
        <f>IF($AX$34="",FALSE,SUMPRODUCT(('Final Calculation Sheet'!$H$4:$H$40=$AX$34)*($RR$4:$RR$40=1))&gt;0)</f>
      </c>
      <c r="RT34" t="str">
        <f>=$RT33+--($RS34)</f>
      </c>
      <c r="RU34" t="str">
        <f>IF(ROW()-3&gt;MAX($RT$4:$RT$40),"",INDEX($AX$4:$AX$40,MATCH(ROW()-3,$RT$4:$RT$40,0)))</f>
      </c>
      <c r="RV34" t="str">
        <f>IF(COUNTIF('Final Calculation Sheet'!$AL34:$AS34,0)+COUNTIF('Final Calculation Sheet'!$AU34:$BS34,0)&gt;0,0,1)</f>
      </c>
      <c r="RW34" t="str">
        <f>IF($BC$34="",FALSE,SUMPRODUCT(('Final Calculation Sheet'!$I$4:$I$40=$BC$34)*($RV$4:$RV$40=1))&gt;0)</f>
      </c>
      <c r="RX34" t="str">
        <f>=$RX33+--($RW34)</f>
      </c>
      <c r="RY34" t="str">
        <f>IF(ROW()-3&gt;MAX($RX$4:$RX$40),"",INDEX($BC$4:$BC$40,MATCH(ROW()-3,$RX$4:$RX$40,0)))</f>
      </c>
      <c r="RZ34" t="str">
        <f>IF(COUNTIF('Final Calculation Sheet'!$AL34:$AT34,0)+COUNTIF('Final Calculation Sheet'!$AV34:$BS34,0)&gt;0,0,1)</f>
      </c>
      <c r="SA34" t="str">
        <f>IF($BH$34="",FALSE,SUMPRODUCT(('Final Calculation Sheet'!$J$4:$J$40=$BH$34)*($RZ$4:$RZ$40=1))&gt;0)</f>
      </c>
      <c r="SB34" t="str">
        <f>=$SB33+--($SA34)</f>
      </c>
      <c r="SC34" t="str">
        <f>IF(ROW()-3&gt;MAX($SB$4:$SB$40),"",INDEX($BH$4:$BH$40,MATCH(ROW()-3,$SB$4:$SB$40,0)))</f>
      </c>
      <c r="SD34" t="str">
        <f>IF(COUNTIF('Final Calculation Sheet'!$AL34:$AU34,0)+COUNTIF('Final Calculation Sheet'!$AW34:$BS34,0)&gt;0,0,1)</f>
      </c>
      <c r="SE34" t="str">
        <f>IF($BM$34="",FALSE,SUMPRODUCT(('Final Calculation Sheet'!$K$4:$K$40=$BM$34)*($SD$4:$SD$40=1))&gt;0)</f>
      </c>
      <c r="SF34" t="str">
        <f>=$SF33+--($SE34)</f>
      </c>
      <c r="SG34" t="str">
        <f>IF(ROW()-3&gt;MAX($SF$4:$SF$40),"",INDEX($BM$4:$BM$40,MATCH(ROW()-3,$SF$4:$SF$40,0)))</f>
      </c>
      <c r="SH34" t="str">
        <f>IF(COUNTIF('Final Calculation Sheet'!$AL34:$AV34,0)+COUNTIF('Final Calculation Sheet'!$AX34:$BS34,0)&gt;0,0,1)</f>
      </c>
      <c r="SI34" t="str">
        <f>IF($BR$34="",FALSE,SUMPRODUCT(('Final Calculation Sheet'!$L$4:$L$40=$BR$34)*($SH$4:$SH$40=1))&gt;0)</f>
      </c>
      <c r="SJ34" t="str">
        <f>=$SJ33+--($SI34)</f>
      </c>
      <c r="SK34" t="str">
        <f>IF(ROW()-3&gt;MAX($SJ$4:$SJ$40),"",INDEX($BR$4:$BR$40,MATCH(ROW()-3,$SJ$4:$SJ$40,0)))</f>
      </c>
      <c r="SL34" t="str">
        <f>IF(COUNTIF('Final Calculation Sheet'!$AL34:$AW34,0)+COUNTIF('Final Calculation Sheet'!$AY34:$BS34,0)&gt;0,0,1)</f>
      </c>
      <c r="SM34" t="str">
        <f>IF($BW$34="",FALSE,SUMPRODUCT(('Final Calculation Sheet'!$M$4:$M$40=$BW$34)*($SL$4:$SL$40=1))&gt;0)</f>
      </c>
      <c r="SN34" t="str">
        <f>=$SN33+--($SM34)</f>
      </c>
      <c r="SO34" t="str">
        <f>IF(ROW()-3&gt;MAX($SN$4:$SN$40),"",INDEX($BW$4:$BW$40,MATCH(ROW()-3,$SN$4:$SN$40,0)))</f>
      </c>
      <c r="SP34" t="str">
        <f>IF(COUNTIF('Final Calculation Sheet'!$AL34:$AX34,0)+COUNTIF('Final Calculation Sheet'!$AZ34:$BS34,0)&gt;0,0,1)</f>
      </c>
      <c r="SQ34" t="str">
        <f>IF($CB$34="",FALSE,SUMPRODUCT(('Final Calculation Sheet'!$N$4:$N$40=$CB$34)*($SP$4:$SP$40=1))&gt;0)</f>
      </c>
      <c r="SR34" t="str">
        <f>=$SR33+--($SQ34)</f>
      </c>
      <c r="SS34" t="str">
        <f>IF(ROW()-3&gt;MAX($SR$4:$SR$40),"",INDEX($CB$4:$CB$40,MATCH(ROW()-3,$SR$4:$SR$40,0)))</f>
      </c>
      <c r="ST34" t="str">
        <f>IF(COUNTIF('Final Calculation Sheet'!$AL34:$AY34,0)+COUNTIF('Final Calculation Sheet'!$BA34:$BS34,0)&gt;0,0,1)</f>
      </c>
      <c r="SU34" t="str">
        <f>IF($CG$34="",FALSE,SUMPRODUCT(('Final Calculation Sheet'!$O$4:$O$40=$CG$34)*($ST$4:$ST$40=1))&gt;0)</f>
      </c>
      <c r="SV34" t="str">
        <f>=$SV33+--($SU34)</f>
      </c>
      <c r="SW34" t="str">
        <f>IF(ROW()-3&gt;MAX($SV$4:$SV$40),"",INDEX($CG$4:$CG$40,MATCH(ROW()-3,$SV$4:$SV$40,0)))</f>
      </c>
      <c r="SX34" t="str">
        <f>IF(COUNTIF('Final Calculation Sheet'!$AL34:$AZ34,0)+COUNTIF('Final Calculation Sheet'!$BB34:$BS34,0)&gt;0,0,1)</f>
      </c>
      <c r="SY34" t="str">
        <f>IF($CL$34="",FALSE,SUMPRODUCT(('Final Calculation Sheet'!$P$4:$P$40=$CL$34)*($SX$4:$SX$40=1))&gt;0)</f>
      </c>
      <c r="SZ34" t="str">
        <f>=$SZ33+--($SY34)</f>
      </c>
      <c r="TA34" t="str">
        <f>IF(ROW()-3&gt;MAX($SZ$4:$SZ$40),"",INDEX($CL$4:$CL$40,MATCH(ROW()-3,$SZ$4:$SZ$40,0)))</f>
      </c>
      <c r="TB34" t="str">
        <f>IF(COUNTIF('Final Calculation Sheet'!$AL34:$BA34,0)+COUNTIF('Final Calculation Sheet'!$BC34:$BS34,0)&gt;0,0,1)</f>
      </c>
      <c r="TC34" t="str">
        <f>IF($CQ$34="",FALSE,SUMPRODUCT(('Final Calculation Sheet'!$Q$4:$Q$40=$CQ$34)*($TB$4:$TB$40=1))&gt;0)</f>
      </c>
      <c r="TD34" t="str">
        <f>=$TD33+--($TC34)</f>
      </c>
      <c r="TE34" t="str">
        <f>IF(ROW()-3&gt;MAX($TD$4:$TD$40),"",INDEX($CQ$4:$CQ$40,MATCH(ROW()-3,$TD$4:$TD$40,0)))</f>
      </c>
      <c r="TF34" t="str">
        <f>IF(COUNTIF('Final Calculation Sheet'!$AL34:$BB34,0)+COUNTIF('Final Calculation Sheet'!$BD34:$BS34,0)&gt;0,0,1)</f>
      </c>
      <c r="TG34" t="str">
        <f>IF($CV$34="",FALSE,SUMPRODUCT(('Final Calculation Sheet'!$R$4:$R$40=$CV$34)*($TF$4:$TF$40=1))&gt;0)</f>
      </c>
      <c r="TH34" t="str">
        <f>=$TH33+--($TG34)</f>
      </c>
      <c r="TI34" t="str">
        <f>IF(ROW()-3&gt;MAX($TH$4:$TH$40),"",INDEX($CV$4:$CV$40,MATCH(ROW()-3,$TH$4:$TH$40,0)))</f>
      </c>
      <c r="TJ34" t="str">
        <f>IF(COUNTIF('Final Calculation Sheet'!$AL34:$BC34,0)+COUNTIF('Final Calculation Sheet'!$BE34:$BS34,0)&gt;0,0,1)</f>
      </c>
      <c r="TK34" t="str">
        <f>IF($DA$34="",FALSE,SUMPRODUCT(('Final Calculation Sheet'!$S$4:$S$40=$DA$34)*($TJ$4:$TJ$40=1))&gt;0)</f>
      </c>
      <c r="TL34" t="str">
        <f>=$TL33+--($TK34)</f>
      </c>
      <c r="TM34" t="str">
        <f>IF(ROW()-3&gt;MAX($TL$4:$TL$40),"",INDEX($DA$4:$DA$40,MATCH(ROW()-3,$TL$4:$TL$40,0)))</f>
      </c>
      <c r="TN34" t="str">
        <f>IF(COUNTIF('Final Calculation Sheet'!$AL34:$BD34,0)+COUNTIF('Final Calculation Sheet'!$BF34:$BS34,0)&gt;0,0,1)</f>
      </c>
      <c r="TO34" t="str">
        <f>IF($DF$34="",FALSE,SUMPRODUCT(('Final Calculation Sheet'!$T$4:$T$40=$DF$34)*($TN$4:$TN$40=1))&gt;0)</f>
      </c>
      <c r="TP34" t="str">
        <f>=$TP33+--($TO34)</f>
      </c>
      <c r="TQ34" t="str">
        <f>IF(ROW()-3&gt;MAX($TP$4:$TP$40),"",INDEX($DF$4:$DF$40,MATCH(ROW()-3,$TP$4:$TP$40,0)))</f>
      </c>
      <c r="TR34" t="str">
        <f>IF(COUNTIF('Final Calculation Sheet'!$AL34:$BE34,0)+COUNTIF('Final Calculation Sheet'!$BG34:$BS34,0)&gt;0,0,1)</f>
      </c>
      <c r="TS34" t="str">
        <f>IF($DK$34="",FALSE,SUMPRODUCT(('Final Calculation Sheet'!$U$4:$U$40=$DK$34)*($TR$4:$TR$40=1))&gt;0)</f>
      </c>
      <c r="TT34" t="str">
        <f>=$TT33+--($TS34)</f>
      </c>
      <c r="TU34" t="str">
        <f>IF(ROW()-3&gt;MAX($TT$4:$TT$40),"",INDEX($DK$4:$DK$40,MATCH(ROW()-3,$TT$4:$TT$40,0)))</f>
      </c>
      <c r="TV34" t="str">
        <f>IF(COUNTIF('Final Calculation Sheet'!$AL34:$BF34,0)+COUNTIF('Final Calculation Sheet'!$BH34:$BS34,0)&gt;0,0,1)</f>
      </c>
      <c r="TW34" t="str">
        <f>IF($DP$34="",FALSE,SUMPRODUCT(('Final Calculation Sheet'!$V$4:$V$40=$DP$34)*($TV$4:$TV$40=1))&gt;0)</f>
      </c>
      <c r="TX34" t="str">
        <f>=$TX33+--($TW34)</f>
      </c>
      <c r="TY34" t="str">
        <f>IF(ROW()-3&gt;MAX($TX$4:$TX$40),"",INDEX($DP$4:$DP$40,MATCH(ROW()-3,$TX$4:$TX$40,0)))</f>
      </c>
      <c r="TZ34" t="str">
        <f>IF(COUNTIF('Final Calculation Sheet'!$AL34:$BG34,0)+COUNTIF('Final Calculation Sheet'!$BI34:$BS34,0)&gt;0,0,1)</f>
      </c>
      <c r="UA34" t="str">
        <f>IF($DU$34="",FALSE,SUMPRODUCT(('Final Calculation Sheet'!$W$4:$W$40=$DU$34)*($TZ$4:$TZ$40=1))&gt;0)</f>
      </c>
      <c r="UB34" t="str">
        <f>=$UB33+--($UA34)</f>
      </c>
      <c r="UC34" t="str">
        <f>IF(ROW()-3&gt;MAX($UB$4:$UB$40),"",INDEX($DU$4:$DU$40,MATCH(ROW()-3,$UB$4:$UB$40,0)))</f>
      </c>
      <c r="UD34" t="str">
        <f>IF(COUNTIF('Final Calculation Sheet'!$AL34:$BH34,0)+COUNTIF('Final Calculation Sheet'!$BJ34:$BS34,0)&gt;0,0,1)</f>
      </c>
      <c r="UE34" t="str">
        <f>IF($DZ$34="",FALSE,SUMPRODUCT(('Final Calculation Sheet'!$X$4:$X$40=$DZ$34)*($UD$4:$UD$40=1))&gt;0)</f>
      </c>
      <c r="UF34" t="str">
        <f>=$UF33+--($UE34)</f>
      </c>
      <c r="UG34" t="str">
        <f>IF(ROW()-3&gt;MAX($UF$4:$UF$40),"",INDEX($DZ$4:$DZ$40,MATCH(ROW()-3,$UF$4:$UF$40,0)))</f>
      </c>
      <c r="UH34" t="str">
        <f>IF(COUNTIF('Final Calculation Sheet'!$AL34:$BI34,0)+COUNTIF('Final Calculation Sheet'!$BK34:$BS34,0)&gt;0,0,1)</f>
      </c>
      <c r="UI34" t="str">
        <f>IF($EE$34="",FALSE,SUMPRODUCT(('Final Calculation Sheet'!$Y$4:$Y$40=$EE$34)*($UH$4:$UH$40=1))&gt;0)</f>
      </c>
      <c r="UJ34" t="str">
        <f>=$UJ33+--($UI34)</f>
      </c>
      <c r="UK34" t="str">
        <f>IF(ROW()-3&gt;MAX($UJ$4:$UJ$40),"",INDEX($EE$4:$EE$40,MATCH(ROW()-3,$UJ$4:$UJ$40,0)))</f>
      </c>
      <c r="UL34" t="str">
        <f>IF(COUNTIF('Final Calculation Sheet'!$AL34:$BJ34,0)+COUNTIF('Final Calculation Sheet'!$BL34:$BS34,0)&gt;0,0,1)</f>
      </c>
      <c r="UM34" t="str">
        <f>IF($EJ$34="",FALSE,SUMPRODUCT(('Final Calculation Sheet'!$Z$4:$Z$40=$EJ$34)*($UL$4:$UL$40=1))&gt;0)</f>
      </c>
      <c r="UN34" t="str">
        <f>=$UN33+--($UM34)</f>
      </c>
      <c r="UO34" t="str">
        <f>IF(ROW()-3&gt;MAX($UN$4:$UN$40),"",INDEX($EJ$4:$EJ$40,MATCH(ROW()-3,$UN$4:$UN$40,0)))</f>
      </c>
      <c r="UP34" t="str">
        <f>IF(COUNTIF('Final Calculation Sheet'!$AL34:$BK34,0)+COUNTIF('Final Calculation Sheet'!$BM34:$BS34,0)&gt;0,0,1)</f>
      </c>
      <c r="UQ34" t="str">
        <f>IF($EO$34="",FALSE,SUMPRODUCT(('Final Calculation Sheet'!$AA$4:$AA$40=$EO$34)*($UP$4:$UP$40=1))&gt;0)</f>
      </c>
      <c r="UR34" t="str">
        <f>=$UR33+--($UQ34)</f>
      </c>
      <c r="US34" t="str">
        <f>IF(ROW()-3&gt;MAX($UR$4:$UR$40),"",INDEX($EO$4:$EO$40,MATCH(ROW()-3,$UR$4:$UR$40,0)))</f>
      </c>
      <c r="UT34" t="str">
        <f>IF(COUNTIF('Final Calculation Sheet'!$AL34:$BL34,0)+COUNTIF('Final Calculation Sheet'!$BN34:$BS34,0)&gt;0,0,1)</f>
      </c>
      <c r="UU34" t="str">
        <f>IF($ET$34="",FALSE,SUMPRODUCT(('Final Calculation Sheet'!$AB$4:$AB$40=$ET$34)*($UT$4:$UT$40=1))&gt;0)</f>
      </c>
      <c r="UV34" t="str">
        <f>=$UV33+--($UU34)</f>
      </c>
      <c r="UW34" t="str">
        <f>IF(ROW()-3&gt;MAX($UV$4:$UV$40),"",INDEX($ET$4:$ET$40,MATCH(ROW()-3,$UV$4:$UV$40,0)))</f>
      </c>
      <c r="UX34" t="str">
        <f>IF(COUNTIF('Final Calculation Sheet'!$AL34:$BM34,0)+COUNTIF('Final Calculation Sheet'!$BO34:$BS34,0)&gt;0,0,1)</f>
      </c>
      <c r="UY34" t="str">
        <f>IF($EY$34="",FALSE,SUMPRODUCT(('Final Calculation Sheet'!$AC$4:$AC$40=$EY$34)*($UX$4:$UX$40=1))&gt;0)</f>
      </c>
      <c r="UZ34" t="str">
        <f>=$UZ33+--($UY34)</f>
      </c>
      <c r="VA34" t="str">
        <f>IF(ROW()-3&gt;MAX($UZ$4:$UZ$40),"",INDEX($EY$4:$EY$40,MATCH(ROW()-3,$UZ$4:$UZ$40,0)))</f>
      </c>
      <c r="VB34" t="str">
        <f>IF(COUNTIF('Final Calculation Sheet'!$AL34:$BN34,0)+COUNTIF('Final Calculation Sheet'!$BP34:$BS34,0)&gt;0,0,1)</f>
      </c>
      <c r="VC34" t="str">
        <f>IF($FD$34="",FALSE,SUMPRODUCT(('Final Calculation Sheet'!$AD$4:$AD$40=$FD$34)*($VB$4:$VB$40=1))&gt;0)</f>
      </c>
      <c r="VD34" t="str">
        <f>=$VD33+--($VC34)</f>
      </c>
      <c r="VE34" t="str">
        <f>IF(ROW()-3&gt;MAX($VD$4:$VD$40),"",INDEX($FD$4:$FD$40,MATCH(ROW()-3,$VD$4:$VD$40,0)))</f>
      </c>
      <c r="VF34" t="str">
        <f>IF(COUNTIF('Final Calculation Sheet'!$AL34:$BO34,0)+COUNTIF('Final Calculation Sheet'!$BQ34:$BS34,0)&gt;0,0,1)</f>
      </c>
      <c r="VG34" t="str">
        <f>IF($FI$34="",FALSE,SUMPRODUCT(('Final Calculation Sheet'!$AE$4:$AE$40=$FI$34)*($VF$4:$VF$40=1))&gt;0)</f>
      </c>
      <c r="VH34" t="str">
        <f>=$VH33+--($VG34)</f>
      </c>
      <c r="VI34" t="str">
        <f>IF(ROW()-3&gt;MAX($VH$4:$VH$40),"",INDEX($FI$4:$FI$40,MATCH(ROW()-3,$VH$4:$VH$40,0)))</f>
      </c>
      <c r="VJ34" t="str">
        <f>IF(COUNTIF('Final Calculation Sheet'!$AL34:$BP34,0)+COUNTIF('Final Calculation Sheet'!$BR34:$BS34,0)&gt;0,0,1)</f>
      </c>
      <c r="VK34" t="str">
        <f>IF($FN$34="",FALSE,SUMPRODUCT(('Final Calculation Sheet'!$AF$4:$AF$40=$FN$34)*($VJ$4:$VJ$40=1))&gt;0)</f>
      </c>
      <c r="VL34" t="str">
        <f>=$VL33+--($VK34)</f>
      </c>
      <c r="VM34" t="str">
        <f>IF(ROW()-3&gt;MAX($VL$4:$VL$40),"",INDEX($FN$4:$FN$40,MATCH(ROW()-3,$VL$4:$VL$40,0)))</f>
      </c>
      <c r="VN34" t="str">
        <f>IF(COUNTIF('Final Calculation Sheet'!$AL34:$BQ34,0)+COUNTIF('Final Calculation Sheet'!$BS34:$BS34,0)&gt;0,0,1)</f>
      </c>
      <c r="VO34" t="str">
        <f>IF($FS$34="",FALSE,SUMPRODUCT(('Final Calculation Sheet'!$AG$4:$AG$40=$FS$34)*($VN$4:$VN$40=1))&gt;0)</f>
      </c>
      <c r="VP34" t="str">
        <f>=$VP33+--($VO34)</f>
      </c>
      <c r="VQ34" t="str">
        <f>IF(ROW()-3&gt;MAX($VP$4:$VP$40),"",INDEX($FS$4:$FS$40,MATCH(ROW()-3,$VP$4:$VP$40,0)))</f>
      </c>
      <c r="VR34" t="str">
        <f>IF(COUNTIF('Final Calculation Sheet'!$AL34:$BR34,0)&gt;0,0,1)</f>
      </c>
      <c r="VS34" t="str">
        <f>IF($QO$34="",FALSE,SUMPRODUCT(('Final Calculation Sheet'!$AH$4:$AH$40=$QO$34)*($VR$4:$VR$40=1))&gt;0)</f>
      </c>
      <c r="VT34" t="str">
        <f>=$VT33+--($VS34)</f>
      </c>
      <c r="VU34" t="str">
        <f>IF(ROW()-3&gt;MAX($VT$4:$VT$40),"",INDEX($QO$4:$QO$40,MATCH(ROW()-3,$VT$4:$VT$40,0)))</f>
      </c>
    </row>
    <row r="35">
      <c r="A35">
        <f>IF(IFERROR('Final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IF(IFERROR('Final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s="55">
        <f>IF('Final Calculation Sheet'!$C$35="","",'Final Calculation Sheet'!$C$35)</f>
        <v/>
      </c>
      <c r="AP35">
        <f>IF(AO35="","",COUNTIFS(AO$4:AO$40,"&lt;"&amp;AO35,AO$4:AO$40,"&lt;&gt;"&amp;"")+COUNTIF(AO$4:AO35,AO35))</f>
        <v/>
      </c>
      <c r="AQ35" s="55">
        <f>IF(ROW()-3&gt;COUNTIF(AO$4:AO$40,"&lt;&gt;"&amp;""),"",INDEX(AO$4:AO$40,MATCH(ROW()-3,AP$4:AP$40,0)))</f>
        <v/>
      </c>
      <c r="AR35">
        <f>AR34+IF(AND(AQ35&lt;&gt;"",COUNTIF(AQ$4:AQ35,AQ35)=1),1,0)</f>
        <v/>
      </c>
      <c r="AS35" s="55">
        <f>IF(ROW()-3&gt;MAX(AR$4:AR$40),"",INDEX(AQ$4:AQ$40,MATCH(ROW()-3,AR$4:AR$40,0)))</f>
        <v/>
      </c>
      <c r="AT35" s="55">
        <f>IF('Final Calculation Sheet'!$H$35="","",'Final Calculation Sheet'!$H$35)</f>
        <v/>
      </c>
      <c r="AU35">
        <f>IF(AT35="","",COUNTIFS(AT$4:AT$40,"&lt;"&amp;AT35,AT$4:AT$40,"&lt;&gt;"&amp;"")+COUNTIF(AT$4:AT35,AT35))</f>
        <v/>
      </c>
      <c r="AV35" s="55">
        <f>IF(ROW()-3&gt;COUNTIF(AT$4:AT$40,"&lt;&gt;"&amp;""),"",INDEX(AT$4:AT$40,MATCH(ROW()-3,AU$4:AU$40,0)))</f>
        <v/>
      </c>
      <c r="AW35">
        <f>AW34+IF(AND(AV35&lt;&gt;"",COUNTIF(AV$4:AV35,AV35)=1),1,0)</f>
        <v/>
      </c>
      <c r="AX35" s="55">
        <f>IF(ROW()-3&gt;MAX(AW$4:AW$40),"",INDEX(AV$4:AV$40,MATCH(ROW()-3,AW$4:AW$40,0)))</f>
        <v/>
      </c>
      <c r="AY35" s="55">
        <f>IF('Final Calculation Sheet'!$I$35="","",'Final Calculation Sheet'!$I$35)</f>
        <v/>
      </c>
      <c r="AZ35">
        <f>IF(AY35="","",COUNTIFS(AY$4:AY$40,"&lt;"&amp;AY35,AY$4:AY$40,"&lt;&gt;"&amp;"")+COUNTIF(AY$4:AY35,AY35))</f>
        <v/>
      </c>
      <c r="BA35" s="55">
        <f>IF(ROW()-3&gt;COUNTIF(AY$4:AY$40,"&lt;&gt;"&amp;""),"",INDEX(AY$4:AY$40,MATCH(ROW()-3,AZ$4:AZ$40,0)))</f>
        <v/>
      </c>
      <c r="BB35">
        <f>BB34+IF(AND(BA35&lt;&gt;"",COUNTIF(BA$4:BA35,BA35)=1),1,0)</f>
        <v/>
      </c>
      <c r="BC35" s="55">
        <f>IF(ROW()-3&gt;MAX(BB$4:BB$40),"",INDEX(BA$4:BA$40,MATCH(ROW()-3,BB$4:BB$40,0)))</f>
        <v/>
      </c>
      <c r="BD35" s="55">
        <f>IF('Final Calculation Sheet'!$J$35="","",'Final Calculation Sheet'!$J$35)</f>
        <v/>
      </c>
      <c r="BE35">
        <f>IF(BD35="","",COUNTIFS(BD$4:BD$40,"&lt;"&amp;BD35,BD$4:BD$40,"&lt;&gt;"&amp;"")+COUNTIF(BD$4:BD35,BD35))</f>
        <v/>
      </c>
      <c r="BF35" s="55">
        <f>IF(ROW()-3&gt;COUNTIF(BD$4:BD$40,"&lt;&gt;"&amp;""),"",INDEX(BD$4:BD$40,MATCH(ROW()-3,BE$4:BE$40,0)))</f>
        <v/>
      </c>
      <c r="BG35">
        <f>BG34+IF(AND(BF35&lt;&gt;"",COUNTIF(BF$4:BF35,BF35)=1),1,0)</f>
        <v/>
      </c>
      <c r="BH35" s="55">
        <f>IF(ROW()-3&gt;MAX(BG$4:BG$40),"",INDEX(BF$4:BF$40,MATCH(ROW()-3,BG$4:BG$40,0)))</f>
        <v/>
      </c>
      <c r="BI35" s="55">
        <f>IF('Final Calculation Sheet'!$K$35="","",'Final Calculation Sheet'!$K$35)</f>
        <v/>
      </c>
      <c r="BJ35">
        <f>IF(BI35="","",COUNTIFS(BI$4:BI$40,"&lt;"&amp;BI35,BI$4:BI$40,"&lt;&gt;"&amp;"")+COUNTIF(BI$4:BI35,BI35))</f>
        <v/>
      </c>
      <c r="BK35" s="55">
        <f>IF(ROW()-3&gt;COUNTIF(BI$4:BI$40,"&lt;&gt;"&amp;""),"",INDEX(BI$4:BI$40,MATCH(ROW()-3,BJ$4:BJ$40,0)))</f>
        <v/>
      </c>
      <c r="BL35">
        <f>BL34+IF(AND(BK35&lt;&gt;"",COUNTIF(BK$4:BK35,BK35)=1),1,0)</f>
        <v/>
      </c>
      <c r="BM35" s="55">
        <f>IF(ROW()-3&gt;MAX(BL$4:BL$40),"",INDEX(BK$4:BK$40,MATCH(ROW()-3,BL$4:BL$40,0)))</f>
        <v/>
      </c>
      <c r="BN35" s="55">
        <f>IF('Final Calculation Sheet'!$L$35="","",'Final Calculation Sheet'!$L$35)</f>
        <v/>
      </c>
      <c r="BO35">
        <f>IF(BN35="","",COUNTIFS(BN$4:BN$40,"&lt;"&amp;BN35,BN$4:BN$40,"&lt;&gt;"&amp;"")+COUNTIF(BN$4:BN35,BN35))</f>
        <v/>
      </c>
      <c r="BP35" s="55">
        <f>IF(ROW()-3&gt;COUNTIF(BN$4:BN$40,"&lt;&gt;"&amp;""),"",INDEX(BN$4:BN$40,MATCH(ROW()-3,BO$4:BO$40,0)))</f>
        <v/>
      </c>
      <c r="BQ35">
        <f>BQ34+IF(AND(BP35&lt;&gt;"",COUNTIF(BP$4:BP35,BP35)=1),1,0)</f>
        <v/>
      </c>
      <c r="BR35" s="55">
        <f>IF(ROW()-3&gt;MAX(BQ$4:BQ$40),"",INDEX(BP$4:BP$40,MATCH(ROW()-3,BQ$4:BQ$40,0)))</f>
        <v/>
      </c>
      <c r="BS35" s="55">
        <f>IF('Final Calculation Sheet'!$M$35="","",'Final Calculation Sheet'!$M$35)</f>
        <v/>
      </c>
      <c r="BT35">
        <f>IF(BS35="","",COUNTIFS(BS$4:BS$40,"&lt;"&amp;BS35,BS$4:BS$40,"&lt;&gt;"&amp;"")+COUNTIF(BS$4:BS35,BS35))</f>
        <v/>
      </c>
      <c r="BU35" s="55">
        <f>IF(ROW()-3&gt;COUNTIF(BS$4:BS$40,"&lt;&gt;"&amp;""),"",INDEX(BS$4:BS$40,MATCH(ROW()-3,BT$4:BT$40,0)))</f>
        <v/>
      </c>
      <c r="BV35">
        <f>BV34+IF(AND(BU35&lt;&gt;"",COUNTIF(BU$4:BU35,BU35)=1),1,0)</f>
        <v/>
      </c>
      <c r="BW35" s="55">
        <f>IF(ROW()-3&gt;MAX(BV$4:BV$40),"",INDEX(BU$4:BU$40,MATCH(ROW()-3,BV$4:BV$40,0)))</f>
        <v/>
      </c>
      <c r="BX35" s="138">
        <f>IF('Final Calculation Sheet'!$N$35="","",'Final Calculation Sheet'!$N$35)</f>
        <v/>
      </c>
      <c r="BY35">
        <f>IF(BX35="","",COUNTIFS(BX$4:BX$40,"&lt;"&amp;BX35,BX$4:BX$40,"&lt;&gt;"&amp;"")+COUNTIF(BX$4:BX35,BX35))</f>
        <v/>
      </c>
      <c r="BZ35" s="138">
        <f>IF(ROW()-3&gt;COUNTIF(BX$4:BX$40,"&lt;&gt;"&amp;""),"",INDEX(BX$4:BX$40,MATCH(ROW()-3,BY$4:BY$40,0)))</f>
        <v/>
      </c>
      <c r="CA35">
        <f>CA34+IF(AND(BZ35&lt;&gt;"",COUNTIF(BZ$4:BZ35,BZ35)=1),1,0)</f>
        <v/>
      </c>
      <c r="CB35" s="138">
        <f>IF(ROW()-3&gt;MAX(CA$4:CA$40),"",INDEX(BZ$4:BZ$40,MATCH(ROW()-3,CA$4:CA$40,0)))</f>
        <v/>
      </c>
      <c r="CC35" s="55">
        <f>IF('Final Calculation Sheet'!$O$35="","",'Final Calculation Sheet'!$O$35)</f>
        <v/>
      </c>
      <c r="CD35">
        <f>IF(CC35="","",COUNTIFS(CC$4:CC$40,"&lt;"&amp;CC35,CC$4:CC$40,"&lt;&gt;"&amp;"")+COUNTIF(CC$4:CC35,CC35))</f>
        <v/>
      </c>
      <c r="CE35" s="55">
        <f>IF(ROW()-3&gt;COUNTIF(CC$4:CC$40,"&lt;&gt;"&amp;""),"",INDEX(CC$4:CC$40,MATCH(ROW()-3,CD$4:CD$40,0)))</f>
        <v/>
      </c>
      <c r="CF35">
        <f>CF34+IF(AND(CE35&lt;&gt;"",COUNTIF(CE$4:CE35,CE35)=1),1,0)</f>
        <v/>
      </c>
      <c r="CG35" s="55">
        <f>IF(ROW()-3&gt;MAX(CF$4:CF$40),"",INDEX(CE$4:CE$40,MATCH(ROW()-3,CF$4:CF$40,0)))</f>
        <v/>
      </c>
      <c r="CH35" s="55">
        <f>IF('Final Calculation Sheet'!$P$35="","",'Final Calculation Sheet'!$P$35)</f>
        <v/>
      </c>
      <c r="CI35">
        <f>IF(CH35="","",COUNTIFS(CH$4:CH$40,"&lt;"&amp;CH35,CH$4:CH$40,"&lt;&gt;"&amp;"")+COUNTIF(CH$4:CH35,CH35))</f>
        <v/>
      </c>
      <c r="CJ35" s="55">
        <f>IF(ROW()-3&gt;COUNTIF(CH$4:CH$40,"&lt;&gt;"&amp;""),"",INDEX(CH$4:CH$40,MATCH(ROW()-3,CI$4:CI$40,0)))</f>
        <v/>
      </c>
      <c r="CK35">
        <f>CK34+IF(AND(CJ35&lt;&gt;"",COUNTIF(CJ$4:CJ35,CJ35)=1),1,0)</f>
        <v/>
      </c>
      <c r="CL35" s="55">
        <f>IF(ROW()-3&gt;MAX(CK$4:CK$40),"",INDEX(CJ$4:CJ$40,MATCH(ROW()-3,CK$4:CK$40,0)))</f>
        <v/>
      </c>
      <c r="CM35" s="139">
        <f>IF('Final Calculation Sheet'!$Q$35="","",'Final Calculation Sheet'!$Q$35)</f>
        <v/>
      </c>
      <c r="CN35">
        <f>IF(CM35="","",COUNTIFS(CM$4:CM$40,"&lt;"&amp;CM35,CM$4:CM$40,"&lt;&gt;"&amp;"")+COUNTIF(CM$4:CM35,CM35))</f>
        <v/>
      </c>
      <c r="CO35" s="139">
        <f>IF(ROW()-3&gt;COUNTIF(CM$4:CM$40,"&lt;&gt;"&amp;""),"",INDEX(CM$4:CM$40,MATCH(ROW()-3,CN$4:CN$40,0)))</f>
        <v/>
      </c>
      <c r="CP35">
        <f>CP34+IF(AND(CO35&lt;&gt;"",COUNTIF(CO$4:CO35,CO35)=1),1,0)</f>
        <v/>
      </c>
      <c r="CQ35">
        <f>IF(ROW()-3&gt;MAX(CP$4:CP$40),"",INDEX(CO$4:CO$40,MATCH(ROW()-3,CP$4:CP$40,0)))</f>
        <v/>
      </c>
      <c r="CR35" s="55">
        <f>IF('Final Calculation Sheet'!$R$35="","",'Final Calculation Sheet'!$R$35)</f>
        <v/>
      </c>
      <c r="CS35">
        <f>IF(CR35="","",COUNTIFS(CR$4:CR$40,"&lt;"&amp;CR35,CR$4:CR$40,"&lt;&gt;"&amp;"")+COUNTIF(CR$4:CR35,CR35))</f>
        <v/>
      </c>
      <c r="CT35" s="55">
        <f>IF(ROW()-3&gt;COUNTIF(CR$4:CR$40,"&lt;&gt;"&amp;""),"",INDEX(CR$4:CR$40,MATCH(ROW()-3,CS$4:CS$40,0)))</f>
        <v/>
      </c>
      <c r="CU35">
        <f>CU34+IF(AND(CT35&lt;&gt;"",COUNTIF(CT$4:CT35,CT35)=1),1,0)</f>
        <v/>
      </c>
      <c r="CV35">
        <f>IF(ROW()-3&gt;MAX(CU$4:CU$40),"",INDEX(CT$4:CT$40,MATCH(ROW()-3,CU$4:CU$40,0)))</f>
        <v/>
      </c>
      <c r="CW35" s="55">
        <f>IF('Final Calculation Sheet'!$S$35="","",'Final Calculation Sheet'!$S$35)</f>
        <v/>
      </c>
      <c r="CX35">
        <f>IF(CW35="","",COUNTIFS(CW$4:CW$40,"&lt;"&amp;CW35,CW$4:CW$40,"&lt;&gt;"&amp;"")+COUNTIF(CW$4:CW35,CW35))</f>
        <v/>
      </c>
      <c r="CY35" s="55">
        <f>IF(ROW()-3&gt;COUNTIF(CW$4:CW$40,"&lt;&gt;"&amp;""),"",INDEX(CW$4:CW$40,MATCH(ROW()-3,CX$4:CX$40,0)))</f>
        <v/>
      </c>
      <c r="CZ35">
        <f>CZ34+IF(AND(CY35&lt;&gt;"",COUNTIF(CY$4:CY35,CY35)=1),1,0)</f>
        <v/>
      </c>
      <c r="DA35" s="55">
        <f>IF(ROW()-3&gt;MAX(CZ$4:CZ$40),"",INDEX(CY$4:CY$40,MATCH(ROW()-3,CZ$4:CZ$40,0)))</f>
        <v/>
      </c>
      <c r="DB35" s="55">
        <f>IF('Final Calculation Sheet'!$T$35="","",'Final Calculation Sheet'!$T$35)</f>
        <v/>
      </c>
      <c r="DC35">
        <f>IF(DB35="","",COUNTIFS(DB$4:DB$40,"&lt;"&amp;DB35,DB$4:DB$40,"&lt;&gt;"&amp;"")+COUNTIF(DB$4:DB35,DB35))</f>
        <v/>
      </c>
      <c r="DD35" s="55">
        <f>IF(ROW()-3&gt;COUNTIF(DB$4:DB$40,"&lt;&gt;"&amp;""),"",INDEX(DB$4:DB$40,MATCH(ROW()-3,DC$4:DC$40,0)))</f>
        <v/>
      </c>
      <c r="DE35">
        <f>DE34+IF(AND(DD35&lt;&gt;"",COUNTIF(DD$4:DD35,DD35)=1),1,0)</f>
        <v/>
      </c>
      <c r="DF35" s="55">
        <f>IF(ROW()-3&gt;MAX(DE$4:DE$40),"",INDEX(DD$4:DD$40,MATCH(ROW()-3,DE$4:DE$40,0)))</f>
        <v/>
      </c>
      <c r="DG35" s="140">
        <f>IF('Final Calculation Sheet'!$U$35="","",'Final Calculation Sheet'!$U$35)</f>
        <v/>
      </c>
      <c r="DH35">
        <f>IF(DG35="","",COUNTIFS(DG$4:DG$40,"&lt;"&amp;DG35,DG$4:DG$40,"&lt;&gt;"&amp;"")+COUNTIF(DG$4:DG35,DG35))</f>
        <v/>
      </c>
      <c r="DI35" s="140">
        <f>IF(ROW()-3&gt;COUNTIF(DG$4:DG$40,"&lt;&gt;"&amp;""),"",INDEX(DG$4:DG$40,MATCH(ROW()-3,DH$4:DH$40,0)))</f>
        <v/>
      </c>
      <c r="DJ35">
        <f>DJ34+IF(AND(DI35&lt;&gt;"",COUNTIF(DI$4:DI35,DI35)=1),1,0)</f>
        <v/>
      </c>
      <c r="DK35" s="140">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s="55">
        <f>IF('Final Calculation Sheet'!$W$35="","",'Final Calculation Sheet'!$W$35)</f>
        <v/>
      </c>
      <c r="DR35">
        <f>IF(DQ35="","",COUNTIFS(DQ$4:DQ$40,"&lt;"&amp;DQ35,DQ$4:DQ$40,"&lt;&gt;"&amp;"")+COUNTIF(DQ$4:DQ35,DQ35))</f>
        <v/>
      </c>
      <c r="DS35" s="55">
        <f>IF(ROW()-3&gt;COUNTIF(DQ$4:DQ$40,"&lt;&gt;"&amp;""),"",INDEX(DQ$4:DQ$40,MATCH(ROW()-3,DR$4:DR$40,0)))</f>
        <v/>
      </c>
      <c r="DT35">
        <f>DT34+IF(AND(DS35&lt;&gt;"",COUNTIF(DS$4:DS35,DS35)=1),1,0)</f>
        <v/>
      </c>
      <c r="DU35" s="55">
        <f>IF(ROW()-3&gt;MAX(DT$4:DT$40),"",INDEX(DS$4:DS$40,MATCH(ROW()-3,DT$4:DT$40,0)))</f>
        <v/>
      </c>
      <c r="DV35" s="55">
        <f>IF('Final Calculation Sheet'!$X$35="","",'Final Calculation Sheet'!$X$35)</f>
        <v/>
      </c>
      <c r="DW35">
        <f>IF(DV35="","",COUNTIFS(DV$4:DV$40,"&lt;"&amp;DV35,DV$4:DV$40,"&lt;&gt;"&amp;"")+COUNTIF(DV$4:DV35,DV35))</f>
        <v/>
      </c>
      <c r="DX35" s="5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s="55">
        <f>IF('Final Calculation Sheet'!$Z$35="","",'Final Calculation Sheet'!$Z$35)</f>
        <v/>
      </c>
      <c r="EG35">
        <f>IF(EF35="","",COUNTIFS(EF$4:EF$40,"&lt;"&amp;EF35,EF$4:EF$40,"&lt;&gt;"&amp;"")+COUNTIF(EF$4:EF35,EF35))</f>
        <v/>
      </c>
      <c r="EH35" s="5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s="55">
        <f>IF('Final Calculation Sheet'!$AC$35="","",'Final Calculation Sheet'!$AC$35)</f>
        <v/>
      </c>
      <c r="EV35">
        <f>IF(EU35="","",COUNTIFS(EU$4:EU$40,"&lt;"&amp;EU35,EU$4:EU$40,"&lt;&gt;"&amp;"")+COUNTIF(EU$4:EU35,EU35))</f>
        <v/>
      </c>
      <c r="EW35" s="55">
        <f>IF(ROW()-3&gt;COUNTIF(EU$4:EU$40,"&lt;&gt;"&amp;""),"",INDEX(EU$4:EU$40,MATCH(ROW()-3,EV$4:EV$40,0)))</f>
        <v/>
      </c>
      <c r="EX35">
        <f>EX34+IF(AND(EW35&lt;&gt;"",COUNTIF(EW$4:EW35,EW35)=1),1,0)</f>
        <v/>
      </c>
      <c r="EY35" s="55">
        <f>IF(ROW()-3&gt;MAX(EX$4:EX$40),"",INDEX(EW$4:EW$40,MATCH(ROW()-3,EX$4:EX$40,0)))</f>
        <v/>
      </c>
      <c r="EZ35" s="55">
        <f>IF('Final Calculation Sheet'!$AD$35="","",'Final Calculation Sheet'!$AD$35)</f>
        <v/>
      </c>
      <c r="FA35">
        <f>IF(EZ35="","",COUNTIFS(EZ$4:EZ$40,"&lt;"&amp;EZ35,EZ$4:EZ$40,"&lt;&gt;"&amp;"")+COUNTIF(EZ$4:EZ35,EZ35))</f>
        <v/>
      </c>
      <c r="FB35" s="55">
        <f>IF(ROW()-3&gt;COUNTIF(EZ$4:EZ$40,"&lt;&gt;"&amp;""),"",INDEX(EZ$4:EZ$40,MATCH(ROW()-3,FA$4:FA$40,0)))</f>
        <v/>
      </c>
      <c r="FC35">
        <f>FC34+IF(AND(FB35&lt;&gt;"",COUNTIF(FB$4:FB35,FB35)=1),1,0)</f>
        <v/>
      </c>
      <c r="FD35">
        <f>IF(ROW()-3&gt;MAX(FC$4:FC$40),"",INDEX(FB$4:FB$40,MATCH(ROW()-3,FC$4:FC$40,0)))</f>
        <v/>
      </c>
      <c r="FE35">
        <f>IF('Final Calculation Sheet'!$AF$35="","",'Final Calculation Sheet'!$AF$35)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s="141">
        <f>IF('Final Calculation Sheet'!$AG$35="","",'Final Calculation Sheet'!$AG$35)</f>
        <v/>
      </c>
      <c r="FK35">
        <f>IF(FJ35="","",COUNTIFS(FJ$4:FJ$40,"&lt;"&amp;FJ35,FJ$4:FJ$40,"&lt;&gt;"&amp;"")+COUNTIF(FJ$4:FJ35,FJ35))</f>
        <v/>
      </c>
      <c r="FL35" s="141">
        <f>IF(ROW()-3&gt;COUNTIF(FJ$4:FJ$40,"&lt;&gt;"&amp;""),"",INDEX(FJ$4:FJ$40,MATCH(ROW()-3,FK$4:FK$40,0)))</f>
        <v/>
      </c>
      <c r="FM35">
        <f>FM34+IF(AND(FL35&lt;&gt;"",COUNTIF(FL$4:FL35,FL35)=1),1,0)</f>
        <v/>
      </c>
      <c r="FN35">
        <f>IF(ROW()-3&gt;MAX(FM$4:FM$40),"",INDEX(FL$4:FL$40,MATCH(ROW()-3,FM$4:FM$40,0)))</f>
        <v/>
      </c>
      <c r="FO35">
        <f>IF('Final Calculation Sheet'!$AH$35="","",'Final Calculation Sheet'!$AH$35)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c r="FY35">
        <f>IF(COUNTIF('Live Search'!BM$34:BO$34,0)+COUNTIF('Live Search'!BQ$34:CU$34,0)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5">
        <f>IF($Y$35="",FALSE,SUMPRODUCT(('Final Calculation Sheet'!$B$4:$B$40=$Y$35)*($FY$6:$FY$42=1))&gt;0)</f>
        <v/>
      </c>
      <c r="GA35">
        <f>$GA$34+--($FZ$35)</f>
        <v/>
      </c>
      <c r="GB35">
        <f>IF(ROW()-3&gt;MAX($GA$4:$GA$40),"",INDEX($Y$4:$Y$40,MATCH(ROW()-3,$GA$4:$GA$40,0)))</f>
        <v/>
      </c>
      <c r="GC35">
        <f>IF(COUNTIF('Live Search'!BM$34:BM$34,0)+COUNTIF('Live Search'!BO$34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D35">
        <f>IF($O$35="",FALSE,SUMPRODUCT(('Final Calculation Sheet'!$F$4:$F$40=$O$35)*($GC$6:$GC$42=1))&gt;0)</f>
        <v/>
      </c>
      <c r="GE35">
        <f>$GE$34+--($GD35)</f>
        <v/>
      </c>
      <c r="GF35">
        <f>IF(ROW()-3&gt;MAX($GE$4:$GE$40),"",INDEX($O$4:$O$40,MATCH(ROW()-3,$GE$4:$GE$40,0)))</f>
        <v/>
      </c>
      <c r="GG35">
        <f>IF(COUNTIF('Live Search'!BM$34:BN$34,0)+COUNTIF('Live Search'!BP$34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H35">
        <f>IF($T$35="",FALSE,SUMPRODUCT(('Final Calculation Sheet'!$G$4:$G$40=$T$35)*($GG$6:$GG$42=1))&gt;0)</f>
        <v/>
      </c>
      <c r="GI35">
        <f>$GI$34+--($GH35)</f>
        <v/>
      </c>
      <c r="GJ35">
        <f>IF(ROW()-3&gt;MAX($GI$4:$GI$40),"",INDEX($T$4:$T$40,MATCH(ROW()-3,$GI$4:$GI$40,0)))</f>
        <v/>
      </c>
      <c r="GK35">
        <f>IF(COUNTIF('Live Search'!BM$34:BP$34,0)+COUNTIF('Live Search'!BR$34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L35">
        <f>IF($AD$35="",FALSE,SUMPRODUCT(('Final Calculation Sheet'!$D$4:$D$40=$AD$35)*($GK$6:$GK$42=1))&gt;0)</f>
        <v/>
      </c>
      <c r="GM35">
        <f>$GM$34+--($GL35)</f>
        <v/>
      </c>
      <c r="GN35">
        <f>IF(ROW()-3&gt;MAX($GM$4:$GM$40),"",INDEX($AD$4:$AD$40,MATCH(ROW()-3,$GM$4:$GM$40,0)))</f>
        <v/>
      </c>
      <c r="GO35">
        <f>IF(COUNTIF('Live Search'!BM$34:BQ$34,0)+COUNTIF('Live Search'!BS$34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P35">
        <f>IF($AI$35="",FALSE,SUMPRODUCT(('Final Calculation Sheet'!$A$4:$A$40=$AI$35)*($GO$6:$GO$42=1))&gt;0)</f>
        <v/>
      </c>
      <c r="GQ35">
        <f>$GQ$34+--($GP35)</f>
        <v/>
      </c>
      <c r="GR35">
        <f>IF(ROW()-3&gt;MAX($GQ$4:$GQ$40),"",INDEX($AI$4:$AI$40,MATCH(ROW()-3,$GQ$4:$GQ$40,0)))</f>
        <v/>
      </c>
      <c r="GS35">
        <f>IF(COUNTIF('Live Search'!BM$34:BR$34,0)+COUNTIF('Live Search'!BT$34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T35">
        <f>IF($AN$35="",FALSE,SUMPRODUCT(('Final Calculation Sheet'!$E$4:$E$40=$AN$35)*($GS$6:$GS$42=1))&gt;0)</f>
        <v/>
      </c>
      <c r="GU35">
        <f>$GU$34+--($GT35)</f>
        <v/>
      </c>
      <c r="GV35">
        <f>IF(ROW()-3&gt;MAX($GU$4:$GU$40),"",INDEX($AN$4:$AN$40,MATCH(ROW()-3,$GU$4:$GU$40,0)))</f>
        <v/>
      </c>
      <c r="GW35">
        <f>IF(COUNTIF('Live Search'!BM$34:BS$34,0)+COUNTIF('Live Search'!BU$34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GX35">
        <f>IF($AS$35="",FALSE,SUMPRODUCT(('Final Calculation Sheet'!$C$4:$C$40=$AS$35)*($GW$6:$GW$42=1))&gt;0)</f>
        <v/>
      </c>
      <c r="GY35">
        <f>$GY$34+--($GX35)</f>
        <v/>
      </c>
      <c r="GZ35">
        <f>IF(ROW()-3&gt;MAX($GY$4:$GY$40),"",INDEX($AS$4:$AS$40,MATCH(ROW()-3,$GY$4:$GY$40,0)))</f>
        <v/>
      </c>
      <c r="HA35">
        <f>IF(COUNTIF('Live Search'!BM$34:BT$34,0)+COUNTIF('Live Search'!BV$34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B35">
        <f>IF($AX$35="",FALSE,SUMPRODUCT(('Final Calculation Sheet'!$H$4:$H$40=$AX$35)*($HA$6:$HA$42=1))&gt;0)</f>
        <v/>
      </c>
      <c r="HC35">
        <f>$HC$34+--($HB35)</f>
        <v/>
      </c>
      <c r="HD35">
        <f>IF(ROW()-3&gt;MAX($HC$4:$HC$40),"",INDEX($AX$4:$AX$40,MATCH(ROW()-3,$HC$4:$HC$40,0)))</f>
        <v/>
      </c>
      <c r="HE35">
        <f>IF(COUNTIF('Live Search'!BM$34:BU$34,0)+COUNTIF('Live Search'!BW$34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F35">
        <f>IF($BC$35="",FALSE,SUMPRODUCT(('Final Calculation Sheet'!$I$4:$I$40=$BC$35)*($HE$6:$HE$42=1))&gt;0)</f>
        <v/>
      </c>
      <c r="HG35">
        <f>$HG$34+--($HF35)</f>
        <v/>
      </c>
      <c r="HH35">
        <f>IF(ROW()-3&gt;MAX($HG$4:$HG$40),"",INDEX($BC$4:$BC$40,MATCH(ROW()-3,$HG$4:$HG$40,0)))</f>
        <v/>
      </c>
      <c r="HI35">
        <f>IF(COUNTIF('Live Search'!BM$34:BV$34,0)+COUNTIF('Live Search'!BX$34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J35">
        <f>IF($BH$35="",FALSE,SUMPRODUCT(('Final Calculation Sheet'!$J$4:$J$40=$BH$35)*($HI$6:$HI$42=1))&gt;0)</f>
        <v/>
      </c>
      <c r="HK35">
        <f>$HK$34+--($HJ35)</f>
        <v/>
      </c>
      <c r="HL35">
        <f>IF(ROW()-3&gt;MAX($HK$4:$HK$40),"",INDEX($BH$4:$BH$40,MATCH(ROW()-3,$HK$4:$HK$40,0)))</f>
        <v/>
      </c>
      <c r="HM35">
        <f>IF(COUNTIF('Live Search'!BM$34:BW$34,0)+COUNTIF('Live Search'!BY$34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N35">
        <f>IF($BM$35="",FALSE,SUMPRODUCT(('Final Calculation Sheet'!$K$4:$K$40=$BM$35)*($HM$6:$HM$42=1))&gt;0)</f>
        <v/>
      </c>
      <c r="HO35">
        <f>$HO$34+--($HN35)</f>
        <v/>
      </c>
      <c r="HP35">
        <f>IF(ROW()-3&gt;MAX($HO$4:$HO$40),"",INDEX($BM$4:$BM$40,MATCH(ROW()-3,$HO$4:$HO$40,0)))</f>
        <v/>
      </c>
      <c r="HQ35">
        <f>IF(COUNTIF('Live Search'!BM$34:BX$34,0)+COUNTIF('Live Search'!BZ$34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R35">
        <f>IF($BR$35="",FALSE,SUMPRODUCT(('Final Calculation Sheet'!$L$4:$L$40=$BR$35)*($HQ$6:$HQ$42=1))&gt;0)</f>
        <v/>
      </c>
      <c r="HS35">
        <f>$HS$34+--($HR35)</f>
        <v/>
      </c>
      <c r="HT35">
        <f>IF(ROW()-3&gt;MAX($HS$4:$HS$40),"",INDEX($BR$4:$BR$40,MATCH(ROW()-3,$HS$4:$HS$40,0)))</f>
        <v/>
      </c>
      <c r="HU35">
        <f>IF(COUNTIF('Live Search'!BM$34:BY$34,0)+COUNTIF('Live Search'!CA$34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V35">
        <f>IF($BW$35="",FALSE,SUMPRODUCT(('Final Calculation Sheet'!$M$4:$M$40=$BW$35)*($HU$6:$HU$42=1))&gt;0)</f>
        <v/>
      </c>
      <c r="HW35">
        <f>$HW$34+--($HV35)</f>
        <v/>
      </c>
      <c r="HX35">
        <f>IF(ROW()-3&gt;MAX($HW$4:$HW$40),"",INDEX($BW$4:$BW$40,MATCH(ROW()-3,$HW$4:$HW$40,0)))</f>
        <v/>
      </c>
      <c r="HY35">
        <f>IF(COUNTIF('Live Search'!BM$34:BZ$34,0)+COUNTIF('Live Search'!CB$34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HZ35">
        <f>IF($CB$35="",FALSE,SUMPRODUCT(('Final Calculation Sheet'!$N$4:$N$40=$CB$35)*($HY$6:$HY$42=1))&gt;0)</f>
        <v/>
      </c>
      <c r="IA35">
        <f>$IA$34+--($HZ35)</f>
        <v/>
      </c>
      <c r="IB35">
        <f>IF(ROW()-3&gt;MAX($IA$4:$IA$40),"",INDEX($CB$4:$CB$40,MATCH(ROW()-3,$IA$4:$IA$40,0)))</f>
        <v/>
      </c>
      <c r="IC35">
        <f>IF(COUNTIF('Live Search'!BM$34:CA$34,0)+COUNTIF('Live Search'!CC$34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D35">
        <f>IF($CG$35="",FALSE,SUMPRODUCT(('Final Calculation Sheet'!$O$4:$O$40=$CG$35)*($IC$6:$IC$42=1))&gt;0)</f>
        <v/>
      </c>
      <c r="IE35">
        <f>$IE$34+--($ID35)</f>
        <v/>
      </c>
      <c r="IF35">
        <f>IF(ROW()-3&gt;MAX($IE$4:$IE$40),"",INDEX($CG$4:$CG$40,MATCH(ROW()-3,$IE$4:$IE$40,0)))</f>
        <v/>
      </c>
      <c r="IG35">
        <f>IF(COUNTIF('Live Search'!BM$34:CB$34,0)+COUNTIF('Live Search'!CD$34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H35">
        <f>IF($CL$35="",FALSE,SUMPRODUCT(('Final Calculation Sheet'!$P$4:$P$40=$CL$35)*($IG$6:$IG$42=1))&gt;0)</f>
        <v/>
      </c>
      <c r="II35">
        <f>$II$34+--($IH35)</f>
        <v/>
      </c>
      <c r="IJ35">
        <f>IF(ROW()-3&gt;MAX($II$4:$II$40),"",INDEX($CL$4:$CL$40,MATCH(ROW()-3,$II$4:$II$40,0)))</f>
        <v/>
      </c>
      <c r="IK35">
        <f>IF(COUNTIF('Live Search'!BM$34:CC$34,0)+COUNTIF('Live Search'!CE$34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L35">
        <f>IF($CQ$35="",FALSE,SUMPRODUCT(('Final Calculation Sheet'!$Q$4:$Q$40=$CQ$35)*($IK$6:$IK$42=1))&gt;0)</f>
        <v/>
      </c>
      <c r="IM35">
        <f>$IM$34+--($IL35)</f>
        <v/>
      </c>
      <c r="IN35">
        <f>IF(ROW()-3&gt;MAX($IM$4:$IM$40),"",INDEX($CQ$4:$CQ$40,MATCH(ROW()-3,$IM$4:$IM$40,0)))</f>
        <v/>
      </c>
      <c r="IO35">
        <f>IF(COUNTIF('Live Search'!BM$34:CD$34,0)+COUNTIF('Live Search'!CF$34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P35">
        <f>IF($CV$35="",FALSE,SUMPRODUCT(('Final Calculation Sheet'!$R$4:$R$40=$CV$35)*($IO$6:$IO$42=1))&gt;0)</f>
        <v/>
      </c>
      <c r="IQ35">
        <f>$IQ$34+--($IP35)</f>
        <v/>
      </c>
      <c r="IR35">
        <f>IF(ROW()-3&gt;MAX($IQ$4:$IQ$40),"",INDEX($CV$4:$CV$40,MATCH(ROW()-3,$IQ$4:$IQ$40,0)))</f>
        <v/>
      </c>
      <c r="IS35">
        <f>IF(COUNTIF('Live Search'!BM$34:CE$34,0)+COUNTIF('Live Search'!CG$34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T35">
        <f>IF($DA$35="",FALSE,SUMPRODUCT(('Final Calculation Sheet'!$S$4:$S$40=$DA$35)*($IS$6:$IS$42=1))&gt;0)</f>
        <v/>
      </c>
      <c r="IU35">
        <f>$IU$34+--($IT35)</f>
        <v/>
      </c>
      <c r="IV35">
        <f>IF(ROW()-3&gt;MAX($IU$4:$IU$40),"",INDEX($DA$4:$DA$40,MATCH(ROW()-3,$IU$4:$IU$40,0)))</f>
        <v/>
      </c>
      <c r="IW35">
        <f>IF(COUNTIF('Live Search'!BM$34:CF$34,0)+COUNTIF('Live Search'!CH$34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IX35">
        <f>IF($DF$35="",FALSE,SUMPRODUCT(('Final Calculation Sheet'!$T$4:$T$40=$DF$35)*($IW$6:$IW$42=1))&gt;0)</f>
        <v/>
      </c>
      <c r="IY35">
        <f>$IY$34+--($IX35)</f>
        <v/>
      </c>
      <c r="IZ35">
        <f>IF(ROW()-3&gt;MAX($IY$4:$IY$40),"",INDEX($DF$4:$DF$40,MATCH(ROW()-3,$IY$4:$IY$40,0)))</f>
        <v/>
      </c>
      <c r="JA35">
        <f>IF(COUNTIF('Live Search'!BM$34:CG$34,0)+COUNTIF('Live Search'!CI$34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B35">
        <f>IF($DK$35="",FALSE,SUMPRODUCT(('Final Calculation Sheet'!$U$4:$U$40=$DK$35)*($JA$6:$JA$42=1))&gt;0)</f>
        <v/>
      </c>
      <c r="JC35">
        <f>$JC$34+--($JB35)</f>
        <v/>
      </c>
      <c r="JD35">
        <f>IF(ROW()-3&gt;MAX($JC$4:$JC$40),"",INDEX($DK$4:$DK$40,MATCH(ROW()-3,$JC$4:$JC$40,0)))</f>
        <v/>
      </c>
      <c r="JE35">
        <f>IF(COUNTIF('Live Search'!BM$34:CH$34,0)+COUNTIF('Live Search'!CJ$34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F35">
        <f>IF($DP$35="",FALSE,SUMPRODUCT(('Final Calculation Sheet'!$V$4:$V$40=$DP$35)*($JE$6:$JE$42=1))&gt;0)</f>
        <v/>
      </c>
      <c r="JG35">
        <f>$JG$34+--($JF35)</f>
        <v/>
      </c>
      <c r="JH35">
        <f>IF(ROW()-3&gt;MAX($JG$4:$JG$40),"",INDEX($DP$4:$DP$40,MATCH(ROW()-3,$JG$4:$JG$40,0)))</f>
        <v/>
      </c>
      <c r="JI35">
        <f>IF(COUNTIF('Live Search'!BM$34:CI$34,0)+COUNTIF('Live Search'!CK$34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J35">
        <f>IF($DU$35="",FALSE,SUMPRODUCT(('Final Calculation Sheet'!$W$4:$W$40=$DU$35)*($JI$6:$JI$42=1))&gt;0)</f>
        <v/>
      </c>
      <c r="JK35">
        <f>$JK$34+--($JJ35)</f>
        <v/>
      </c>
      <c r="JL35">
        <f>IF(ROW()-3&gt;MAX($JK$4:$JK$40),"",INDEX($DU$4:$DU$40,MATCH(ROW()-3,$JK$4:$JK$40,0)))</f>
        <v/>
      </c>
      <c r="JM35">
        <f>IF(COUNTIF('Live Search'!BM$34:CJ$34,0)+COUNTIF('Live Search'!CL$34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N35">
        <f>IF($DZ$35="",FALSE,SUMPRODUCT(('Final Calculation Sheet'!$X$4:$X$40=$DZ$35)*($JM$6:$JM$42=1))&gt;0)</f>
        <v/>
      </c>
      <c r="JO35">
        <f>$JO$34+--($JN35)</f>
        <v/>
      </c>
      <c r="JP35">
        <f>IF(ROW()-3&gt;MAX($JO$4:$JO$40),"",INDEX($DZ$4:$DZ$40,MATCH(ROW()-3,$JO$4:$JO$40,0)))</f>
        <v/>
      </c>
      <c r="JQ35">
        <f>IF(COUNTIF('Live Search'!BM$34:CK$34,0)+COUNTIF('Live Search'!C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R35">
        <f>IF($EE$35="",FALSE,SUMPRODUCT(('Final Calculation Sheet'!$Y$4:$Y$40=$EE$35)*($JQ$6:$JQ$42=1))&gt;0)</f>
        <v/>
      </c>
      <c r="JS35">
        <f>$JS$34+--($JR35)</f>
        <v/>
      </c>
      <c r="JT35">
        <f>IF(ROW()-3&gt;MAX($JS$4:$JS$40),"",INDEX($EE$4:$EE$40,MATCH(ROW()-3,$JS$4:$JS$40,0)))</f>
        <v/>
      </c>
      <c r="JU35">
        <f>IF(COUNTIF('Live Search'!BM$34:CL$34,0)+COUNTIF('Live Search'!CN$34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V35">
        <f>IF($EJ$35="",FALSE,SUMPRODUCT(('Final Calculation Sheet'!$Z$4:$Z$40=$EJ$35)*($JU$6:$JU$42=1))&gt;0)</f>
        <v/>
      </c>
      <c r="JW35">
        <f>$JW$34+--($JV35)</f>
        <v/>
      </c>
      <c r="JX35">
        <f>IF(ROW()-3&gt;MAX($JW$4:$JW$40),"",INDEX($EJ$4:$EJ$40,MATCH(ROW()-3,$JW$4:$JW$40,0)))</f>
        <v/>
      </c>
      <c r="JY35">
        <f>IF(COUNTIF('Live Search'!BM$34:CM$34,0)+COUNTIF('Live Search'!CO$34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JZ35">
        <f>IF($EO$35="",FALSE,SUMPRODUCT(('Final Calculation Sheet'!$AA$4:$AA$40=$EO$35)*($JY$6:$JY$42=1))&gt;0)</f>
        <v/>
      </c>
      <c r="KA35">
        <f>$KA$34+--($JZ35)</f>
        <v/>
      </c>
      <c r="KB35">
        <f>IF(ROW()-3&gt;MAX($KA$4:$KA$40),"",INDEX($EO$4:$EO$40,MATCH(ROW()-3,$KA$4:$KA$40,0)))</f>
        <v/>
      </c>
      <c r="KC35">
        <f>IF(COUNTIF('Live Search'!BM$34:CN$34,0)+COUNTIF('Live Search'!CP$34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D35">
        <f>IF($ET$35="",FALSE,SUMPRODUCT(('Final Calculation Sheet'!$AB$4:$AB$40=$ET$35)*($KC$6:$KC$42=1))&gt;0)</f>
        <v/>
      </c>
      <c r="KE35">
        <f>$KE$34+--($KD35)</f>
        <v/>
      </c>
      <c r="KF35">
        <f>IF(ROW()-3&gt;MAX($KE$4:$KE$40),"",INDEX($ET$4:$ET$40,MATCH(ROW()-3,$KE$4:$KE$40,0)))</f>
        <v/>
      </c>
      <c r="KG35">
        <f>IF(COUNTIF('Live Search'!BM$34:CO$34,0)+COUNTIF('Live Search'!CQ$34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H35">
        <f>IF($EY$35="",FALSE,SUMPRODUCT(('Final Calculation Sheet'!$AC$4:$AC$40=$EY$35)*($KG$6:$KG$42=1))&gt;0)</f>
        <v/>
      </c>
      <c r="KI35">
        <f>$KI$34+--($KH35)</f>
        <v/>
      </c>
      <c r="KJ35">
        <f>IF(ROW()-3&gt;MAX($KI$4:$KI$40),"",INDEX($EY$4:$EY$40,MATCH(ROW()-3,$KI$4:$KI$40,0)))</f>
        <v/>
      </c>
      <c r="KK35">
        <f>IF(COUNTIF('Live Search'!BM$34:CP$34,0)+COUNTIF('Live Search'!CR$34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L35">
        <f>IF($FD$35="",FALSE,SUMPRODUCT(('Final Calculation Sheet'!$AD$4:$AD$40=$FD$35)*($KK$6:$KK$42=1))&gt;0)</f>
        <v/>
      </c>
      <c r="KM35">
        <f>$KM$34+--($KL35)</f>
        <v/>
      </c>
      <c r="KN35">
        <f>IF(ROW()-3&gt;MAX($KM$4:$KM$40),"",INDEX($FD$4:$FD$40,MATCH(ROW()-3,$KM$4:$KM$40,0)))</f>
        <v/>
      </c>
      <c r="KO35">
        <f>IF(COUNTIF('Live Search'!BM$34:CT$34,0)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P35">
        <f>IF($FX$35="",FALSE,SUMPRODUCT((IF('Final Calculation Sheet'!$AD$4:$AD$40&lt;=5,"SETTLED","OUTSTANDING")=$FX$35)*($KO$6:$KO$42=1))&gt;0)</f>
        <v/>
      </c>
      <c r="KQ35">
        <f>$KQ$34+--($KP35)</f>
        <v/>
      </c>
      <c r="KR35">
        <f>IF(ROW()-3&gt;MAX($KQ$4:$KQ$40),"",INDEX($FX$4:$FX$40,MATCH(ROW()-3,$KQ$4:$KQ$40,0)))</f>
        <v/>
      </c>
      <c r="KS35">
        <f>IF(COUNTIF('Live Search'!BM$34:CQ$34,0)+COUNTIF('Live Search'!CS$34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T35">
        <f>IF($FI$35="",FALSE,SUMPRODUCT(('Final Calculation Sheet'!$AF$4:$AF$40=$FI$35)*($KS$6:$KS$42=1))&gt;0)</f>
        <v/>
      </c>
      <c r="KU35">
        <f>$KU$34+--($KT35)</f>
        <v/>
      </c>
      <c r="KV35">
        <f>IF(ROW()-3&gt;MAX($KU$4:$KU$40),"",INDEX($FI$4:$FI$40,MATCH(ROW()-3,$KU$4:$KU$40,0)))</f>
        <v/>
      </c>
      <c r="KW35">
        <f>IF(COUNTIF('Live Search'!BM$34:CR$34,0)+COUNTIF('Live Search'!CT$34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KX35">
        <f>IF($FN$35="",FALSE,SUMPRODUCT(('Final Calculation Sheet'!$AG$4:$AG$40=$FN$35)*($KW$6:$KW$42=1))&gt;0)</f>
        <v/>
      </c>
      <c r="KY35">
        <f>$KY$34+--($KX35)</f>
        <v/>
      </c>
      <c r="KZ35">
        <f>IF(ROW()-3&gt;MAX($KY$4:$KY$40),"",INDEX($FN$4:$FN$40,MATCH(ROW()-3,$KY$4:$KY$40,0)))</f>
        <v/>
      </c>
      <c r="LA35">
        <f>IF(COUNTIF('Live Search'!BM$34:CS$34,0)+COUNTIF('Live Search'!CU$34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LB35">
        <f>IF($FS$35="",FALSE,SUMPRODUCT(('Final Calculation Sheet'!$AH$4:$AH$40=$FS$35)*($LA$6:$LA$42=1))&gt;0)</f>
        <v/>
      </c>
      <c r="LC35">
        <f>$LC$34+--($LB35)</f>
        <v/>
      </c>
      <c r="LD35">
        <f>IF(ROW()-3&gt;MAX($LC$4:$LC$40),"",INDEX($FS$4:$FS$40,MATCH(ROW()-3,$LC$4:$LC$40,0)))</f>
        <v/>
      </c>
      <c r="LE35">
        <f>IF(COUNTIF('Buyer Groups'!DH88:EN88,0)&gt;0,0,1)</f>
        <v/>
      </c>
      <c r="LF35">
        <f>IF($O$35="",FALSE,SUMPRODUCT(('Final Calculation Sheet'!$F$4:$F$40=$O$35)*($LE$6:$LE$42=1))&gt;0)</f>
        <v/>
      </c>
      <c r="LG35">
        <f>$LG$34+--($LF35)</f>
        <v/>
      </c>
      <c r="LH35">
        <f>IF(ROW()-3&gt;MAX($LG$4:$LG$40),"",INDEX($O$4:$O$40,MATCH(ROW()-3,$LG$4:$LG$40,0)))</f>
        <v/>
      </c>
      <c r="LI35">
        <f>IF(COUNTIF('Buyer Groups'!DG88:DG88,0)+COUNTIF('Buyer Groups'!DI88:EN88,0)&gt;0,0,1)</f>
        <v/>
      </c>
      <c r="LJ35">
        <f>IF($T$35="",FALSE,SUMPRODUCT(('Final Calculation Sheet'!$G$4:$G$40=$T$35)*($LI$6:$LI$42=1))&gt;0)</f>
        <v/>
      </c>
      <c r="LK35">
        <f>$LK$34+--($LJ35)</f>
        <v/>
      </c>
      <c r="LL35">
        <f>IF(ROW()-3&gt;MAX($LK$4:$LK$40),"",INDEX($T$4:$T$40,MATCH(ROW()-3,$LK$4:$LK$40,0)))</f>
        <v/>
      </c>
      <c r="LM35">
        <f>IF(COUNTIF('Buyer Groups'!DG88:DH88,0)+COUNTIF('Buyer Groups'!DJ88:EN88,0)&gt;0,0,1)</f>
        <v/>
      </c>
      <c r="LN35">
        <f>IF($Y$35="",FALSE,SUMPRODUCT(('Final Calculation Sheet'!$B$4:$B$40=$Y$35)*($LM$6:$LM$42=1))&gt;0)</f>
        <v/>
      </c>
      <c r="LO35">
        <f>$LO$34+--($LN35)</f>
        <v/>
      </c>
      <c r="LP35">
        <f>IF(ROW()-3&gt;MAX($LO$4:$LO$40),"",INDEX($Y$4:$Y$40,MATCH(ROW()-3,$LO$4:$LO$40,0)))</f>
        <v/>
      </c>
      <c r="LQ35">
        <f>IF(COUNTIF('Buyer Groups'!DG88:DI88,0)+COUNTIF('Buyer Groups'!DK88:EN88,0)&gt;0,0,1)</f>
        <v/>
      </c>
      <c r="LR35">
        <f>IF($AD$35="",FALSE,SUMPRODUCT(('Final Calculation Sheet'!$D$4:$D$40=$AD$35)*($LQ$6:$LQ$42=1))&gt;0)</f>
        <v/>
      </c>
      <c r="LS35">
        <f>$LS$34+--($LR35)</f>
        <v/>
      </c>
      <c r="LT35">
        <f>IF(ROW()-3&gt;MAX($LS$4:$LS$40),"",INDEX($AD$4:$AD$40,MATCH(ROW()-3,$LS$4:$LS$40,0)))</f>
        <v/>
      </c>
      <c r="LU35">
        <f>IF(COUNTIF('Buyer Groups'!DG88:DJ88,0)+COUNTIF('Buyer Groups'!DL88:EN88,0)&gt;0,0,1)</f>
        <v/>
      </c>
      <c r="LV35">
        <f>IF($AI$35="",FALSE,SUMPRODUCT(('Final Calculation Sheet'!$A$4:$A$40=$AI$35)*($LU$6:$LU$42=1))&gt;0)</f>
        <v/>
      </c>
      <c r="LW35">
        <f>$LW$34+--($LV35)</f>
        <v/>
      </c>
      <c r="LX35">
        <f>IF(ROW()-3&gt;MAX($LW$4:$LW$40),"",INDEX($AI$4:$AI$40,MATCH(ROW()-3,$LW$4:$LW$40,0)))</f>
        <v/>
      </c>
      <c r="LY35">
        <f>IF(COUNTIF('Buyer Groups'!DG88:DK88,0)+COUNTIF('Buyer Groups'!DM88:EN88,0)&gt;0,0,1)</f>
        <v/>
      </c>
      <c r="LZ35">
        <f>IF($AN$35="",FALSE,SUMPRODUCT(('Final Calculation Sheet'!$E$4:$E$40=$AN$35)*($LY$6:$LY$42=1))&gt;0)</f>
        <v/>
      </c>
      <c r="MA35">
        <f>$MA$34+--($LZ35)</f>
        <v/>
      </c>
      <c r="MB35">
        <f>IF(ROW()-3&gt;MAX($MA$4:$MA$40),"",INDEX($AN$4:$AN$40,MATCH(ROW()-3,$MA$4:$MA$40,0)))</f>
        <v/>
      </c>
      <c r="MC35">
        <f>IF(COUNTIF('Buyer Groups'!DG88:DL88,0)+COUNTIF('Buyer Groups'!DN88:EN88,0)&gt;0,0,1)</f>
        <v/>
      </c>
      <c r="MD35">
        <f>IF($AS$35="",FALSE,SUMPRODUCT(('Final Calculation Sheet'!$C$4:$C$40=$AS$35)*($MC$6:$MC$42=1))&gt;0)</f>
        <v/>
      </c>
      <c r="ME35">
        <f>$ME$34+--($MD35)</f>
        <v/>
      </c>
      <c r="MF35">
        <f>IF(ROW()-3&gt;MAX($ME$4:$ME$40),"",INDEX($AS$4:$AS$40,MATCH(ROW()-3,$ME$4:$ME$40,0)))</f>
        <v/>
      </c>
      <c r="MG35">
        <f>IF(COUNTIF('Buyer Groups'!DG88:DM88,0)+COUNTIF('Buyer Groups'!DO88:EN88,0)&gt;0,0,1)</f>
        <v/>
      </c>
      <c r="MH35">
        <f>IF($AX$35="",FALSE,SUMPRODUCT(('Final Calculation Sheet'!$H$4:$H$40=$AX$35)*($MG$6:$MG$42=1))&gt;0)</f>
        <v/>
      </c>
      <c r="MI35">
        <f>$MI$34+--($MH35)</f>
        <v/>
      </c>
      <c r="MJ35">
        <f>IF(ROW()-3&gt;MAX($MI$4:$MI$40),"",INDEX($AX$4:$AX$40,MATCH(ROW()-3,$MI$4:$MI$40,0)))</f>
        <v/>
      </c>
      <c r="MK35">
        <f>IF(COUNTIF('Buyer Groups'!DG88:DN88,0)+COUNTIF('Buyer Groups'!DP88:EN88,0)&gt;0,0,1)</f>
        <v/>
      </c>
      <c r="ML35">
        <f>IF($BC$35="",FALSE,SUMPRODUCT(('Final Calculation Sheet'!$I$4:$I$40=$BC$35)*($MK$6:$MK$42=1))&gt;0)</f>
        <v/>
      </c>
      <c r="MM35">
        <f>$MM$34+--($ML35)</f>
        <v/>
      </c>
      <c r="MN35">
        <f>IF(ROW()-3&gt;MAX($MM$4:$MM$40),"",INDEX($BC$4:$BC$40,MATCH(ROW()-3,$MM$4:$MM$40,0)))</f>
        <v/>
      </c>
      <c r="MO35">
        <f>IF(COUNTIF('Buyer Groups'!DG88:DO88,0)+COUNTIF('Buyer Groups'!DQ88:EN88,0)&gt;0,0,1)</f>
        <v/>
      </c>
      <c r="MP35">
        <f>IF($BH$35="",FALSE,SUMPRODUCT(('Final Calculation Sheet'!$J$4:$J$40=$BH$35)*($MO$6:$MO$42=1))&gt;0)</f>
        <v/>
      </c>
      <c r="MQ35">
        <f>$MQ$34+--($MP35)</f>
        <v/>
      </c>
      <c r="MR35">
        <f>IF(ROW()-3&gt;MAX($MQ$4:$MQ$40),"",INDEX($BH$4:$BH$40,MATCH(ROW()-3,$MQ$4:$MQ$40,0)))</f>
        <v/>
      </c>
      <c r="MS35">
        <f>IF(COUNTIF('Buyer Groups'!DG88:DP88,0)+COUNTIF('Buyer Groups'!DR88:EN88,0)&gt;0,0,1)</f>
        <v/>
      </c>
      <c r="MT35">
        <f>IF($BM$35="",FALSE,SUMPRODUCT(('Final Calculation Sheet'!$K$4:$K$40=$BM$35)*($MS$6:$MS$42=1))&gt;0)</f>
        <v/>
      </c>
      <c r="MU35">
        <f>$MU$34+--($MT35)</f>
        <v/>
      </c>
      <c r="MV35">
        <f>IF(ROW()-3&gt;MAX($MU$4:$MU$40),"",INDEX($BM$4:$BM$40,MATCH(ROW()-3,$MU$4:$MU$40,0)))</f>
        <v/>
      </c>
      <c r="MW35">
        <f>IF(COUNTIF('Buyer Groups'!DG88:DQ88,0)+COUNTIF('Buyer Groups'!DS88:EN88,0)&gt;0,0,1)</f>
        <v/>
      </c>
      <c r="MX35">
        <f>IF($BR$35="",FALSE,SUMPRODUCT(('Final Calculation Sheet'!$L$4:$L$40=$BR$35)*($MW$6:$MW$42=1))&gt;0)</f>
        <v/>
      </c>
      <c r="MY35">
        <f>$MY$34+--($MX35)</f>
        <v/>
      </c>
      <c r="MZ35">
        <f>IF(ROW()-3&gt;MAX($MY$4:$MY$40),"",INDEX($BR$4:$BR$40,MATCH(ROW()-3,$MY$4:$MY$40,0)))</f>
        <v/>
      </c>
      <c r="NA35">
        <f>IF(COUNTIF('Buyer Groups'!DG88:DR88,0)+COUNTIF('Buyer Groups'!DT88:EN88,0)&gt;0,0,1)</f>
        <v/>
      </c>
      <c r="NB35">
        <f>IF($BW$35="",FALSE,SUMPRODUCT(('Final Calculation Sheet'!$M$4:$M$40=$BW$35)*($NA$6:$NA$42=1))&gt;0)</f>
        <v/>
      </c>
      <c r="NC35">
        <f>$NC$34+--($NB35)</f>
        <v/>
      </c>
      <c r="ND35">
        <f>IF(ROW()-3&gt;MAX($NC$4:$NC$40),"",INDEX($BW$4:$BW$40,MATCH(ROW()-3,$NC$4:$NC$40,0)))</f>
        <v/>
      </c>
      <c r="NE35">
        <f>IF(COUNTIF('Buyer Groups'!DG88:DS88,0)+COUNTIF('Buyer Groups'!DU88:EN88,0)&gt;0,0,1)</f>
        <v/>
      </c>
      <c r="NF35">
        <f>IF($CB$35="",FALSE,SUMPRODUCT(('Final Calculation Sheet'!$N$4:$N$40=$CB$35)*($NE$6:$NE$42=1))&gt;0)</f>
        <v/>
      </c>
      <c r="NG35">
        <f>$NG$34+--($NF35)</f>
        <v/>
      </c>
      <c r="NH35">
        <f>IF(ROW()-3&gt;MAX($NG$4:$NG$40),"",INDEX($CB$4:$CB$40,MATCH(ROW()-3,$NG$4:$NG$40,0)))</f>
        <v/>
      </c>
      <c r="NI35">
        <f>IF(COUNTIF('Buyer Groups'!DG88:DT88,0)+COUNTIF('Buyer Groups'!DV88:EN88,0)&gt;0,0,1)</f>
        <v/>
      </c>
      <c r="NJ35">
        <f>IF($CG$35="",FALSE,SUMPRODUCT(('Final Calculation Sheet'!$O$4:$O$40=$CG$35)*($NI$6:$NI$42=1))&gt;0)</f>
        <v/>
      </c>
      <c r="NK35">
        <f>$NK$34+--($NJ35)</f>
        <v/>
      </c>
      <c r="NL35">
        <f>IF(ROW()-3&gt;MAX($NK$4:$NK$40),"",INDEX($CG$4:$CG$40,MATCH(ROW()-3,$NK$4:$NK$40,0)))</f>
        <v/>
      </c>
      <c r="NM35">
        <f>IF(COUNTIF('Buyer Groups'!DG88:DU88,0)+COUNTIF('Buyer Groups'!DW88:EN88,0)&gt;0,0,1)</f>
        <v/>
      </c>
      <c r="NN35">
        <f>IF($CL$35="",FALSE,SUMPRODUCT(('Final Calculation Sheet'!$P$4:$P$40=$CL$35)*($NM$6:$NM$42=1))&gt;0)</f>
        <v/>
      </c>
      <c r="NO35">
        <f>$NO$34+--($NN35)</f>
        <v/>
      </c>
      <c r="NP35">
        <f>IF(ROW()-3&gt;MAX($NO$4:$NO$40),"",INDEX($CL$4:$CL$40,MATCH(ROW()-3,$NO$4:$NO$40,0)))</f>
        <v/>
      </c>
      <c r="NQ35">
        <f>IF(COUNTIF('Buyer Groups'!DG88:DV88,0)+COUNTIF('Buyer Groups'!DX88:EN88,0)&gt;0,0,1)</f>
        <v/>
      </c>
      <c r="NR35">
        <f>IF($CQ$35="",FALSE,SUMPRODUCT(('Final Calculation Sheet'!$Q$4:$Q$40=$CQ$35)*($NQ$6:$NQ$42=1))&gt;0)</f>
        <v/>
      </c>
      <c r="NS35">
        <f>$NS$34+--($NR35)</f>
        <v/>
      </c>
      <c r="NT35">
        <f>IF(ROW()-3&gt;MAX($NS$4:$NS$40),"",INDEX($CQ$4:$CQ$40,MATCH(ROW()-3,$NS$4:$NS$40,0)))</f>
        <v/>
      </c>
      <c r="NU35">
        <f>IF(COUNTIF('Buyer Groups'!DG88:DW88,0)+COUNTIF('Buyer Groups'!DY88:EN88,0)&gt;0,0,1)</f>
        <v/>
      </c>
      <c r="NV35">
        <f>IF($CV$35="",FALSE,SUMPRODUCT(('Final Calculation Sheet'!$R$4:$R$40=$CV$35)*($NU$6:$NU$42=1))&gt;0)</f>
        <v/>
      </c>
      <c r="NW35">
        <f>$NW$34+--($NV35)</f>
        <v/>
      </c>
      <c r="NX35">
        <f>IF(ROW()-3&gt;MAX($NW$4:$NW$40),"",INDEX($CV$4:$CV$40,MATCH(ROW()-3,$NW$4:$NW$40,0)))</f>
        <v/>
      </c>
      <c r="NY35">
        <f>IF(COUNTIF('Buyer Groups'!DG88:DX88,0)+COUNTIF('Buyer Groups'!DZ88:EN88,0)&gt;0,0,1)</f>
        <v/>
      </c>
      <c r="NZ35">
        <f>IF($DA$35="",FALSE,SUMPRODUCT(('Final Calculation Sheet'!$S$4:$S$40=$DA$35)*($NY$6:$NY$42=1))&gt;0)</f>
        <v/>
      </c>
      <c r="OA35">
        <f>$OA$34+--($NZ35)</f>
        <v/>
      </c>
      <c r="OB35">
        <f>IF(ROW()-3&gt;MAX($OA$4:$OA$40),"",INDEX($DA$4:$DA$40,MATCH(ROW()-3,$OA$4:$OA$40,0)))</f>
        <v/>
      </c>
      <c r="OC35">
        <f>IF(COUNTIF('Buyer Groups'!DG88:DY88,0)+COUNTIF('Buyer Groups'!EA88:EN88,0)&gt;0,0,1)</f>
        <v/>
      </c>
      <c r="OD35">
        <f>IF($DF$35="",FALSE,SUMPRODUCT(('Final Calculation Sheet'!$T$4:$T$40=$DF$35)*($OC$6:$OC$42=1))&gt;0)</f>
        <v/>
      </c>
      <c r="OE35">
        <f>$OE$34+--($OD35)</f>
        <v/>
      </c>
      <c r="OF35">
        <f>IF(ROW()-3&gt;MAX($OE$4:$OE$40),"",INDEX($DF$4:$DF$40,MATCH(ROW()-3,$OE$4:$OE$40,0)))</f>
        <v/>
      </c>
      <c r="OG35">
        <f>IF(COUNTIF('Buyer Groups'!DG88:DZ88,0)+COUNTIF('Buyer Groups'!EB88:EN88,0)&gt;0,0,1)</f>
        <v/>
      </c>
      <c r="OH35">
        <f>IF($DK$35="",FALSE,SUMPRODUCT(('Final Calculation Sheet'!$U$4:$U$40=$DK$35)*($OG$6:$OG$42=1))&gt;0)</f>
        <v/>
      </c>
      <c r="OI35">
        <f>$OI$34+--($OH35)</f>
        <v/>
      </c>
      <c r="OJ35">
        <f>IF(ROW()-3&gt;MAX($OI$4:$OI$40),"",INDEX($DK$4:$DK$40,MATCH(ROW()-3,$OI$4:$OI$40,0)))</f>
        <v/>
      </c>
      <c r="OK35">
        <f>IF(COUNTIF('Buyer Groups'!DG88:EA88,0)+COUNTIF('Buyer Groups'!EC88:EN88,0)&gt;0,0,1)</f>
        <v/>
      </c>
      <c r="OL35">
        <f>IF($DP$35="",FALSE,SUMPRODUCT(('Final Calculation Sheet'!$V$4:$V$40=$DP$35)*($OK$6:$OK$42=1))&gt;0)</f>
        <v/>
      </c>
      <c r="OM35">
        <f>$OM$34+--($OL35)</f>
        <v/>
      </c>
      <c r="ON35">
        <f>IF(ROW()-3&gt;MAX($OM$4:$OM$40),"",INDEX($DP$4:$DP$40,MATCH(ROW()-3,$OM$4:$OM$40,0)))</f>
        <v/>
      </c>
      <c r="OO35">
        <f>IF(COUNTIF('Buyer Groups'!DG88:EB88,0)+COUNTIF('Buyer Groups'!ED88:EN88,0)&gt;0,0,1)</f>
        <v/>
      </c>
      <c r="OP35">
        <f>IF($DU$35="",FALSE,SUMPRODUCT(('Final Calculation Sheet'!$W$4:$W$40=$DU$35)*($OO$6:$OO$42=1))&gt;0)</f>
        <v/>
      </c>
      <c r="OQ35">
        <f>$OQ$34+--($OP35)</f>
        <v/>
      </c>
      <c r="OR35">
        <f>IF(ROW()-3&gt;MAX($OQ$4:$OQ$40),"",INDEX($DU$4:$DU$40,MATCH(ROW()-3,$OQ$4:$OQ$40,0)))</f>
        <v/>
      </c>
      <c r="OS35">
        <f>IF(COUNTIF('Buyer Groups'!DG88:EC88,0)+COUNTIF('Buyer Groups'!EE88:EN88,0)&gt;0,0,1)</f>
        <v/>
      </c>
      <c r="OT35">
        <f>IF($DZ$35="",FALSE,SUMPRODUCT(('Final Calculation Sheet'!$X$4:$X$40=$DZ$35)*($OS$6:$OS$42=1))&gt;0)</f>
        <v/>
      </c>
      <c r="OU35">
        <f>$OU$34+--($OT35)</f>
        <v/>
      </c>
      <c r="OV35">
        <f>IF(ROW()-3&gt;MAX($OU$4:$OU$40),"",INDEX($DZ$4:$DZ$40,MATCH(ROW()-3,$OU$4:$OU$40,0)))</f>
        <v/>
      </c>
      <c r="OW35">
        <f>IF(COUNTIF('Buyer Groups'!DG88:ED88,0)+COUNTIF('Buyer Groups'!EF88:EN88,0)&gt;0,0,1)</f>
        <v/>
      </c>
      <c r="OX35">
        <f>IF($EE$35="",FALSE,SUMPRODUCT(('Final Calculation Sheet'!$Y$4:$Y$40=$EE$35)*($OW$6:$OW$42=1))&gt;0)</f>
        <v/>
      </c>
      <c r="OY35">
        <f>$OY$34+--($OX35)</f>
        <v/>
      </c>
      <c r="OZ35">
        <f>IF(ROW()-3&gt;MAX($OY$4:$OY$40),"",INDEX($EE$4:$EE$40,MATCH(ROW()-3,$OY$4:$OY$40,0)))</f>
        <v/>
      </c>
      <c r="PA35">
        <f>IF(COUNTIF('Buyer Groups'!DG88:EE88,0)+COUNTIF('Buyer Groups'!EG88:EN88,0)&gt;0,0,1)</f>
        <v/>
      </c>
      <c r="PB35">
        <f>IF($EJ$35="",FALSE,SUMPRODUCT(('Final Calculation Sheet'!$Z$4:$Z$40=$EJ$35)*($PA$6:$PA$42=1))&gt;0)</f>
        <v/>
      </c>
      <c r="PC35">
        <f>$PC$34+--($PB35)</f>
        <v/>
      </c>
      <c r="PD35">
        <f>IF(ROW()-3&gt;MAX($PC$4:$PC$40),"",INDEX($EJ$4:$EJ$40,MATCH(ROW()-3,$PC$4:$PC$40,0)))</f>
        <v/>
      </c>
      <c r="PE35">
        <f>IF(COUNTIF('Buyer Groups'!DG88:EF88,0)+COUNTIF('Buyer Groups'!EH88:EN88,0)&gt;0,0,1)</f>
        <v/>
      </c>
      <c r="PF35">
        <f>IF($EO$35="",FALSE,SUMPRODUCT(('Final Calculation Sheet'!$AA$4:$AA$40=$EO$35)*($PE$6:$PE$42=1))&gt;0)</f>
        <v/>
      </c>
      <c r="PG35">
        <f>$PG$34+--($PF35)</f>
        <v/>
      </c>
      <c r="PH35">
        <f>IF(ROW()-3&gt;MAX($PG$4:$PG$40),"",INDEX($EO$4:$EO$40,MATCH(ROW()-3,$PG$4:$PG$40,0)))</f>
        <v/>
      </c>
      <c r="PI35">
        <f>IF(COUNTIF('Buyer Groups'!DG88:EG88,0)+COUNTIF('Buyer Groups'!EI88:EN88,0)&gt;0,0,1)</f>
        <v/>
      </c>
      <c r="PJ35">
        <f>IF($ET$35="",FALSE,SUMPRODUCT(('Final Calculation Sheet'!$AB$4:$AB$40=$ET$35)*($PI$6:$PI$42=1))&gt;0)</f>
        <v/>
      </c>
      <c r="PK35">
        <f>$PK$34+--($PJ35)</f>
        <v/>
      </c>
      <c r="PL35">
        <f>IF(ROW()-3&gt;MAX($PK$4:$PK$40),"",INDEX($ET$4:$ET$40,MATCH(ROW()-3,$PK$4:$PK$40,0)))</f>
        <v/>
      </c>
      <c r="PM35">
        <f>IF(COUNTIF('Buyer Groups'!DG88:EH88,0)+COUNTIF('Buyer Groups'!EJ88:EN88,0)&gt;0,0,1)</f>
        <v/>
      </c>
      <c r="PN35">
        <f>IF($EY$35="",FALSE,SUMPRODUCT(('Final Calculation Sheet'!$AC$4:$AC$40=$EY$35)*($PM$6:$PM$42=1))&gt;0)</f>
        <v/>
      </c>
      <c r="PO35">
        <f>$PO$34+--($PN35)</f>
        <v/>
      </c>
      <c r="PP35">
        <f>IF(ROW()-3&gt;MAX($PO$4:$PO$40),"",INDEX($EY$4:$EY$40,MATCH(ROW()-3,$PO$4:$PO$40,0)))</f>
        <v/>
      </c>
      <c r="PQ35">
        <f>IF(COUNTIF('Buyer Groups'!DG88:EI88,0)+COUNTIF('Buyer Groups'!EK88:EN88,0)&gt;0,0,1)</f>
        <v/>
      </c>
      <c r="PR35">
        <f>IF($FD$35="",FALSE,SUMPRODUCT(('Final Calculation Sheet'!$AD$4:$AD$40=$FD$35)*($PQ$6:$PQ$42=1))&gt;0)</f>
        <v/>
      </c>
      <c r="PS35">
        <f>$PS$34+--($PR35)</f>
        <v/>
      </c>
      <c r="PT35">
        <f>IF(ROW()-3&gt;MAX($PS$4:$PS$40),"",INDEX($FD$4:$FD$40,MATCH(ROW()-3,$PS$4:$PS$40,0)))</f>
        <v/>
      </c>
      <c r="PU35">
        <f>IF(COUNTIF('Buyer Groups'!DG88:EJ88,0)+COUNTIF('Buyer Groups'!EL88:EN88,0)&gt;0,0,1)</f>
        <v/>
      </c>
      <c r="PV35">
        <f>IF($FX$35="",FALSE,SUMPRODUCT((IF('Final Calculation Sheet'!$AD$4:$AD$40&lt;=5,"SETTLED","OUTSTANDING")=$FX$35)*($PU$6:$PU$42=1))&gt;0)</f>
        <v/>
      </c>
      <c r="PW35">
        <f>$PW$34+--($PV35)</f>
        <v/>
      </c>
      <c r="PX35">
        <f>IF(ROW()-3&gt;MAX($PW$4:$PW$40),"",INDEX($FX$4:$FX$40,MATCH(ROW()-3,$PW$4:$PW$40,0)))</f>
        <v/>
      </c>
      <c r="PY35">
        <f>IF(COUNTIF('Buyer Groups'!DG88:EK88,0)+COUNTIF('Buyer Groups'!EM88:EN88,0)&gt;0,0,1)</f>
        <v/>
      </c>
      <c r="PZ35">
        <f>IF($FI$35="",FALSE,SUMPRODUCT(('Final Calculation Sheet'!$AF$4:$AF$40=$FI$35)*($PY$6:$PY$42=1))&gt;0)</f>
        <v/>
      </c>
      <c r="QA35">
        <f>$QA$34+--($PZ35)</f>
        <v/>
      </c>
      <c r="QB35">
        <f>IF(ROW()-3&gt;MAX($QA$4:$QA$40),"",INDEX($FI$4:$FI$40,MATCH(ROW()-3,$QA$4:$QA$40,0)))</f>
        <v/>
      </c>
      <c r="QC35">
        <f>IF(COUNTIF('Buyer Groups'!DG88:EL88,0)+COUNTIF('Buyer Groups'!EN88:EN88,0)&gt;0,0,1)</f>
        <v/>
      </c>
      <c r="QD35">
        <f>IF($FN$35="",FALSE,SUMPRODUCT(('Final Calculation Sheet'!$AG$4:$AG$40=$FN$35)*($QC$6:$QC$42=1))&gt;0)</f>
        <v/>
      </c>
      <c r="QE35">
        <f>$QE$34+--($QD35)</f>
        <v/>
      </c>
      <c r="QF35">
        <f>IF(ROW()-3&gt;MAX($QE$4:$QE$40),"",INDEX($FN$4:$FN$40,MATCH(ROW()-3,$QE$4:$QE$40,0)))</f>
        <v/>
      </c>
      <c r="QG35">
        <f>IF(COUNTIF('Buyer Groups'!DG88:EM88,0)&gt;0,0,1)</f>
        <v/>
      </c>
      <c r="QH35">
        <f>IF($FS$35="",FALSE,SUMPRODUCT(('Final Calculation Sheet'!$AH$4:$AH$40=$FS$35)*($QG$6:$QG$42=1))&gt;0)</f>
        <v/>
      </c>
      <c r="QI35">
        <f>$QI$34+--($QH35)</f>
        <v/>
      </c>
      <c r="QJ35">
        <f>IF(ROW()-3&gt;MAX($QI$4:$QI$40),"",INDEX($FS$4:$FS$40,MATCH(ROW()-3,$QI$4:$QI$40,0)))</f>
        <v/>
      </c>
      <c r="QK35" t="str">
        <f>IF('Final Calculation Sheet'!$AH$35="","",'Final Calculation Sheet'!$AH$35)</f>
      </c>
      <c r="QL35" t="str">
        <f>IF(QK35="","",COUNTIFS(QK$4:QK$40,"&lt;"&amp;QK35,QK$4:QK$40,"&lt;&gt;"&amp;"")+COUNTIF(QK$4:QK35,QK35))</f>
      </c>
      <c r="QM35" t="str">
        <f>IF(ROW()-3&gt;COUNTIF(QK$4:QK$40,"&lt;&gt;"&amp;""),"",INDEX(QK$4:QK$40,MATCH(ROW()-3,QL$4:QL$40,0)))</f>
      </c>
      <c r="QN35" t="str">
        <f>=QN34+F(AND(QM35&lt;&gt;"",COUNTIF(QM$4:QM35,QM35)=1),1,0)</f>
      </c>
      <c r="QO35" t="str">
        <f>IF(ROW()-3&gt;MAX(QN$4:QN$40),"",INDEX(QM$4:QM$40,MATCH(ROW()-3,QN$4:QN$40,0)))</f>
      </c>
      <c r="QP35" t="str">
        <f>IF(COUNTIF('Final Calculation Sheet'!$AM35:$BS35,0)&gt;0,0,1)</f>
      </c>
      <c r="QQ35" t="str">
        <f>IF($AI$35="",FALSE,SUMPRODUCT(('Final Calculation Sheet'!$A$4:$A$40=$AI$35)*($QP$4:$QP$40=1))&gt;0)</f>
      </c>
      <c r="QR35" t="str">
        <f>=$QR34+--($QQ35)</f>
      </c>
      <c r="QS35" t="str">
        <f>IF(ROW()-3&gt;MAX($QR$4:$QR$40),"",INDEX($AI$4:$AI$40,MATCH(ROW()-3,$QR$4:$QR$40,0)))</f>
      </c>
      <c r="QT35" t="str">
        <f>IF(COUNTIF('Final Calculation Sheet'!$AL35:$AL35,0)+COUNTIF('Final Calculation Sheet'!$AN35:$BS35,0)&gt;0,0,1)</f>
      </c>
      <c r="QU35" t="str">
        <f>IF($Y$35="",FALSE,SUMPRODUCT(('Final Calculation Sheet'!$B$4:$B$40=$Y$35)*($QT$4:$QT$40=1))&gt;0)</f>
      </c>
      <c r="QV35" t="str">
        <f>=$QV34+--($QU35)</f>
      </c>
      <c r="QW35" t="str">
        <f>IF(ROW()-3&gt;MAX($QV$4:$QV$40),"",INDEX($Y$4:$Y$40,MATCH(ROW()-3,$QV$4:$QV$40,0)))</f>
      </c>
      <c r="QX35" t="str">
        <f>IF(COUNTIF('Final Calculation Sheet'!$AL35:$AM35,0)+COUNTIF('Final Calculation Sheet'!$AO35:$BS35,0)&gt;0,0,1)</f>
      </c>
      <c r="QY35" t="str">
        <f>IF($AS$35="",FALSE,SUMPRODUCT(('Final Calculation Sheet'!$C$4:$C$40=$AS$35)*($QX$4:$QX$40=1))&gt;0)</f>
      </c>
      <c r="QZ35" t="str">
        <f>=$QZ34+--($QY35)</f>
      </c>
      <c r="RA35" t="str">
        <f>IF(ROW()-3&gt;MAX($QZ$4:$QZ$40),"",INDEX($AS$4:$AS$40,MATCH(ROW()-3,$QZ$4:$QZ$40,0)))</f>
      </c>
      <c r="RB35" t="str">
        <f>IF(COUNTIF('Final Calculation Sheet'!$AL35:$AN35,0)+COUNTIF('Final Calculation Sheet'!$AP35:$BS35,0)&gt;0,0,1)</f>
      </c>
      <c r="RC35" t="str">
        <f>IF($AD$35="",FALSE,SUMPRODUCT(('Final Calculation Sheet'!$D$4:$D$40=$AD$35)*($RB$4:$RB$40=1))&gt;0)</f>
      </c>
      <c r="RD35" t="str">
        <f>=$RD34+--($RC35)</f>
      </c>
      <c r="RE35" t="str">
        <f>IF(ROW()-3&gt;MAX($RD$4:$RD$40),"",INDEX($AD$4:$AD$40,MATCH(ROW()-3,$RD$4:$RD$40,0)))</f>
      </c>
      <c r="RF35" t="str">
        <f>IF(COUNTIF('Final Calculation Sheet'!$AL35:$AO35,0)+COUNTIF('Final Calculation Sheet'!$AQ35:$BS35,0)&gt;0,0,1)</f>
      </c>
      <c r="RG35" t="str">
        <f>IF($AN$35="",FALSE,SUMPRODUCT(('Final Calculation Sheet'!$E$4:$E$40=$AN$35)*($RF$4:$RF$40=1))&gt;0)</f>
      </c>
      <c r="RH35" t="str">
        <f>=$RH34+--($RG35)</f>
      </c>
      <c r="RI35" t="str">
        <f>IF(ROW()-3&gt;MAX($RH$4:$RH$40),"",INDEX($AN$4:$AN$40,MATCH(ROW()-3,$RH$4:$RH$40,0)))</f>
      </c>
      <c r="RJ35" t="str">
        <f>IF(COUNTIF('Final Calculation Sheet'!$AL35:$AP35,0)+COUNTIF('Final Calculation Sheet'!$AR35:$BS35,0)&gt;0,0,1)</f>
      </c>
      <c r="RK35" t="str">
        <f>IF($O$35="",FALSE,SUMPRODUCT(('Final Calculation Sheet'!$F$4:$F$40=$O$35)*($RJ$4:$RJ$40=1))&gt;0)</f>
      </c>
      <c r="RL35" t="str">
        <f>=$RL34+--($RK35)</f>
      </c>
      <c r="RM35" t="str">
        <f>IF(ROW()-3&gt;MAX($RL$4:$RL$40),"",INDEX($O$4:$O$40,MATCH(ROW()-3,$RL$4:$RL$40,0)))</f>
      </c>
      <c r="RN35" t="str">
        <f>IF(COUNTIF('Final Calculation Sheet'!$AL35:$AQ35,0)+COUNTIF('Final Calculation Sheet'!$AS35:$BS35,0)&gt;0,0,1)</f>
      </c>
      <c r="RO35" t="str">
        <f>IF($T$35="",FALSE,SUMPRODUCT(('Final Calculation Sheet'!$G$4:$G$40=$T$35)*($RN$4:$RN$40=1))&gt;0)</f>
      </c>
      <c r="RP35" t="str">
        <f>=$RP34+--($RO35)</f>
      </c>
      <c r="RQ35" t="str">
        <f>IF(ROW()-3&gt;MAX($RP$4:$RP$40),"",INDEX($T$4:$T$40,MATCH(ROW()-3,$RP$4:$RP$40,0)))</f>
      </c>
      <c r="RR35" t="str">
        <f>IF(COUNTIF('Final Calculation Sheet'!$AL35:$AR35,0)+COUNTIF('Final Calculation Sheet'!$AT35:$BS35,0)&gt;0,0,1)</f>
      </c>
      <c r="RS35" t="str">
        <f>IF($AX$35="",FALSE,SUMPRODUCT(('Final Calculation Sheet'!$H$4:$H$40=$AX$35)*($RR$4:$RR$40=1))&gt;0)</f>
      </c>
      <c r="RT35" t="str">
        <f>=$RT34+--($RS35)</f>
      </c>
      <c r="RU35" t="str">
        <f>IF(ROW()-3&gt;MAX($RT$4:$RT$40),"",INDEX($AX$4:$AX$40,MATCH(ROW()-3,$RT$4:$RT$40,0)))</f>
      </c>
      <c r="RV35" t="str">
        <f>IF(COUNTIF('Final Calculation Sheet'!$AL35:$AS35,0)+COUNTIF('Final Calculation Sheet'!$AU35:$BS35,0)&gt;0,0,1)</f>
      </c>
      <c r="RW35" t="str">
        <f>IF($BC$35="",FALSE,SUMPRODUCT(('Final Calculation Sheet'!$I$4:$I$40=$BC$35)*($RV$4:$RV$40=1))&gt;0)</f>
      </c>
      <c r="RX35" t="str">
        <f>=$RX34+--($RW35)</f>
      </c>
      <c r="RY35" t="str">
        <f>IF(ROW()-3&gt;MAX($RX$4:$RX$40),"",INDEX($BC$4:$BC$40,MATCH(ROW()-3,$RX$4:$RX$40,0)))</f>
      </c>
      <c r="RZ35" t="str">
        <f>IF(COUNTIF('Final Calculation Sheet'!$AL35:$AT35,0)+COUNTIF('Final Calculation Sheet'!$AV35:$BS35,0)&gt;0,0,1)</f>
      </c>
      <c r="SA35" t="str">
        <f>IF($BH$35="",FALSE,SUMPRODUCT(('Final Calculation Sheet'!$J$4:$J$40=$BH$35)*($RZ$4:$RZ$40=1))&gt;0)</f>
      </c>
      <c r="SB35" t="str">
        <f>=$SB34+--($SA35)</f>
      </c>
      <c r="SC35" t="str">
        <f>IF(ROW()-3&gt;MAX($SB$4:$SB$40),"",INDEX($BH$4:$BH$40,MATCH(ROW()-3,$SB$4:$SB$40,0)))</f>
      </c>
      <c r="SD35" t="str">
        <f>IF(COUNTIF('Final Calculation Sheet'!$AL35:$AU35,0)+COUNTIF('Final Calculation Sheet'!$AW35:$BS35,0)&gt;0,0,1)</f>
      </c>
      <c r="SE35" t="str">
        <f>IF($BM$35="",FALSE,SUMPRODUCT(('Final Calculation Sheet'!$K$4:$K$40=$BM$35)*($SD$4:$SD$40=1))&gt;0)</f>
      </c>
      <c r="SF35" t="str">
        <f>=$SF34+--($SE35)</f>
      </c>
      <c r="SG35" t="str">
        <f>IF(ROW()-3&gt;MAX($SF$4:$SF$40),"",INDEX($BM$4:$BM$40,MATCH(ROW()-3,$SF$4:$SF$40,0)))</f>
      </c>
      <c r="SH35" t="str">
        <f>IF(COUNTIF('Final Calculation Sheet'!$AL35:$AV35,0)+COUNTIF('Final Calculation Sheet'!$AX35:$BS35,0)&gt;0,0,1)</f>
      </c>
      <c r="SI35" t="str">
        <f>IF($BR$35="",FALSE,SUMPRODUCT(('Final Calculation Sheet'!$L$4:$L$40=$BR$35)*($SH$4:$SH$40=1))&gt;0)</f>
      </c>
      <c r="SJ35" t="str">
        <f>=$SJ34+--($SI35)</f>
      </c>
      <c r="SK35" t="str">
        <f>IF(ROW()-3&gt;MAX($SJ$4:$SJ$40),"",INDEX($BR$4:$BR$40,MATCH(ROW()-3,$SJ$4:$SJ$40,0)))</f>
      </c>
      <c r="SL35" t="str">
        <f>IF(COUNTIF('Final Calculation Sheet'!$AL35:$AW35,0)+COUNTIF('Final Calculation Sheet'!$AY35:$BS35,0)&gt;0,0,1)</f>
      </c>
      <c r="SM35" t="str">
        <f>IF($BW$35="",FALSE,SUMPRODUCT(('Final Calculation Sheet'!$M$4:$M$40=$BW$35)*($SL$4:$SL$40=1))&gt;0)</f>
      </c>
      <c r="SN35" t="str">
        <f>=$SN34+--($SM35)</f>
      </c>
      <c r="SO35" t="str">
        <f>IF(ROW()-3&gt;MAX($SN$4:$SN$40),"",INDEX($BW$4:$BW$40,MATCH(ROW()-3,$SN$4:$SN$40,0)))</f>
      </c>
      <c r="SP35" t="str">
        <f>IF(COUNTIF('Final Calculation Sheet'!$AL35:$AX35,0)+COUNTIF('Final Calculation Sheet'!$AZ35:$BS35,0)&gt;0,0,1)</f>
      </c>
      <c r="SQ35" t="str">
        <f>IF($CB$35="",FALSE,SUMPRODUCT(('Final Calculation Sheet'!$N$4:$N$40=$CB$35)*($SP$4:$SP$40=1))&gt;0)</f>
      </c>
      <c r="SR35" t="str">
        <f>=$SR34+--($SQ35)</f>
      </c>
      <c r="SS35" t="str">
        <f>IF(ROW()-3&gt;MAX($SR$4:$SR$40),"",INDEX($CB$4:$CB$40,MATCH(ROW()-3,$SR$4:$SR$40,0)))</f>
      </c>
      <c r="ST35" t="str">
        <f>IF(COUNTIF('Final Calculation Sheet'!$AL35:$AY35,0)+COUNTIF('Final Calculation Sheet'!$BA35:$BS35,0)&gt;0,0,1)</f>
      </c>
      <c r="SU35" t="str">
        <f>IF($CG$35="",FALSE,SUMPRODUCT(('Final Calculation Sheet'!$O$4:$O$40=$CG$35)*($ST$4:$ST$40=1))&gt;0)</f>
      </c>
      <c r="SV35" t="str">
        <f>=$SV34+--($SU35)</f>
      </c>
      <c r="SW35" t="str">
        <f>IF(ROW()-3&gt;MAX($SV$4:$SV$40),"",INDEX($CG$4:$CG$40,MATCH(ROW()-3,$SV$4:$SV$40,0)))</f>
      </c>
      <c r="SX35" t="str">
        <f>IF(COUNTIF('Final Calculation Sheet'!$AL35:$AZ35,0)+COUNTIF('Final Calculation Sheet'!$BB35:$BS35,0)&gt;0,0,1)</f>
      </c>
      <c r="SY35" t="str">
        <f>IF($CL$35="",FALSE,SUMPRODUCT(('Final Calculation Sheet'!$P$4:$P$40=$CL$35)*($SX$4:$SX$40=1))&gt;0)</f>
      </c>
      <c r="SZ35" t="str">
        <f>=$SZ34+--($SY35)</f>
      </c>
      <c r="TA35" t="str">
        <f>IF(ROW()-3&gt;MAX($SZ$4:$SZ$40),"",INDEX($CL$4:$CL$40,MATCH(ROW()-3,$SZ$4:$SZ$40,0)))</f>
      </c>
      <c r="TB35" t="str">
        <f>IF(COUNTIF('Final Calculation Sheet'!$AL35:$BA35,0)+COUNTIF('Final Calculation Sheet'!$BC35:$BS35,0)&gt;0,0,1)</f>
      </c>
      <c r="TC35" t="str">
        <f>IF($CQ$35="",FALSE,SUMPRODUCT(('Final Calculation Sheet'!$Q$4:$Q$40=$CQ$35)*($TB$4:$TB$40=1))&gt;0)</f>
      </c>
      <c r="TD35" t="str">
        <f>=$TD34+--($TC35)</f>
      </c>
      <c r="TE35" t="str">
        <f>IF(ROW()-3&gt;MAX($TD$4:$TD$40),"",INDEX($CQ$4:$CQ$40,MATCH(ROW()-3,$TD$4:$TD$40,0)))</f>
      </c>
      <c r="TF35" t="str">
        <f>IF(COUNTIF('Final Calculation Sheet'!$AL35:$BB35,0)+COUNTIF('Final Calculation Sheet'!$BD35:$BS35,0)&gt;0,0,1)</f>
      </c>
      <c r="TG35" t="str">
        <f>IF($CV$35="",FALSE,SUMPRODUCT(('Final Calculation Sheet'!$R$4:$R$40=$CV$35)*($TF$4:$TF$40=1))&gt;0)</f>
      </c>
      <c r="TH35" t="str">
        <f>=$TH34+--($TG35)</f>
      </c>
      <c r="TI35" t="str">
        <f>IF(ROW()-3&gt;MAX($TH$4:$TH$40),"",INDEX($CV$4:$CV$40,MATCH(ROW()-3,$TH$4:$TH$40,0)))</f>
      </c>
      <c r="TJ35" t="str">
        <f>IF(COUNTIF('Final Calculation Sheet'!$AL35:$BC35,0)+COUNTIF('Final Calculation Sheet'!$BE35:$BS35,0)&gt;0,0,1)</f>
      </c>
      <c r="TK35" t="str">
        <f>IF($DA$35="",FALSE,SUMPRODUCT(('Final Calculation Sheet'!$S$4:$S$40=$DA$35)*($TJ$4:$TJ$40=1))&gt;0)</f>
      </c>
      <c r="TL35" t="str">
        <f>=$TL34+--($TK35)</f>
      </c>
      <c r="TM35" t="str">
        <f>IF(ROW()-3&gt;MAX($TL$4:$TL$40),"",INDEX($DA$4:$DA$40,MATCH(ROW()-3,$TL$4:$TL$40,0)))</f>
      </c>
      <c r="TN35" t="str">
        <f>IF(COUNTIF('Final Calculation Sheet'!$AL35:$BD35,0)+COUNTIF('Final Calculation Sheet'!$BF35:$BS35,0)&gt;0,0,1)</f>
      </c>
      <c r="TO35" t="str">
        <f>IF($DF$35="",FALSE,SUMPRODUCT(('Final Calculation Sheet'!$T$4:$T$40=$DF$35)*($TN$4:$TN$40=1))&gt;0)</f>
      </c>
      <c r="TP35" t="str">
        <f>=$TP34+--($TO35)</f>
      </c>
      <c r="TQ35" t="str">
        <f>IF(ROW()-3&gt;MAX($TP$4:$TP$40),"",INDEX($DF$4:$DF$40,MATCH(ROW()-3,$TP$4:$TP$40,0)))</f>
      </c>
      <c r="TR35" t="str">
        <f>IF(COUNTIF('Final Calculation Sheet'!$AL35:$BE35,0)+COUNTIF('Final Calculation Sheet'!$BG35:$BS35,0)&gt;0,0,1)</f>
      </c>
      <c r="TS35" t="str">
        <f>IF($DK$35="",FALSE,SUMPRODUCT(('Final Calculation Sheet'!$U$4:$U$40=$DK$35)*($TR$4:$TR$40=1))&gt;0)</f>
      </c>
      <c r="TT35" t="str">
        <f>=$TT34+--($TS35)</f>
      </c>
      <c r="TU35" t="str">
        <f>IF(ROW()-3&gt;MAX($TT$4:$TT$40),"",INDEX($DK$4:$DK$40,MATCH(ROW()-3,$TT$4:$TT$40,0)))</f>
      </c>
      <c r="TV35" t="str">
        <f>IF(COUNTIF('Final Calculation Sheet'!$AL35:$BF35,0)+COUNTIF('Final Calculation Sheet'!$BH35:$BS35,0)&gt;0,0,1)</f>
      </c>
      <c r="TW35" t="str">
        <f>IF($DP$35="",FALSE,SUMPRODUCT(('Final Calculation Sheet'!$V$4:$V$40=$DP$35)*($TV$4:$TV$40=1))&gt;0)</f>
      </c>
      <c r="TX35" t="str">
        <f>=$TX34+--($TW35)</f>
      </c>
      <c r="TY35" t="str">
        <f>IF(ROW()-3&gt;MAX($TX$4:$TX$40),"",INDEX($DP$4:$DP$40,MATCH(ROW()-3,$TX$4:$TX$40,0)))</f>
      </c>
      <c r="TZ35" t="str">
        <f>IF(COUNTIF('Final Calculation Sheet'!$AL35:$BG35,0)+COUNTIF('Final Calculation Sheet'!$BI35:$BS35,0)&gt;0,0,1)</f>
      </c>
      <c r="UA35" t="str">
        <f>IF($DU$35="",FALSE,SUMPRODUCT(('Final Calculation Sheet'!$W$4:$W$40=$DU$35)*($TZ$4:$TZ$40=1))&gt;0)</f>
      </c>
      <c r="UB35" t="str">
        <f>=$UB34+--($UA35)</f>
      </c>
      <c r="UC35" t="str">
        <f>IF(ROW()-3&gt;MAX($UB$4:$UB$40),"",INDEX($DU$4:$DU$40,MATCH(ROW()-3,$UB$4:$UB$40,0)))</f>
      </c>
      <c r="UD35" t="str">
        <f>IF(COUNTIF('Final Calculation Sheet'!$AL35:$BH35,0)+COUNTIF('Final Calculation Sheet'!$BJ35:$BS35,0)&gt;0,0,1)</f>
      </c>
      <c r="UE35" t="str">
        <f>IF($DZ$35="",FALSE,SUMPRODUCT(('Final Calculation Sheet'!$X$4:$X$40=$DZ$35)*($UD$4:$UD$40=1))&gt;0)</f>
      </c>
      <c r="UF35" t="str">
        <f>=$UF34+--($UE35)</f>
      </c>
      <c r="UG35" t="str">
        <f>IF(ROW()-3&gt;MAX($UF$4:$UF$40),"",INDEX($DZ$4:$DZ$40,MATCH(ROW()-3,$UF$4:$UF$40,0)))</f>
      </c>
      <c r="UH35" t="str">
        <f>IF(COUNTIF('Final Calculation Sheet'!$AL35:$BI35,0)+COUNTIF('Final Calculation Sheet'!$BK35:$BS35,0)&gt;0,0,1)</f>
      </c>
      <c r="UI35" t="str">
        <f>IF($EE$35="",FALSE,SUMPRODUCT(('Final Calculation Sheet'!$Y$4:$Y$40=$EE$35)*($UH$4:$UH$40=1))&gt;0)</f>
      </c>
      <c r="UJ35" t="str">
        <f>=$UJ34+--($UI35)</f>
      </c>
      <c r="UK35" t="str">
        <f>IF(ROW()-3&gt;MAX($UJ$4:$UJ$40),"",INDEX($EE$4:$EE$40,MATCH(ROW()-3,$UJ$4:$UJ$40,0)))</f>
      </c>
      <c r="UL35" t="str">
        <f>IF(COUNTIF('Final Calculation Sheet'!$AL35:$BJ35,0)+COUNTIF('Final Calculation Sheet'!$BL35:$BS35,0)&gt;0,0,1)</f>
      </c>
      <c r="UM35" t="str">
        <f>IF($EJ$35="",FALSE,SUMPRODUCT(('Final Calculation Sheet'!$Z$4:$Z$40=$EJ$35)*($UL$4:$UL$40=1))&gt;0)</f>
      </c>
      <c r="UN35" t="str">
        <f>=$UN34+--($UM35)</f>
      </c>
      <c r="UO35" t="str">
        <f>IF(ROW()-3&gt;MAX($UN$4:$UN$40),"",INDEX($EJ$4:$EJ$40,MATCH(ROW()-3,$UN$4:$UN$40,0)))</f>
      </c>
      <c r="UP35" t="str">
        <f>IF(COUNTIF('Final Calculation Sheet'!$AL35:$BK35,0)+COUNTIF('Final Calculation Sheet'!$BM35:$BS35,0)&gt;0,0,1)</f>
      </c>
      <c r="UQ35" t="str">
        <f>IF($EO$35="",FALSE,SUMPRODUCT(('Final Calculation Sheet'!$AA$4:$AA$40=$EO$35)*($UP$4:$UP$40=1))&gt;0)</f>
      </c>
      <c r="UR35" t="str">
        <f>=$UR34+--($UQ35)</f>
      </c>
      <c r="US35" t="str">
        <f>IF(ROW()-3&gt;MAX($UR$4:$UR$40),"",INDEX($EO$4:$EO$40,MATCH(ROW()-3,$UR$4:$UR$40,0)))</f>
      </c>
      <c r="UT35" t="str">
        <f>IF(COUNTIF('Final Calculation Sheet'!$AL35:$BL35,0)+COUNTIF('Final Calculation Sheet'!$BN35:$BS35,0)&gt;0,0,1)</f>
      </c>
      <c r="UU35" t="str">
        <f>IF($ET$35="",FALSE,SUMPRODUCT(('Final Calculation Sheet'!$AB$4:$AB$40=$ET$35)*($UT$4:$UT$40=1))&gt;0)</f>
      </c>
      <c r="UV35" t="str">
        <f>=$UV34+--($UU35)</f>
      </c>
      <c r="UW35" t="str">
        <f>IF(ROW()-3&gt;MAX($UV$4:$UV$40),"",INDEX($ET$4:$ET$40,MATCH(ROW()-3,$UV$4:$UV$40,0)))</f>
      </c>
      <c r="UX35" t="str">
        <f>IF(COUNTIF('Final Calculation Sheet'!$AL35:$BM35,0)+COUNTIF('Final Calculation Sheet'!$BO35:$BS35,0)&gt;0,0,1)</f>
      </c>
      <c r="UY35" t="str">
        <f>IF($EY$35="",FALSE,SUMPRODUCT(('Final Calculation Sheet'!$AC$4:$AC$40=$EY$35)*($UX$4:$UX$40=1))&gt;0)</f>
      </c>
      <c r="UZ35" t="str">
        <f>=$UZ34+--($UY35)</f>
      </c>
      <c r="VA35" t="str">
        <f>IF(ROW()-3&gt;MAX($UZ$4:$UZ$40),"",INDEX($EY$4:$EY$40,MATCH(ROW()-3,$UZ$4:$UZ$40,0)))</f>
      </c>
      <c r="VB35" t="str">
        <f>IF(COUNTIF('Final Calculation Sheet'!$AL35:$BN35,0)+COUNTIF('Final Calculation Sheet'!$BP35:$BS35,0)&gt;0,0,1)</f>
      </c>
      <c r="VC35" t="str">
        <f>IF($FD$35="",FALSE,SUMPRODUCT(('Final Calculation Sheet'!$AD$4:$AD$40=$FD$35)*($VB$4:$VB$40=1))&gt;0)</f>
      </c>
      <c r="VD35" t="str">
        <f>=$VD34+--($VC35)</f>
      </c>
      <c r="VE35" t="str">
        <f>IF(ROW()-3&gt;MAX($VD$4:$VD$40),"",INDEX($FD$4:$FD$40,MATCH(ROW()-3,$VD$4:$VD$40,0)))</f>
      </c>
      <c r="VF35" t="str">
        <f>IF(COUNTIF('Final Calculation Sheet'!$AL35:$BO35,0)+COUNTIF('Final Calculation Sheet'!$BQ35:$BS35,0)&gt;0,0,1)</f>
      </c>
      <c r="VG35" t="str">
        <f>IF($FI$35="",FALSE,SUMPRODUCT(('Final Calculation Sheet'!$AE$4:$AE$40=$FI$35)*($VF$4:$VF$40=1))&gt;0)</f>
      </c>
      <c r="VH35" t="str">
        <f>=$VH34+--($VG35)</f>
      </c>
      <c r="VI35" t="str">
        <f>IF(ROW()-3&gt;MAX($VH$4:$VH$40),"",INDEX($FI$4:$FI$40,MATCH(ROW()-3,$VH$4:$VH$40,0)))</f>
      </c>
      <c r="VJ35" t="str">
        <f>IF(COUNTIF('Final Calculation Sheet'!$AL35:$BP35,0)+COUNTIF('Final Calculation Sheet'!$BR35:$BS35,0)&gt;0,0,1)</f>
      </c>
      <c r="VK35" t="str">
        <f>IF($FN$35="",FALSE,SUMPRODUCT(('Final Calculation Sheet'!$AF$4:$AF$40=$FN$35)*($VJ$4:$VJ$40=1))&gt;0)</f>
      </c>
      <c r="VL35" t="str">
        <f>=$VL34+--($VK35)</f>
      </c>
      <c r="VM35" t="str">
        <f>IF(ROW()-3&gt;MAX($VL$4:$VL$40),"",INDEX($FN$4:$FN$40,MATCH(ROW()-3,$VL$4:$VL$40,0)))</f>
      </c>
      <c r="VN35" t="str">
        <f>IF(COUNTIF('Final Calculation Sheet'!$AL35:$BQ35,0)+COUNTIF('Final Calculation Sheet'!$BS35:$BS35,0)&gt;0,0,1)</f>
      </c>
      <c r="VO35" t="str">
        <f>IF($FS$35="",FALSE,SUMPRODUCT(('Final Calculation Sheet'!$AG$4:$AG$40=$FS$35)*($VN$4:$VN$40=1))&gt;0)</f>
      </c>
      <c r="VP35" t="str">
        <f>=$VP34+--($VO35)</f>
      </c>
      <c r="VQ35" t="str">
        <f>IF(ROW()-3&gt;MAX($VP$4:$VP$40),"",INDEX($FS$4:$FS$40,MATCH(ROW()-3,$VP$4:$VP$40,0)))</f>
      </c>
      <c r="VR35" t="str">
        <f>IF(COUNTIF('Final Calculation Sheet'!$AL35:$BR35,0)&gt;0,0,1)</f>
      </c>
      <c r="VS35" t="str">
        <f>IF($QO$35="",FALSE,SUMPRODUCT(('Final Calculation Sheet'!$AH$4:$AH$40=$QO$35)*($VR$4:$VR$40=1))&gt;0)</f>
      </c>
      <c r="VT35" t="str">
        <f>=$VT34+--($VS35)</f>
      </c>
      <c r="VU35" t="str">
        <f>IF(ROW()-3&gt;MAX($VT$4:$VT$40),"",INDEX($QO$4:$QO$40,MATCH(ROW()-3,$VT$4:$VT$40,0)))</f>
      </c>
    </row>
    <row r="36">
      <c r="A36">
        <f>IF(IFERROR('Final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IF(IFERROR('Final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s="55">
        <f>IF('Final Calculation Sheet'!$C$36="","",'Final Calculation Sheet'!$C$36)</f>
        <v/>
      </c>
      <c r="AP36">
        <f>IF(AO36="","",COUNTIFS(AO$4:AO$40,"&lt;"&amp;AO36,AO$4:AO$40,"&lt;&gt;"&amp;"")+COUNTIF(AO$4:AO36,AO36))</f>
        <v/>
      </c>
      <c r="AQ36" s="55">
        <f>IF(ROW()-3&gt;COUNTIF(AO$4:AO$40,"&lt;&gt;"&amp;""),"",INDEX(AO$4:AO$40,MATCH(ROW()-3,AP$4:AP$40,0)))</f>
        <v/>
      </c>
      <c r="AR36">
        <f>AR35+IF(AND(AQ36&lt;&gt;"",COUNTIF(AQ$4:AQ36,AQ36)=1),1,0)</f>
        <v/>
      </c>
      <c r="AS36" s="55">
        <f>IF(ROW()-3&gt;MAX(AR$4:AR$40),"",INDEX(AQ$4:AQ$40,MATCH(ROW()-3,AR$4:AR$40,0)))</f>
        <v/>
      </c>
      <c r="AT36" s="55">
        <f>IF('Final Calculation Sheet'!$H$36="","",'Final Calculation Sheet'!$H$36)</f>
        <v/>
      </c>
      <c r="AU36">
        <f>IF(AT36="","",COUNTIFS(AT$4:AT$40,"&lt;"&amp;AT36,AT$4:AT$40,"&lt;&gt;"&amp;"")+COUNTIF(AT$4:AT36,AT36))</f>
        <v/>
      </c>
      <c r="AV36" s="55">
        <f>IF(ROW()-3&gt;COUNTIF(AT$4:AT$40,"&lt;&gt;"&amp;""),"",INDEX(AT$4:AT$40,MATCH(ROW()-3,AU$4:AU$40,0)))</f>
        <v/>
      </c>
      <c r="AW36">
        <f>AW35+IF(AND(AV36&lt;&gt;"",COUNTIF(AV$4:AV36,AV36)=1),1,0)</f>
        <v/>
      </c>
      <c r="AX36" s="55">
        <f>IF(ROW()-3&gt;MAX(AW$4:AW$40),"",INDEX(AV$4:AV$40,MATCH(ROW()-3,AW$4:AW$40,0)))</f>
        <v/>
      </c>
      <c r="AY36" s="55">
        <f>IF('Final Calculation Sheet'!$I$36="","",'Final Calculation Sheet'!$I$36)</f>
        <v/>
      </c>
      <c r="AZ36">
        <f>IF(AY36="","",COUNTIFS(AY$4:AY$40,"&lt;"&amp;AY36,AY$4:AY$40,"&lt;&gt;"&amp;"")+COUNTIF(AY$4:AY36,AY36))</f>
        <v/>
      </c>
      <c r="BA36" s="55">
        <f>IF(ROW()-3&gt;COUNTIF(AY$4:AY$40,"&lt;&gt;"&amp;""),"",INDEX(AY$4:AY$40,MATCH(ROW()-3,AZ$4:AZ$40,0)))</f>
        <v/>
      </c>
      <c r="BB36">
        <f>BB35+IF(AND(BA36&lt;&gt;"",COUNTIF(BA$4:BA36,BA36)=1),1,0)</f>
        <v/>
      </c>
      <c r="BC36" s="55">
        <f>IF(ROW()-3&gt;MAX(BB$4:BB$40),"",INDEX(BA$4:BA$40,MATCH(ROW()-3,BB$4:BB$40,0)))</f>
        <v/>
      </c>
      <c r="BD36" s="55">
        <f>IF('Final Calculation Sheet'!$J$36="","",'Final Calculation Sheet'!$J$36)</f>
        <v/>
      </c>
      <c r="BE36">
        <f>IF(BD36="","",COUNTIFS(BD$4:BD$40,"&lt;"&amp;BD36,BD$4:BD$40,"&lt;&gt;"&amp;"")+COUNTIF(BD$4:BD36,BD36))</f>
        <v/>
      </c>
      <c r="BF36" s="55">
        <f>IF(ROW()-3&gt;COUNTIF(BD$4:BD$40,"&lt;&gt;"&amp;""),"",INDEX(BD$4:BD$40,MATCH(ROW()-3,BE$4:BE$40,0)))</f>
        <v/>
      </c>
      <c r="BG36">
        <f>BG35+IF(AND(BF36&lt;&gt;"",COUNTIF(BF$4:BF36,BF36)=1),1,0)</f>
        <v/>
      </c>
      <c r="BH36" s="55">
        <f>IF(ROW()-3&gt;MAX(BG$4:BG$40),"",INDEX(BF$4:BF$40,MATCH(ROW()-3,BG$4:BG$40,0)))</f>
        <v/>
      </c>
      <c r="BI36" s="55">
        <f>IF('Final Calculation Sheet'!$K$36="","",'Final Calculation Sheet'!$K$36)</f>
        <v/>
      </c>
      <c r="BJ36">
        <f>IF(BI36="","",COUNTIFS(BI$4:BI$40,"&lt;"&amp;BI36,BI$4:BI$40,"&lt;&gt;"&amp;"")+COUNTIF(BI$4:BI36,BI36))</f>
        <v/>
      </c>
      <c r="BK36" s="55">
        <f>IF(ROW()-3&gt;COUNTIF(BI$4:BI$40,"&lt;&gt;"&amp;""),"",INDEX(BI$4:BI$40,MATCH(ROW()-3,BJ$4:BJ$40,0)))</f>
        <v/>
      </c>
      <c r="BL36">
        <f>BL35+IF(AND(BK36&lt;&gt;"",COUNTIF(BK$4:BK36,BK36)=1),1,0)</f>
        <v/>
      </c>
      <c r="BM36" s="55">
        <f>IF(ROW()-3&gt;MAX(BL$4:BL$40),"",INDEX(BK$4:BK$40,MATCH(ROW()-3,BL$4:BL$40,0)))</f>
        <v/>
      </c>
      <c r="BN36" s="55">
        <f>IF('Final Calculation Sheet'!$L$36="","",'Final Calculation Sheet'!$L$36)</f>
        <v/>
      </c>
      <c r="BO36">
        <f>IF(BN36="","",COUNTIFS(BN$4:BN$40,"&lt;"&amp;BN36,BN$4:BN$40,"&lt;&gt;"&amp;"")+COUNTIF(BN$4:BN36,BN36))</f>
        <v/>
      </c>
      <c r="BP36" s="55">
        <f>IF(ROW()-3&gt;COUNTIF(BN$4:BN$40,"&lt;&gt;"&amp;""),"",INDEX(BN$4:BN$40,MATCH(ROW()-3,BO$4:BO$40,0)))</f>
        <v/>
      </c>
      <c r="BQ36">
        <f>BQ35+IF(AND(BP36&lt;&gt;"",COUNTIF(BP$4:BP36,BP36)=1),1,0)</f>
        <v/>
      </c>
      <c r="BR36" s="55">
        <f>IF(ROW()-3&gt;MAX(BQ$4:BQ$40),"",INDEX(BP$4:BP$40,MATCH(ROW()-3,BQ$4:BQ$40,0)))</f>
        <v/>
      </c>
      <c r="BS36" s="55">
        <f>IF('Final Calculation Sheet'!$M$36="","",'Final Calculation Sheet'!$M$36)</f>
        <v/>
      </c>
      <c r="BT36">
        <f>IF(BS36="","",COUNTIFS(BS$4:BS$40,"&lt;"&amp;BS36,BS$4:BS$40,"&lt;&gt;"&amp;"")+COUNTIF(BS$4:BS36,BS36))</f>
        <v/>
      </c>
      <c r="BU36" s="55">
        <f>IF(ROW()-3&gt;COUNTIF(BS$4:BS$40,"&lt;&gt;"&amp;""),"",INDEX(BS$4:BS$40,MATCH(ROW()-3,BT$4:BT$40,0)))</f>
        <v/>
      </c>
      <c r="BV36">
        <f>BV35+IF(AND(BU36&lt;&gt;"",COUNTIF(BU$4:BU36,BU36)=1),1,0)</f>
        <v/>
      </c>
      <c r="BW36" s="55">
        <f>IF(ROW()-3&gt;MAX(BV$4:BV$40),"",INDEX(BU$4:BU$40,MATCH(ROW()-3,BV$4:BV$40,0)))</f>
        <v/>
      </c>
      <c r="BX36" s="138">
        <f>IF('Final Calculation Sheet'!$N$36="","",'Final Calculation Sheet'!$N$36)</f>
        <v/>
      </c>
      <c r="BY36">
        <f>IF(BX36="","",COUNTIFS(BX$4:BX$40,"&lt;"&amp;BX36,BX$4:BX$40,"&lt;&gt;"&amp;"")+COUNTIF(BX$4:BX36,BX36))</f>
        <v/>
      </c>
      <c r="BZ36" s="138">
        <f>IF(ROW()-3&gt;COUNTIF(BX$4:BX$40,"&lt;&gt;"&amp;""),"",INDEX(BX$4:BX$40,MATCH(ROW()-3,BY$4:BY$40,0)))</f>
        <v/>
      </c>
      <c r="CA36">
        <f>CA35+IF(AND(BZ36&lt;&gt;"",COUNTIF(BZ$4:BZ36,BZ36)=1),1,0)</f>
        <v/>
      </c>
      <c r="CB36" s="138">
        <f>IF(ROW()-3&gt;MAX(CA$4:CA$40),"",INDEX(BZ$4:BZ$40,MATCH(ROW()-3,CA$4:CA$40,0)))</f>
        <v/>
      </c>
      <c r="CC36" s="55">
        <f>IF('Final Calculation Sheet'!$O$36="","",'Final Calculation Sheet'!$O$36)</f>
        <v/>
      </c>
      <c r="CD36">
        <f>IF(CC36="","",COUNTIFS(CC$4:CC$40,"&lt;"&amp;CC36,CC$4:CC$40,"&lt;&gt;"&amp;"")+COUNTIF(CC$4:CC36,CC36))</f>
        <v/>
      </c>
      <c r="CE36" s="55">
        <f>IF(ROW()-3&gt;COUNTIF(CC$4:CC$40,"&lt;&gt;"&amp;""),"",INDEX(CC$4:CC$40,MATCH(ROW()-3,CD$4:CD$40,0)))</f>
        <v/>
      </c>
      <c r="CF36">
        <f>CF35+IF(AND(CE36&lt;&gt;"",COUNTIF(CE$4:CE36,CE36)=1),1,0)</f>
        <v/>
      </c>
      <c r="CG36" s="55">
        <f>IF(ROW()-3&gt;MAX(CF$4:CF$40),"",INDEX(CE$4:CE$40,MATCH(ROW()-3,CF$4:CF$40,0)))</f>
        <v/>
      </c>
      <c r="CH36" s="55">
        <f>IF('Final Calculation Sheet'!$P$36="","",'Final Calculation Sheet'!$P$36)</f>
        <v/>
      </c>
      <c r="CI36">
        <f>IF(CH36="","",COUNTIFS(CH$4:CH$40,"&lt;"&amp;CH36,CH$4:CH$40,"&lt;&gt;"&amp;"")+COUNTIF(CH$4:CH36,CH36))</f>
        <v/>
      </c>
      <c r="CJ36" s="55">
        <f>IF(ROW()-3&gt;COUNTIF(CH$4:CH$40,"&lt;&gt;"&amp;""),"",INDEX(CH$4:CH$40,MATCH(ROW()-3,CI$4:CI$40,0)))</f>
        <v/>
      </c>
      <c r="CK36">
        <f>CK35+IF(AND(CJ36&lt;&gt;"",COUNTIF(CJ$4:CJ36,CJ36)=1),1,0)</f>
        <v/>
      </c>
      <c r="CL36" s="55">
        <f>IF(ROW()-3&gt;MAX(CK$4:CK$40),"",INDEX(CJ$4:CJ$40,MATCH(ROW()-3,CK$4:CK$40,0)))</f>
        <v/>
      </c>
      <c r="CM36" s="139">
        <f>IF('Final Calculation Sheet'!$Q$36="","",'Final Calculation Sheet'!$Q$36)</f>
        <v/>
      </c>
      <c r="CN36">
        <f>IF(CM36="","",COUNTIFS(CM$4:CM$40,"&lt;"&amp;CM36,CM$4:CM$40,"&lt;&gt;"&amp;"")+COUNTIF(CM$4:CM36,CM36))</f>
        <v/>
      </c>
      <c r="CO36" s="139">
        <f>IF(ROW()-3&gt;COUNTIF(CM$4:CM$40,"&lt;&gt;"&amp;""),"",INDEX(CM$4:CM$40,MATCH(ROW()-3,CN$4:CN$40,0)))</f>
        <v/>
      </c>
      <c r="CP36">
        <f>CP35+IF(AND(CO36&lt;&gt;"",COUNTIF(CO$4:CO36,CO36)=1),1,0)</f>
        <v/>
      </c>
      <c r="CQ36">
        <f>IF(ROW()-3&gt;MAX(CP$4:CP$40),"",INDEX(CO$4:CO$40,MATCH(ROW()-3,CP$4:CP$40,0)))</f>
        <v/>
      </c>
      <c r="CR36" s="55">
        <f>IF('Final Calculation Sheet'!$R$36="","",'Final Calculation Sheet'!$R$36)</f>
        <v/>
      </c>
      <c r="CS36">
        <f>IF(CR36="","",COUNTIFS(CR$4:CR$40,"&lt;"&amp;CR36,CR$4:CR$40,"&lt;&gt;"&amp;"")+COUNTIF(CR$4:CR36,CR36))</f>
        <v/>
      </c>
      <c r="CT36" s="55">
        <f>IF(ROW()-3&gt;COUNTIF(CR$4:CR$40,"&lt;&gt;"&amp;""),"",INDEX(CR$4:CR$40,MATCH(ROW()-3,CS$4:CS$40,0)))</f>
        <v/>
      </c>
      <c r="CU36">
        <f>CU35+IF(AND(CT36&lt;&gt;"",COUNTIF(CT$4:CT36,CT36)=1),1,0)</f>
        <v/>
      </c>
      <c r="CV36">
        <f>IF(ROW()-3&gt;MAX(CU$4:CU$40),"",INDEX(CT$4:CT$40,MATCH(ROW()-3,CU$4:CU$40,0)))</f>
        <v/>
      </c>
      <c r="CW36" s="55">
        <f>IF('Final Calculation Sheet'!$S$36="","",'Final Calculation Sheet'!$S$36)</f>
        <v/>
      </c>
      <c r="CX36">
        <f>IF(CW36="","",COUNTIFS(CW$4:CW$40,"&lt;"&amp;CW36,CW$4:CW$40,"&lt;&gt;"&amp;"")+COUNTIF(CW$4:CW36,CW36))</f>
        <v/>
      </c>
      <c r="CY36" s="55">
        <f>IF(ROW()-3&gt;COUNTIF(CW$4:CW$40,"&lt;&gt;"&amp;""),"",INDEX(CW$4:CW$40,MATCH(ROW()-3,CX$4:CX$40,0)))</f>
        <v/>
      </c>
      <c r="CZ36">
        <f>CZ35+IF(AND(CY36&lt;&gt;"",COUNTIF(CY$4:CY36,CY36)=1),1,0)</f>
        <v/>
      </c>
      <c r="DA36" s="55">
        <f>IF(ROW()-3&gt;MAX(CZ$4:CZ$40),"",INDEX(CY$4:CY$40,MATCH(ROW()-3,CZ$4:CZ$40,0)))</f>
        <v/>
      </c>
      <c r="DB36" s="55">
        <f>IF('Final Calculation Sheet'!$T$36="","",'Final Calculation Sheet'!$T$36)</f>
        <v/>
      </c>
      <c r="DC36">
        <f>IF(DB36="","",COUNTIFS(DB$4:DB$40,"&lt;"&amp;DB36,DB$4:DB$40,"&lt;&gt;"&amp;"")+COUNTIF(DB$4:DB36,DB36))</f>
        <v/>
      </c>
      <c r="DD36" s="55">
        <f>IF(ROW()-3&gt;COUNTIF(DB$4:DB$40,"&lt;&gt;"&amp;""),"",INDEX(DB$4:DB$40,MATCH(ROW()-3,DC$4:DC$40,0)))</f>
        <v/>
      </c>
      <c r="DE36">
        <f>DE35+IF(AND(DD36&lt;&gt;"",COUNTIF(DD$4:DD36,DD36)=1),1,0)</f>
        <v/>
      </c>
      <c r="DF36" s="55">
        <f>IF(ROW()-3&gt;MAX(DE$4:DE$40),"",INDEX(DD$4:DD$40,MATCH(ROW()-3,DE$4:DE$40,0)))</f>
        <v/>
      </c>
      <c r="DG36" s="140">
        <f>IF('Final Calculation Sheet'!$U$36="","",'Final Calculation Sheet'!$U$36)</f>
        <v/>
      </c>
      <c r="DH36">
        <f>IF(DG36="","",COUNTIFS(DG$4:DG$40,"&lt;"&amp;DG36,DG$4:DG$40,"&lt;&gt;"&amp;"")+COUNTIF(DG$4:DG36,DG36))</f>
        <v/>
      </c>
      <c r="DI36" s="140">
        <f>IF(ROW()-3&gt;COUNTIF(DG$4:DG$40,"&lt;&gt;"&amp;""),"",INDEX(DG$4:DG$40,MATCH(ROW()-3,DH$4:DH$40,0)))</f>
        <v/>
      </c>
      <c r="DJ36">
        <f>DJ35+IF(AND(DI36&lt;&gt;"",COUNTIF(DI$4:DI36,DI36)=1),1,0)</f>
        <v/>
      </c>
      <c r="DK36" s="140">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s="55">
        <f>IF('Final Calculation Sheet'!$W$36="","",'Final Calculation Sheet'!$W$36)</f>
        <v/>
      </c>
      <c r="DR36">
        <f>IF(DQ36="","",COUNTIFS(DQ$4:DQ$40,"&lt;"&amp;DQ36,DQ$4:DQ$40,"&lt;&gt;"&amp;"")+COUNTIF(DQ$4:DQ36,DQ36))</f>
        <v/>
      </c>
      <c r="DS36" s="55">
        <f>IF(ROW()-3&gt;COUNTIF(DQ$4:DQ$40,"&lt;&gt;"&amp;""),"",INDEX(DQ$4:DQ$40,MATCH(ROW()-3,DR$4:DR$40,0)))</f>
        <v/>
      </c>
      <c r="DT36">
        <f>DT35+IF(AND(DS36&lt;&gt;"",COUNTIF(DS$4:DS36,DS36)=1),1,0)</f>
        <v/>
      </c>
      <c r="DU36" s="55">
        <f>IF(ROW()-3&gt;MAX(DT$4:DT$40),"",INDEX(DS$4:DS$40,MATCH(ROW()-3,DT$4:DT$40,0)))</f>
        <v/>
      </c>
      <c r="DV36">
        <f>IF('Final Calculation Sheet'!$X$36="","",'Final Calculation Sheet'!$X$36)</f>
        <v/>
      </c>
      <c r="DW36">
        <f>IF(DV36="","",COUNTIFS(DV$4:DV$40,"&lt;"&amp;DV36,DV$4:DV$40,"&lt;&gt;"&amp;"")+COUNTIF(DV$4:DV36,DV36))</f>
        <v/>
      </c>
      <c r="DX36" s="55">
        <f>IF(ROW()-3&gt;COUNTIF(DV$4:DV$40,"&lt;&gt;"&amp;""),"",INDEX(DV$4:DV$40,MATCH(ROW()-3,DW$4:DW$40,0)))</f>
        <v/>
      </c>
      <c r="DY36">
        <f>DY35+IF(AND(DX36&lt;&gt;"",COUNTIF(DX$4:DX36,DX36)=1),1,0)</f>
        <v/>
      </c>
      <c r="DZ36">
        <f>IF(ROW()-3&gt;MAX(DY$4:DY$40),"",INDEX(DX$4:DX$40,MATCH(ROW()-3,DY$4:DY$40,0)))</f>
        <v/>
      </c>
      <c r="EA36" s="55">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s="55">
        <f>IF('Final Calculation Sheet'!$Z$36="","",'Final Calculation Sheet'!$Z$36)</f>
        <v/>
      </c>
      <c r="EG36">
        <f>IF(EF36="","",COUNTIFS(EF$4:EF$40,"&lt;"&amp;EF36,EF$4:EF$40,"&lt;&gt;"&amp;"")+COUNTIF(EF$4:EF36,EF36))</f>
        <v/>
      </c>
      <c r="EH36" s="55">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s="55">
        <f>IF('Final Calculation Sheet'!$AC$36="","",'Final Calculation Sheet'!$AC$36)</f>
        <v/>
      </c>
      <c r="EV36">
        <f>IF(EU36="","",COUNTIFS(EU$4:EU$40,"&lt;"&amp;EU36,EU$4:EU$40,"&lt;&gt;"&amp;"")+COUNTIF(EU$4:EU36,EU36))</f>
        <v/>
      </c>
      <c r="EW36" s="55">
        <f>IF(ROW()-3&gt;COUNTIF(EU$4:EU$40,"&lt;&gt;"&amp;""),"",INDEX(EU$4:EU$40,MATCH(ROW()-3,EV$4:EV$40,0)))</f>
        <v/>
      </c>
      <c r="EX36">
        <f>EX35+IF(AND(EW36&lt;&gt;"",COUNTIF(EW$4:EW36,EW36)=1),1,0)</f>
        <v/>
      </c>
      <c r="EY36" s="55">
        <f>IF(ROW()-3&gt;MAX(EX$4:EX$40),"",INDEX(EW$4:EW$40,MATCH(ROW()-3,EX$4:EX$40,0)))</f>
        <v/>
      </c>
      <c r="EZ36" s="55">
        <f>IF('Final Calculation Sheet'!$AD$36="","",'Final Calculation Sheet'!$AD$36)</f>
        <v/>
      </c>
      <c r="FA36">
        <f>IF(EZ36="","",COUNTIFS(EZ$4:EZ$40,"&lt;"&amp;EZ36,EZ$4:EZ$40,"&lt;&gt;"&amp;"")+COUNTIF(EZ$4:EZ36,EZ36))</f>
        <v/>
      </c>
      <c r="FB36" s="55">
        <f>IF(ROW()-3&gt;COUNTIF(EZ$4:EZ$40,"&lt;&gt;"&amp;""),"",INDEX(EZ$4:EZ$40,MATCH(ROW()-3,FA$4:FA$40,0)))</f>
        <v/>
      </c>
      <c r="FC36">
        <f>FC35+IF(AND(FB36&lt;&gt;"",COUNTIF(FB$4:FB36,FB36)=1),1,0)</f>
        <v/>
      </c>
      <c r="FD36">
        <f>IF(ROW()-3&gt;MAX(FC$4:FC$40),"",INDEX(FB$4:FB$40,MATCH(ROW()-3,FC$4:FC$40,0)))</f>
        <v/>
      </c>
      <c r="FE36">
        <f>IF('Final Calculation Sheet'!$AF$36="","",'Final Calculation Sheet'!$AF$36)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Sheet'!$AG$36="","",'Final Calculation Sheet'!$AG$36)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Sheet'!$AH$36="","",'Final Calculation Sheet'!$AH$36)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c r="FY36">
        <f>IF(COUNTIF('Live Search'!BM$35:BO$35,0)+COUNTIF('Live Search'!BQ$35:CU$35,0)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6">
        <f>IF($Y$36="",FALSE,SUMPRODUCT(('Final Calculation Sheet'!$B$4:$B$40=$Y$36)*($FY$6:$FY$42=1))&gt;0)</f>
        <v/>
      </c>
      <c r="GA36">
        <f>$GA$35+--($FZ$36)</f>
        <v/>
      </c>
      <c r="GB36">
        <f>IF(ROW()-3&gt;MAX($GA$4:$GA$40),"",INDEX($Y$4:$Y$40,MATCH(ROW()-3,$GA$4:$GA$40,0)))</f>
        <v/>
      </c>
      <c r="GC36">
        <f>IF(COUNTIF('Live Search'!BM$35:BM$35,0)+COUNTIF('Live Search'!BO$35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D36">
        <f>IF($O$36="",FALSE,SUMPRODUCT(('Final Calculation Sheet'!$F$4:$F$40=$O$36)*($GC$6:$GC$42=1))&gt;0)</f>
        <v/>
      </c>
      <c r="GE36">
        <f>$GE$35+--($GD36)</f>
        <v/>
      </c>
      <c r="GF36">
        <f>IF(ROW()-3&gt;MAX($GE$4:$GE$40),"",INDEX($O$4:$O$40,MATCH(ROW()-3,$GE$4:$GE$40,0)))</f>
        <v/>
      </c>
      <c r="GG36">
        <f>IF(COUNTIF('Live Search'!BM$35:BN$35,0)+COUNTIF('Live Search'!BP$35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H36">
        <f>IF($T$36="",FALSE,SUMPRODUCT(('Final Calculation Sheet'!$G$4:$G$40=$T$36)*($GG$6:$GG$42=1))&gt;0)</f>
        <v/>
      </c>
      <c r="GI36">
        <f>$GI$35+--($GH36)</f>
        <v/>
      </c>
      <c r="GJ36">
        <f>IF(ROW()-3&gt;MAX($GI$4:$GI$40),"",INDEX($T$4:$T$40,MATCH(ROW()-3,$GI$4:$GI$40,0)))</f>
        <v/>
      </c>
      <c r="GK36">
        <f>IF(COUNTIF('Live Search'!BM$35:BP$35,0)+COUNTIF('Live Search'!BR$35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L36">
        <f>IF($AD$36="",FALSE,SUMPRODUCT(('Final Calculation Sheet'!$D$4:$D$40=$AD$36)*($GK$6:$GK$42=1))&gt;0)</f>
        <v/>
      </c>
      <c r="GM36">
        <f>$GM$35+--($GL36)</f>
        <v/>
      </c>
      <c r="GN36">
        <f>IF(ROW()-3&gt;MAX($GM$4:$GM$40),"",INDEX($AD$4:$AD$40,MATCH(ROW()-3,$GM$4:$GM$40,0)))</f>
        <v/>
      </c>
      <c r="GO36">
        <f>IF(COUNTIF('Live Search'!BM$35:BQ$35,0)+COUNTIF('Live Search'!BS$35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P36">
        <f>IF($AI$36="",FALSE,SUMPRODUCT(('Final Calculation Sheet'!$A$4:$A$40=$AI$36)*($GO$6:$GO$42=1))&gt;0)</f>
        <v/>
      </c>
      <c r="GQ36">
        <f>$GQ$35+--($GP36)</f>
        <v/>
      </c>
      <c r="GR36">
        <f>IF(ROW()-3&gt;MAX($GQ$4:$GQ$40),"",INDEX($AI$4:$AI$40,MATCH(ROW()-3,$GQ$4:$GQ$40,0)))</f>
        <v/>
      </c>
      <c r="GS36">
        <f>IF(COUNTIF('Live Search'!BM$35:BR$35,0)+COUNTIF('Live Search'!BT$35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T36">
        <f>IF($AN$36="",FALSE,SUMPRODUCT(('Final Calculation Sheet'!$E$4:$E$40=$AN$36)*($GS$6:$GS$42=1))&gt;0)</f>
        <v/>
      </c>
      <c r="GU36">
        <f>$GU$35+--($GT36)</f>
        <v/>
      </c>
      <c r="GV36">
        <f>IF(ROW()-3&gt;MAX($GU$4:$GU$40),"",INDEX($AN$4:$AN$40,MATCH(ROW()-3,$GU$4:$GU$40,0)))</f>
        <v/>
      </c>
      <c r="GW36">
        <f>IF(COUNTIF('Live Search'!BM$35:BS$35,0)+COUNTIF('Live Search'!BU$35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GX36">
        <f>IF($AS$36="",FALSE,SUMPRODUCT(('Final Calculation Sheet'!$C$4:$C$40=$AS$36)*($GW$6:$GW$42=1))&gt;0)</f>
        <v/>
      </c>
      <c r="GY36">
        <f>$GY$35+--($GX36)</f>
        <v/>
      </c>
      <c r="GZ36">
        <f>IF(ROW()-3&gt;MAX($GY$4:$GY$40),"",INDEX($AS$4:$AS$40,MATCH(ROW()-3,$GY$4:$GY$40,0)))</f>
        <v/>
      </c>
      <c r="HA36">
        <f>IF(COUNTIF('Live Search'!BM$35:BT$35,0)+COUNTIF('Live Search'!BV$35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B36">
        <f>IF($AX$36="",FALSE,SUMPRODUCT(('Final Calculation Sheet'!$H$4:$H$40=$AX$36)*($HA$6:$HA$42=1))&gt;0)</f>
        <v/>
      </c>
      <c r="HC36">
        <f>$HC$35+--($HB36)</f>
        <v/>
      </c>
      <c r="HD36">
        <f>IF(ROW()-3&gt;MAX($HC$4:$HC$40),"",INDEX($AX$4:$AX$40,MATCH(ROW()-3,$HC$4:$HC$40,0)))</f>
        <v/>
      </c>
      <c r="HE36">
        <f>IF(COUNTIF('Live Search'!BM$35:BU$35,0)+COUNTIF('Live Search'!BW$35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F36">
        <f>IF($BC$36="",FALSE,SUMPRODUCT(('Final Calculation Sheet'!$I$4:$I$40=$BC$36)*($HE$6:$HE$42=1))&gt;0)</f>
        <v/>
      </c>
      <c r="HG36">
        <f>$HG$35+--($HF36)</f>
        <v/>
      </c>
      <c r="HH36">
        <f>IF(ROW()-3&gt;MAX($HG$4:$HG$40),"",INDEX($BC$4:$BC$40,MATCH(ROW()-3,$HG$4:$HG$40,0)))</f>
        <v/>
      </c>
      <c r="HI36">
        <f>IF(COUNTIF('Live Search'!BM$35:BV$35,0)+COUNTIF('Live Search'!BX$35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J36">
        <f>IF($BH$36="",FALSE,SUMPRODUCT(('Final Calculation Sheet'!$J$4:$J$40=$BH$36)*($HI$6:$HI$42=1))&gt;0)</f>
        <v/>
      </c>
      <c r="HK36">
        <f>$HK$35+--($HJ36)</f>
        <v/>
      </c>
      <c r="HL36">
        <f>IF(ROW()-3&gt;MAX($HK$4:$HK$40),"",INDEX($BH$4:$BH$40,MATCH(ROW()-3,$HK$4:$HK$40,0)))</f>
        <v/>
      </c>
      <c r="HM36">
        <f>IF(COUNTIF('Live Search'!BM$35:BW$35,0)+COUNTIF('Live Search'!BY$35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N36">
        <f>IF($BM$36="",FALSE,SUMPRODUCT(('Final Calculation Sheet'!$K$4:$K$40=$BM$36)*($HM$6:$HM$42=1))&gt;0)</f>
        <v/>
      </c>
      <c r="HO36">
        <f>$HO$35+--($HN36)</f>
        <v/>
      </c>
      <c r="HP36">
        <f>IF(ROW()-3&gt;MAX($HO$4:$HO$40),"",INDEX($BM$4:$BM$40,MATCH(ROW()-3,$HO$4:$HO$40,0)))</f>
        <v/>
      </c>
      <c r="HQ36">
        <f>IF(COUNTIF('Live Search'!BM$35:BX$35,0)+COUNTIF('Live Search'!BZ$35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R36">
        <f>IF($BR$36="",FALSE,SUMPRODUCT(('Final Calculation Sheet'!$L$4:$L$40=$BR$36)*($HQ$6:$HQ$42=1))&gt;0)</f>
        <v/>
      </c>
      <c r="HS36">
        <f>$HS$35+--($HR36)</f>
        <v/>
      </c>
      <c r="HT36">
        <f>IF(ROW()-3&gt;MAX($HS$4:$HS$40),"",INDEX($BR$4:$BR$40,MATCH(ROW()-3,$HS$4:$HS$40,0)))</f>
        <v/>
      </c>
      <c r="HU36">
        <f>IF(COUNTIF('Live Search'!BM$35:BY$35,0)+COUNTIF('Live Search'!CA$35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V36">
        <f>IF($BW$36="",FALSE,SUMPRODUCT(('Final Calculation Sheet'!$M$4:$M$40=$BW$36)*($HU$6:$HU$42=1))&gt;0)</f>
        <v/>
      </c>
      <c r="HW36">
        <f>$HW$35+--($HV36)</f>
        <v/>
      </c>
      <c r="HX36">
        <f>IF(ROW()-3&gt;MAX($HW$4:$HW$40),"",INDEX($BW$4:$BW$40,MATCH(ROW()-3,$HW$4:$HW$40,0)))</f>
        <v/>
      </c>
      <c r="HY36">
        <f>IF(COUNTIF('Live Search'!BM$35:BZ$35,0)+COUNTIF('Live Search'!CB$35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HZ36">
        <f>IF($CB$36="",FALSE,SUMPRODUCT(('Final Calculation Sheet'!$N$4:$N$40=$CB$36)*($HY$6:$HY$42=1))&gt;0)</f>
        <v/>
      </c>
      <c r="IA36">
        <f>$IA$35+--($HZ36)</f>
        <v/>
      </c>
      <c r="IB36">
        <f>IF(ROW()-3&gt;MAX($IA$4:$IA$40),"",INDEX($CB$4:$CB$40,MATCH(ROW()-3,$IA$4:$IA$40,0)))</f>
        <v/>
      </c>
      <c r="IC36">
        <f>IF(COUNTIF('Live Search'!BM$35:CA$35,0)+COUNTIF('Live Search'!CC$35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D36">
        <f>IF($CG$36="",FALSE,SUMPRODUCT(('Final Calculation Sheet'!$O$4:$O$40=$CG$36)*($IC$6:$IC$42=1))&gt;0)</f>
        <v/>
      </c>
      <c r="IE36">
        <f>$IE$35+--($ID36)</f>
        <v/>
      </c>
      <c r="IF36">
        <f>IF(ROW()-3&gt;MAX($IE$4:$IE$40),"",INDEX($CG$4:$CG$40,MATCH(ROW()-3,$IE$4:$IE$40,0)))</f>
        <v/>
      </c>
      <c r="IG36">
        <f>IF(COUNTIF('Live Search'!BM$35:CB$35,0)+COUNTIF('Live Search'!CD$35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H36">
        <f>IF($CL$36="",FALSE,SUMPRODUCT(('Final Calculation Sheet'!$P$4:$P$40=$CL$36)*($IG$6:$IG$42=1))&gt;0)</f>
        <v/>
      </c>
      <c r="II36">
        <f>$II$35+--($IH36)</f>
        <v/>
      </c>
      <c r="IJ36">
        <f>IF(ROW()-3&gt;MAX($II$4:$II$40),"",INDEX($CL$4:$CL$40,MATCH(ROW()-3,$II$4:$II$40,0)))</f>
        <v/>
      </c>
      <c r="IK36">
        <f>IF(COUNTIF('Live Search'!BM$35:CC$35,0)+COUNTIF('Live Search'!CE$35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L36">
        <f>IF($CQ$36="",FALSE,SUMPRODUCT(('Final Calculation Sheet'!$Q$4:$Q$40=$CQ$36)*($IK$6:$IK$42=1))&gt;0)</f>
        <v/>
      </c>
      <c r="IM36">
        <f>$IM$35+--($IL36)</f>
        <v/>
      </c>
      <c r="IN36">
        <f>IF(ROW()-3&gt;MAX($IM$4:$IM$40),"",INDEX($CQ$4:$CQ$40,MATCH(ROW()-3,$IM$4:$IM$40,0)))</f>
        <v/>
      </c>
      <c r="IO36">
        <f>IF(COUNTIF('Live Search'!BM$35:CD$35,0)+COUNTIF('Live Search'!CF$35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P36">
        <f>IF($CV$36="",FALSE,SUMPRODUCT(('Final Calculation Sheet'!$R$4:$R$40=$CV$36)*($IO$6:$IO$42=1))&gt;0)</f>
        <v/>
      </c>
      <c r="IQ36">
        <f>$IQ$35+--($IP36)</f>
        <v/>
      </c>
      <c r="IR36">
        <f>IF(ROW()-3&gt;MAX($IQ$4:$IQ$40),"",INDEX($CV$4:$CV$40,MATCH(ROW()-3,$IQ$4:$IQ$40,0)))</f>
        <v/>
      </c>
      <c r="IS36">
        <f>IF(COUNTIF('Live Search'!BM$35:CE$35,0)+COUNTIF('Live Search'!CG$35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T36">
        <f>IF($DA$36="",FALSE,SUMPRODUCT(('Final Calculation Sheet'!$S$4:$S$40=$DA$36)*($IS$6:$IS$42=1))&gt;0)</f>
        <v/>
      </c>
      <c r="IU36">
        <f>$IU$35+--($IT36)</f>
        <v/>
      </c>
      <c r="IV36">
        <f>IF(ROW()-3&gt;MAX($IU$4:$IU$40),"",INDEX($DA$4:$DA$40,MATCH(ROW()-3,$IU$4:$IU$40,0)))</f>
        <v/>
      </c>
      <c r="IW36">
        <f>IF(COUNTIF('Live Search'!BM$35:CF$35,0)+COUNTIF('Live Search'!CH$35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IX36">
        <f>IF($DF$36="",FALSE,SUMPRODUCT(('Final Calculation Sheet'!$T$4:$T$40=$DF$36)*($IW$6:$IW$42=1))&gt;0)</f>
        <v/>
      </c>
      <c r="IY36">
        <f>$IY$35+--($IX36)</f>
        <v/>
      </c>
      <c r="IZ36">
        <f>IF(ROW()-3&gt;MAX($IY$4:$IY$40),"",INDEX($DF$4:$DF$40,MATCH(ROW()-3,$IY$4:$IY$40,0)))</f>
        <v/>
      </c>
      <c r="JA36">
        <f>IF(COUNTIF('Live Search'!BM$35:CG$35,0)+COUNTIF('Live Search'!CI$35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B36">
        <f>IF($DK$36="",FALSE,SUMPRODUCT(('Final Calculation Sheet'!$U$4:$U$40=$DK$36)*($JA$6:$JA$42=1))&gt;0)</f>
        <v/>
      </c>
      <c r="JC36">
        <f>$JC$35+--($JB36)</f>
        <v/>
      </c>
      <c r="JD36">
        <f>IF(ROW()-3&gt;MAX($JC$4:$JC$40),"",INDEX($DK$4:$DK$40,MATCH(ROW()-3,$JC$4:$JC$40,0)))</f>
        <v/>
      </c>
      <c r="JE36">
        <f>IF(COUNTIF('Live Search'!BM$35:CH$35,0)+COUNTIF('Live Search'!CJ$35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F36">
        <f>IF($DP$36="",FALSE,SUMPRODUCT(('Final Calculation Sheet'!$V$4:$V$40=$DP$36)*($JE$6:$JE$42=1))&gt;0)</f>
        <v/>
      </c>
      <c r="JG36">
        <f>$JG$35+--($JF36)</f>
        <v/>
      </c>
      <c r="JH36">
        <f>IF(ROW()-3&gt;MAX($JG$4:$JG$40),"",INDEX($DP$4:$DP$40,MATCH(ROW()-3,$JG$4:$JG$40,0)))</f>
        <v/>
      </c>
      <c r="JI36">
        <f>IF(COUNTIF('Live Search'!BM$35:CI$35,0)+COUNTIF('Live Search'!CK$35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J36">
        <f>IF($DU$36="",FALSE,SUMPRODUCT(('Final Calculation Sheet'!$W$4:$W$40=$DU$36)*($JI$6:$JI$42=1))&gt;0)</f>
        <v/>
      </c>
      <c r="JK36">
        <f>$JK$35+--($JJ36)</f>
        <v/>
      </c>
      <c r="JL36">
        <f>IF(ROW()-3&gt;MAX($JK$4:$JK$40),"",INDEX($DU$4:$DU$40,MATCH(ROW()-3,$JK$4:$JK$40,0)))</f>
        <v/>
      </c>
      <c r="JM36">
        <f>IF(COUNTIF('Live Search'!BM$35:CJ$35,0)+COUNTIF('Live Search'!CL$35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N36">
        <f>IF($DZ$36="",FALSE,SUMPRODUCT(('Final Calculation Sheet'!$X$4:$X$40=$DZ$36)*($JM$6:$JM$42=1))&gt;0)</f>
        <v/>
      </c>
      <c r="JO36">
        <f>$JO$35+--($JN36)</f>
        <v/>
      </c>
      <c r="JP36">
        <f>IF(ROW()-3&gt;MAX($JO$4:$JO$40),"",INDEX($DZ$4:$DZ$40,MATCH(ROW()-3,$JO$4:$JO$40,0)))</f>
        <v/>
      </c>
      <c r="JQ36">
        <f>IF(COUNTIF('Live Search'!BM$35:CK$35,0)+COUNTIF('Live Search'!C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R36">
        <f>IF($EE$36="",FALSE,SUMPRODUCT(('Final Calculation Sheet'!$Y$4:$Y$40=$EE$36)*($JQ$6:$JQ$42=1))&gt;0)</f>
        <v/>
      </c>
      <c r="JS36">
        <f>$JS$35+--($JR36)</f>
        <v/>
      </c>
      <c r="JT36">
        <f>IF(ROW()-3&gt;MAX($JS$4:$JS$40),"",INDEX($EE$4:$EE$40,MATCH(ROW()-3,$JS$4:$JS$40,0)))</f>
        <v/>
      </c>
      <c r="JU36">
        <f>IF(COUNTIF('Live Search'!BM$35:CL$35,0)+COUNTIF('Live Search'!CN$35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V36">
        <f>IF($EJ$36="",FALSE,SUMPRODUCT(('Final Calculation Sheet'!$Z$4:$Z$40=$EJ$36)*($JU$6:$JU$42=1))&gt;0)</f>
        <v/>
      </c>
      <c r="JW36">
        <f>$JW$35+--($JV36)</f>
        <v/>
      </c>
      <c r="JX36">
        <f>IF(ROW()-3&gt;MAX($JW$4:$JW$40),"",INDEX($EJ$4:$EJ$40,MATCH(ROW()-3,$JW$4:$JW$40,0)))</f>
        <v/>
      </c>
      <c r="JY36">
        <f>IF(COUNTIF('Live Search'!BM$35:CM$35,0)+COUNTIF('Live Search'!CO$35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JZ36">
        <f>IF($EO$36="",FALSE,SUMPRODUCT(('Final Calculation Sheet'!$AA$4:$AA$40=$EO$36)*($JY$6:$JY$42=1))&gt;0)</f>
        <v/>
      </c>
      <c r="KA36">
        <f>$KA$35+--($JZ36)</f>
        <v/>
      </c>
      <c r="KB36">
        <f>IF(ROW()-3&gt;MAX($KA$4:$KA$40),"",INDEX($EO$4:$EO$40,MATCH(ROW()-3,$KA$4:$KA$40,0)))</f>
        <v/>
      </c>
      <c r="KC36">
        <f>IF(COUNTIF('Live Search'!BM$35:CN$35,0)+COUNTIF('Live Search'!CP$35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D36">
        <f>IF($ET$36="",FALSE,SUMPRODUCT(('Final Calculation Sheet'!$AB$4:$AB$40=$ET$36)*($KC$6:$KC$42=1))&gt;0)</f>
        <v/>
      </c>
      <c r="KE36">
        <f>$KE$35+--($KD36)</f>
        <v/>
      </c>
      <c r="KF36">
        <f>IF(ROW()-3&gt;MAX($KE$4:$KE$40),"",INDEX($ET$4:$ET$40,MATCH(ROW()-3,$KE$4:$KE$40,0)))</f>
        <v/>
      </c>
      <c r="KG36">
        <f>IF(COUNTIF('Live Search'!BM$35:CO$35,0)+COUNTIF('Live Search'!CQ$35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H36">
        <f>IF($EY$36="",FALSE,SUMPRODUCT(('Final Calculation Sheet'!$AC$4:$AC$40=$EY$36)*($KG$6:$KG$42=1))&gt;0)</f>
        <v/>
      </c>
      <c r="KI36">
        <f>$KI$35+--($KH36)</f>
        <v/>
      </c>
      <c r="KJ36">
        <f>IF(ROW()-3&gt;MAX($KI$4:$KI$40),"",INDEX($EY$4:$EY$40,MATCH(ROW()-3,$KI$4:$KI$40,0)))</f>
        <v/>
      </c>
      <c r="KK36">
        <f>IF(COUNTIF('Live Search'!BM$35:CP$35,0)+COUNTIF('Live Search'!CR$35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L36">
        <f>IF($FD$36="",FALSE,SUMPRODUCT(('Final Calculation Sheet'!$AD$4:$AD$40=$FD$36)*($KK$6:$KK$42=1))&gt;0)</f>
        <v/>
      </c>
      <c r="KM36">
        <f>$KM$35+--($KL36)</f>
        <v/>
      </c>
      <c r="KN36">
        <f>IF(ROW()-3&gt;MAX($KM$4:$KM$40),"",INDEX($FD$4:$FD$40,MATCH(ROW()-3,$KM$4:$KM$40,0)))</f>
        <v/>
      </c>
      <c r="KO36">
        <f>IF(COUNTIF('Live Search'!BM$35:CT$35,0)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P36">
        <f>IF($FX$36="",FALSE,SUMPRODUCT((IF('Final Calculation Sheet'!$AD$4:$AD$40&lt;=5,"SETTLED","OUTSTANDING")=$FX$36)*($KO$6:$KO$42=1))&gt;0)</f>
        <v/>
      </c>
      <c r="KQ36">
        <f>$KQ$35+--($KP36)</f>
        <v/>
      </c>
      <c r="KR36">
        <f>IF(ROW()-3&gt;MAX($KQ$4:$KQ$40),"",INDEX($FX$4:$FX$40,MATCH(ROW()-3,$KQ$4:$KQ$40,0)))</f>
        <v/>
      </c>
      <c r="KS36">
        <f>IF(COUNTIF('Live Search'!BM$35:CQ$35,0)+COUNTIF('Live Search'!CS$35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T36">
        <f>IF($FI$36="",FALSE,SUMPRODUCT(('Final Calculation Sheet'!$AF$4:$AF$40=$FI$36)*($KS$6:$KS$42=1))&gt;0)</f>
        <v/>
      </c>
      <c r="KU36">
        <f>$KU$35+--($KT36)</f>
        <v/>
      </c>
      <c r="KV36">
        <f>IF(ROW()-3&gt;MAX($KU$4:$KU$40),"",INDEX($FI$4:$FI$40,MATCH(ROW()-3,$KU$4:$KU$40,0)))</f>
        <v/>
      </c>
      <c r="KW36">
        <f>IF(COUNTIF('Live Search'!BM$35:CR$35,0)+COUNTIF('Live Search'!CT$35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KX36">
        <f>IF($FN$36="",FALSE,SUMPRODUCT(('Final Calculation Sheet'!$AG$4:$AG$40=$FN$36)*($KW$6:$KW$42=1))&gt;0)</f>
        <v/>
      </c>
      <c r="KY36">
        <f>$KY$35+--($KX36)</f>
        <v/>
      </c>
      <c r="KZ36">
        <f>IF(ROW()-3&gt;MAX($KY$4:$KY$40),"",INDEX($FN$4:$FN$40,MATCH(ROW()-3,$KY$4:$KY$40,0)))</f>
        <v/>
      </c>
      <c r="LA36">
        <f>IF(COUNTIF('Live Search'!BM$35:CS$35,0)+COUNTIF('Live Search'!CU$35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LB36">
        <f>IF($FS$36="",FALSE,SUMPRODUCT(('Final Calculation Sheet'!$AH$4:$AH$40=$FS$36)*($LA$6:$LA$42=1))&gt;0)</f>
        <v/>
      </c>
      <c r="LC36">
        <f>$LC$35+--($LB36)</f>
        <v/>
      </c>
      <c r="LD36">
        <f>IF(ROW()-3&gt;MAX($LC$4:$LC$40),"",INDEX($FS$4:$FS$40,MATCH(ROW()-3,$LC$4:$LC$40,0)))</f>
        <v/>
      </c>
      <c r="LE36">
        <f>IF(COUNTIF('Buyer Groups'!DH89:EN89,0)&gt;0,0,1)</f>
        <v/>
      </c>
      <c r="LF36">
        <f>IF($O$36="",FALSE,SUMPRODUCT(('Final Calculation Sheet'!$F$4:$F$40=$O$36)*($LE$6:$LE$42=1))&gt;0)</f>
        <v/>
      </c>
      <c r="LG36">
        <f>$LG$35+--($LF36)</f>
        <v/>
      </c>
      <c r="LH36">
        <f>IF(ROW()-3&gt;MAX($LG$4:$LG$40),"",INDEX($O$4:$O$40,MATCH(ROW()-3,$LG$4:$LG$40,0)))</f>
        <v/>
      </c>
      <c r="LI36">
        <f>IF(COUNTIF('Buyer Groups'!DG89:DG89,0)+COUNTIF('Buyer Groups'!DI89:EN89,0)&gt;0,0,1)</f>
        <v/>
      </c>
      <c r="LJ36">
        <f>IF($T$36="",FALSE,SUMPRODUCT(('Final Calculation Sheet'!$G$4:$G$40=$T$36)*($LI$6:$LI$42=1))&gt;0)</f>
        <v/>
      </c>
      <c r="LK36">
        <f>$LK$35+--($LJ36)</f>
        <v/>
      </c>
      <c r="LL36">
        <f>IF(ROW()-3&gt;MAX($LK$4:$LK$40),"",INDEX($T$4:$T$40,MATCH(ROW()-3,$LK$4:$LK$40,0)))</f>
        <v/>
      </c>
      <c r="LM36">
        <f>IF(COUNTIF('Buyer Groups'!DG89:DH89,0)+COUNTIF('Buyer Groups'!DJ89:EN89,0)&gt;0,0,1)</f>
        <v/>
      </c>
      <c r="LN36">
        <f>IF($Y$36="",FALSE,SUMPRODUCT(('Final Calculation Sheet'!$B$4:$B$40=$Y$36)*($LM$6:$LM$42=1))&gt;0)</f>
        <v/>
      </c>
      <c r="LO36">
        <f>$LO$35+--($LN36)</f>
        <v/>
      </c>
      <c r="LP36">
        <f>IF(ROW()-3&gt;MAX($LO$4:$LO$40),"",INDEX($Y$4:$Y$40,MATCH(ROW()-3,$LO$4:$LO$40,0)))</f>
        <v/>
      </c>
      <c r="LQ36">
        <f>IF(COUNTIF('Buyer Groups'!DG89:DI89,0)+COUNTIF('Buyer Groups'!DK89:EN89,0)&gt;0,0,1)</f>
        <v/>
      </c>
      <c r="LR36">
        <f>IF($AD$36="",FALSE,SUMPRODUCT(('Final Calculation Sheet'!$D$4:$D$40=$AD$36)*($LQ$6:$LQ$42=1))&gt;0)</f>
        <v/>
      </c>
      <c r="LS36">
        <f>$LS$35+--($LR36)</f>
        <v/>
      </c>
      <c r="LT36">
        <f>IF(ROW()-3&gt;MAX($LS$4:$LS$40),"",INDEX($AD$4:$AD$40,MATCH(ROW()-3,$LS$4:$LS$40,0)))</f>
        <v/>
      </c>
      <c r="LU36">
        <f>IF(COUNTIF('Buyer Groups'!DG89:DJ89,0)+COUNTIF('Buyer Groups'!DL89:EN89,0)&gt;0,0,1)</f>
        <v/>
      </c>
      <c r="LV36">
        <f>IF($AI$36="",FALSE,SUMPRODUCT(('Final Calculation Sheet'!$A$4:$A$40=$AI$36)*($LU$6:$LU$42=1))&gt;0)</f>
        <v/>
      </c>
      <c r="LW36">
        <f>$LW$35+--($LV36)</f>
        <v/>
      </c>
      <c r="LX36">
        <f>IF(ROW()-3&gt;MAX($LW$4:$LW$40),"",INDEX($AI$4:$AI$40,MATCH(ROW()-3,$LW$4:$LW$40,0)))</f>
        <v/>
      </c>
      <c r="LY36">
        <f>IF(COUNTIF('Buyer Groups'!DG89:DK89,0)+COUNTIF('Buyer Groups'!DM89:EN89,0)&gt;0,0,1)</f>
        <v/>
      </c>
      <c r="LZ36">
        <f>IF($AN$36="",FALSE,SUMPRODUCT(('Final Calculation Sheet'!$E$4:$E$40=$AN$36)*($LY$6:$LY$42=1))&gt;0)</f>
        <v/>
      </c>
      <c r="MA36">
        <f>$MA$35+--($LZ36)</f>
        <v/>
      </c>
      <c r="MB36">
        <f>IF(ROW()-3&gt;MAX($MA$4:$MA$40),"",INDEX($AN$4:$AN$40,MATCH(ROW()-3,$MA$4:$MA$40,0)))</f>
        <v/>
      </c>
      <c r="MC36">
        <f>IF(COUNTIF('Buyer Groups'!DG89:DL89,0)+COUNTIF('Buyer Groups'!DN89:EN89,0)&gt;0,0,1)</f>
        <v/>
      </c>
      <c r="MD36">
        <f>IF($AS$36="",FALSE,SUMPRODUCT(('Final Calculation Sheet'!$C$4:$C$40=$AS$36)*($MC$6:$MC$42=1))&gt;0)</f>
        <v/>
      </c>
      <c r="ME36">
        <f>$ME$35+--($MD36)</f>
        <v/>
      </c>
      <c r="MF36">
        <f>IF(ROW()-3&gt;MAX($ME$4:$ME$40),"",INDEX($AS$4:$AS$40,MATCH(ROW()-3,$ME$4:$ME$40,0)))</f>
        <v/>
      </c>
      <c r="MG36">
        <f>IF(COUNTIF('Buyer Groups'!DG89:DM89,0)+COUNTIF('Buyer Groups'!DO89:EN89,0)&gt;0,0,1)</f>
        <v/>
      </c>
      <c r="MH36">
        <f>IF($AX$36="",FALSE,SUMPRODUCT(('Final Calculation Sheet'!$H$4:$H$40=$AX$36)*($MG$6:$MG$42=1))&gt;0)</f>
        <v/>
      </c>
      <c r="MI36">
        <f>$MI$35+--($MH36)</f>
        <v/>
      </c>
      <c r="MJ36">
        <f>IF(ROW()-3&gt;MAX($MI$4:$MI$40),"",INDEX($AX$4:$AX$40,MATCH(ROW()-3,$MI$4:$MI$40,0)))</f>
        <v/>
      </c>
      <c r="MK36">
        <f>IF(COUNTIF('Buyer Groups'!DG89:DN89,0)+COUNTIF('Buyer Groups'!DP89:EN89,0)&gt;0,0,1)</f>
        <v/>
      </c>
      <c r="ML36">
        <f>IF($BC$36="",FALSE,SUMPRODUCT(('Final Calculation Sheet'!$I$4:$I$40=$BC$36)*($MK$6:$MK$42=1))&gt;0)</f>
        <v/>
      </c>
      <c r="MM36">
        <f>$MM$35+--($ML36)</f>
        <v/>
      </c>
      <c r="MN36">
        <f>IF(ROW()-3&gt;MAX($MM$4:$MM$40),"",INDEX($BC$4:$BC$40,MATCH(ROW()-3,$MM$4:$MM$40,0)))</f>
        <v/>
      </c>
      <c r="MO36">
        <f>IF(COUNTIF('Buyer Groups'!DG89:DO89,0)+COUNTIF('Buyer Groups'!DQ89:EN89,0)&gt;0,0,1)</f>
        <v/>
      </c>
      <c r="MP36">
        <f>IF($BH$36="",FALSE,SUMPRODUCT(('Final Calculation Sheet'!$J$4:$J$40=$BH$36)*($MO$6:$MO$42=1))&gt;0)</f>
        <v/>
      </c>
      <c r="MQ36">
        <f>$MQ$35+--($MP36)</f>
        <v/>
      </c>
      <c r="MR36">
        <f>IF(ROW()-3&gt;MAX($MQ$4:$MQ$40),"",INDEX($BH$4:$BH$40,MATCH(ROW()-3,$MQ$4:$MQ$40,0)))</f>
        <v/>
      </c>
      <c r="MS36">
        <f>IF(COUNTIF('Buyer Groups'!DG89:DP89,0)+COUNTIF('Buyer Groups'!DR89:EN89,0)&gt;0,0,1)</f>
        <v/>
      </c>
      <c r="MT36">
        <f>IF($BM$36="",FALSE,SUMPRODUCT(('Final Calculation Sheet'!$K$4:$K$40=$BM$36)*($MS$6:$MS$42=1))&gt;0)</f>
        <v/>
      </c>
      <c r="MU36">
        <f>$MU$35+--($MT36)</f>
        <v/>
      </c>
      <c r="MV36">
        <f>IF(ROW()-3&gt;MAX($MU$4:$MU$40),"",INDEX($BM$4:$BM$40,MATCH(ROW()-3,$MU$4:$MU$40,0)))</f>
        <v/>
      </c>
      <c r="MW36">
        <f>IF(COUNTIF('Buyer Groups'!DG89:DQ89,0)+COUNTIF('Buyer Groups'!DS89:EN89,0)&gt;0,0,1)</f>
        <v/>
      </c>
      <c r="MX36">
        <f>IF($BR$36="",FALSE,SUMPRODUCT(('Final Calculation Sheet'!$L$4:$L$40=$BR$36)*($MW$6:$MW$42=1))&gt;0)</f>
        <v/>
      </c>
      <c r="MY36">
        <f>$MY$35+--($MX36)</f>
        <v/>
      </c>
      <c r="MZ36">
        <f>IF(ROW()-3&gt;MAX($MY$4:$MY$40),"",INDEX($BR$4:$BR$40,MATCH(ROW()-3,$MY$4:$MY$40,0)))</f>
        <v/>
      </c>
      <c r="NA36">
        <f>IF(COUNTIF('Buyer Groups'!DG89:DR89,0)+COUNTIF('Buyer Groups'!DT89:EN89,0)&gt;0,0,1)</f>
        <v/>
      </c>
      <c r="NB36">
        <f>IF($BW$36="",FALSE,SUMPRODUCT(('Final Calculation Sheet'!$M$4:$M$40=$BW$36)*($NA$6:$NA$42=1))&gt;0)</f>
        <v/>
      </c>
      <c r="NC36">
        <f>$NC$35+--($NB36)</f>
        <v/>
      </c>
      <c r="ND36">
        <f>IF(ROW()-3&gt;MAX($NC$4:$NC$40),"",INDEX($BW$4:$BW$40,MATCH(ROW()-3,$NC$4:$NC$40,0)))</f>
        <v/>
      </c>
      <c r="NE36">
        <f>IF(COUNTIF('Buyer Groups'!DG89:DS89,0)+COUNTIF('Buyer Groups'!DU89:EN89,0)&gt;0,0,1)</f>
        <v/>
      </c>
      <c r="NF36">
        <f>IF($CB$36="",FALSE,SUMPRODUCT(('Final Calculation Sheet'!$N$4:$N$40=$CB$36)*($NE$6:$NE$42=1))&gt;0)</f>
        <v/>
      </c>
      <c r="NG36">
        <f>$NG$35+--($NF36)</f>
        <v/>
      </c>
      <c r="NH36">
        <f>IF(ROW()-3&gt;MAX($NG$4:$NG$40),"",INDEX($CB$4:$CB$40,MATCH(ROW()-3,$NG$4:$NG$40,0)))</f>
        <v/>
      </c>
      <c r="NI36">
        <f>IF(COUNTIF('Buyer Groups'!DG89:DT89,0)+COUNTIF('Buyer Groups'!DV89:EN89,0)&gt;0,0,1)</f>
        <v/>
      </c>
      <c r="NJ36">
        <f>IF($CG$36="",FALSE,SUMPRODUCT(('Final Calculation Sheet'!$O$4:$O$40=$CG$36)*($NI$6:$NI$42=1))&gt;0)</f>
        <v/>
      </c>
      <c r="NK36">
        <f>$NK$35+--($NJ36)</f>
        <v/>
      </c>
      <c r="NL36">
        <f>IF(ROW()-3&gt;MAX($NK$4:$NK$40),"",INDEX($CG$4:$CG$40,MATCH(ROW()-3,$NK$4:$NK$40,0)))</f>
        <v/>
      </c>
      <c r="NM36">
        <f>IF(COUNTIF('Buyer Groups'!DG89:DU89,0)+COUNTIF('Buyer Groups'!DW89:EN89,0)&gt;0,0,1)</f>
        <v/>
      </c>
      <c r="NN36">
        <f>IF($CL$36="",FALSE,SUMPRODUCT(('Final Calculation Sheet'!$P$4:$P$40=$CL$36)*($NM$6:$NM$42=1))&gt;0)</f>
        <v/>
      </c>
      <c r="NO36">
        <f>$NO$35+--($NN36)</f>
        <v/>
      </c>
      <c r="NP36">
        <f>IF(ROW()-3&gt;MAX($NO$4:$NO$40),"",INDEX($CL$4:$CL$40,MATCH(ROW()-3,$NO$4:$NO$40,0)))</f>
        <v/>
      </c>
      <c r="NQ36">
        <f>IF(COUNTIF('Buyer Groups'!DG89:DV89,0)+COUNTIF('Buyer Groups'!DX89:EN89,0)&gt;0,0,1)</f>
        <v/>
      </c>
      <c r="NR36">
        <f>IF($CQ$36="",FALSE,SUMPRODUCT(('Final Calculation Sheet'!$Q$4:$Q$40=$CQ$36)*($NQ$6:$NQ$42=1))&gt;0)</f>
        <v/>
      </c>
      <c r="NS36">
        <f>$NS$35+--($NR36)</f>
        <v/>
      </c>
      <c r="NT36">
        <f>IF(ROW()-3&gt;MAX($NS$4:$NS$40),"",INDEX($CQ$4:$CQ$40,MATCH(ROW()-3,$NS$4:$NS$40,0)))</f>
        <v/>
      </c>
      <c r="NU36">
        <f>IF(COUNTIF('Buyer Groups'!DG89:DW89,0)+COUNTIF('Buyer Groups'!DY89:EN89,0)&gt;0,0,1)</f>
        <v/>
      </c>
      <c r="NV36">
        <f>IF($CV$36="",FALSE,SUMPRODUCT(('Final Calculation Sheet'!$R$4:$R$40=$CV$36)*($NU$6:$NU$42=1))&gt;0)</f>
        <v/>
      </c>
      <c r="NW36">
        <f>$NW$35+--($NV36)</f>
        <v/>
      </c>
      <c r="NX36">
        <f>IF(ROW()-3&gt;MAX($NW$4:$NW$40),"",INDEX($CV$4:$CV$40,MATCH(ROW()-3,$NW$4:$NW$40,0)))</f>
        <v/>
      </c>
      <c r="NY36">
        <f>IF(COUNTIF('Buyer Groups'!DG89:DX89,0)+COUNTIF('Buyer Groups'!DZ89:EN89,0)&gt;0,0,1)</f>
        <v/>
      </c>
      <c r="NZ36">
        <f>IF($DA$36="",FALSE,SUMPRODUCT(('Final Calculation Sheet'!$S$4:$S$40=$DA$36)*($NY$6:$NY$42=1))&gt;0)</f>
        <v/>
      </c>
      <c r="OA36">
        <f>$OA$35+--($NZ36)</f>
        <v/>
      </c>
      <c r="OB36">
        <f>IF(ROW()-3&gt;MAX($OA$4:$OA$40),"",INDEX($DA$4:$DA$40,MATCH(ROW()-3,$OA$4:$OA$40,0)))</f>
        <v/>
      </c>
      <c r="OC36">
        <f>IF(COUNTIF('Buyer Groups'!DG89:DY89,0)+COUNTIF('Buyer Groups'!EA89:EN89,0)&gt;0,0,1)</f>
        <v/>
      </c>
      <c r="OD36">
        <f>IF($DF$36="",FALSE,SUMPRODUCT(('Final Calculation Sheet'!$T$4:$T$40=$DF$36)*($OC$6:$OC$42=1))&gt;0)</f>
        <v/>
      </c>
      <c r="OE36">
        <f>$OE$35+--($OD36)</f>
        <v/>
      </c>
      <c r="OF36">
        <f>IF(ROW()-3&gt;MAX($OE$4:$OE$40),"",INDEX($DF$4:$DF$40,MATCH(ROW()-3,$OE$4:$OE$40,0)))</f>
        <v/>
      </c>
      <c r="OG36">
        <f>IF(COUNTIF('Buyer Groups'!DG89:DZ89,0)+COUNTIF('Buyer Groups'!EB89:EN89,0)&gt;0,0,1)</f>
        <v/>
      </c>
      <c r="OH36">
        <f>IF($DK$36="",FALSE,SUMPRODUCT(('Final Calculation Sheet'!$U$4:$U$40=$DK$36)*($OG$6:$OG$42=1))&gt;0)</f>
        <v/>
      </c>
      <c r="OI36">
        <f>$OI$35+--($OH36)</f>
        <v/>
      </c>
      <c r="OJ36">
        <f>IF(ROW()-3&gt;MAX($OI$4:$OI$40),"",INDEX($DK$4:$DK$40,MATCH(ROW()-3,$OI$4:$OI$40,0)))</f>
        <v/>
      </c>
      <c r="OK36">
        <f>IF(COUNTIF('Buyer Groups'!DG89:EA89,0)+COUNTIF('Buyer Groups'!EC89:EN89,0)&gt;0,0,1)</f>
        <v/>
      </c>
      <c r="OL36">
        <f>IF($DP$36="",FALSE,SUMPRODUCT(('Final Calculation Sheet'!$V$4:$V$40=$DP$36)*($OK$6:$OK$42=1))&gt;0)</f>
        <v/>
      </c>
      <c r="OM36">
        <f>$OM$35+--($OL36)</f>
        <v/>
      </c>
      <c r="ON36">
        <f>IF(ROW()-3&gt;MAX($OM$4:$OM$40),"",INDEX($DP$4:$DP$40,MATCH(ROW()-3,$OM$4:$OM$40,0)))</f>
        <v/>
      </c>
      <c r="OO36">
        <f>IF(COUNTIF('Buyer Groups'!DG89:EB89,0)+COUNTIF('Buyer Groups'!ED89:EN89,0)&gt;0,0,1)</f>
        <v/>
      </c>
      <c r="OP36">
        <f>IF($DU$36="",FALSE,SUMPRODUCT(('Final Calculation Sheet'!$W$4:$W$40=$DU$36)*($OO$6:$OO$42=1))&gt;0)</f>
        <v/>
      </c>
      <c r="OQ36">
        <f>$OQ$35+--($OP36)</f>
        <v/>
      </c>
      <c r="OR36">
        <f>IF(ROW()-3&gt;MAX($OQ$4:$OQ$40),"",INDEX($DU$4:$DU$40,MATCH(ROW()-3,$OQ$4:$OQ$40,0)))</f>
        <v/>
      </c>
      <c r="OS36">
        <f>IF(COUNTIF('Buyer Groups'!DG89:EC89,0)+COUNTIF('Buyer Groups'!EE89:EN89,0)&gt;0,0,1)</f>
        <v/>
      </c>
      <c r="OT36">
        <f>IF($DZ$36="",FALSE,SUMPRODUCT(('Final Calculation Sheet'!$X$4:$X$40=$DZ$36)*($OS$6:$OS$42=1))&gt;0)</f>
        <v/>
      </c>
      <c r="OU36">
        <f>$OU$35+--($OT36)</f>
        <v/>
      </c>
      <c r="OV36">
        <f>IF(ROW()-3&gt;MAX($OU$4:$OU$40),"",INDEX($DZ$4:$DZ$40,MATCH(ROW()-3,$OU$4:$OU$40,0)))</f>
        <v/>
      </c>
      <c r="OW36">
        <f>IF(COUNTIF('Buyer Groups'!DG89:ED89,0)+COUNTIF('Buyer Groups'!EF89:EN89,0)&gt;0,0,1)</f>
        <v/>
      </c>
      <c r="OX36">
        <f>IF($EE$36="",FALSE,SUMPRODUCT(('Final Calculation Sheet'!$Y$4:$Y$40=$EE$36)*($OW$6:$OW$42=1))&gt;0)</f>
        <v/>
      </c>
      <c r="OY36">
        <f>$OY$35+--($OX36)</f>
        <v/>
      </c>
      <c r="OZ36">
        <f>IF(ROW()-3&gt;MAX($OY$4:$OY$40),"",INDEX($EE$4:$EE$40,MATCH(ROW()-3,$OY$4:$OY$40,0)))</f>
        <v/>
      </c>
      <c r="PA36">
        <f>IF(COUNTIF('Buyer Groups'!DG89:EE89,0)+COUNTIF('Buyer Groups'!EG89:EN89,0)&gt;0,0,1)</f>
        <v/>
      </c>
      <c r="PB36">
        <f>IF($EJ$36="",FALSE,SUMPRODUCT(('Final Calculation Sheet'!$Z$4:$Z$40=$EJ$36)*($PA$6:$PA$42=1))&gt;0)</f>
        <v/>
      </c>
      <c r="PC36">
        <f>$PC$35+--($PB36)</f>
        <v/>
      </c>
      <c r="PD36">
        <f>IF(ROW()-3&gt;MAX($PC$4:$PC$40),"",INDEX($EJ$4:$EJ$40,MATCH(ROW()-3,$PC$4:$PC$40,0)))</f>
        <v/>
      </c>
      <c r="PE36">
        <f>IF(COUNTIF('Buyer Groups'!DG89:EF89,0)+COUNTIF('Buyer Groups'!EH89:EN89,0)&gt;0,0,1)</f>
        <v/>
      </c>
      <c r="PF36">
        <f>IF($EO$36="",FALSE,SUMPRODUCT(('Final Calculation Sheet'!$AA$4:$AA$40=$EO$36)*($PE$6:$PE$42=1))&gt;0)</f>
        <v/>
      </c>
      <c r="PG36">
        <f>$PG$35+--($PF36)</f>
        <v/>
      </c>
      <c r="PH36">
        <f>IF(ROW()-3&gt;MAX($PG$4:$PG$40),"",INDEX($EO$4:$EO$40,MATCH(ROW()-3,$PG$4:$PG$40,0)))</f>
        <v/>
      </c>
      <c r="PI36">
        <f>IF(COUNTIF('Buyer Groups'!DG89:EG89,0)+COUNTIF('Buyer Groups'!EI89:EN89,0)&gt;0,0,1)</f>
        <v/>
      </c>
      <c r="PJ36">
        <f>IF($ET$36="",FALSE,SUMPRODUCT(('Final Calculation Sheet'!$AB$4:$AB$40=$ET$36)*($PI$6:$PI$42=1))&gt;0)</f>
        <v/>
      </c>
      <c r="PK36">
        <f>$PK$35+--($PJ36)</f>
        <v/>
      </c>
      <c r="PL36">
        <f>IF(ROW()-3&gt;MAX($PK$4:$PK$40),"",INDEX($ET$4:$ET$40,MATCH(ROW()-3,$PK$4:$PK$40,0)))</f>
        <v/>
      </c>
      <c r="PM36">
        <f>IF(COUNTIF('Buyer Groups'!DG89:EH89,0)+COUNTIF('Buyer Groups'!EJ89:EN89,0)&gt;0,0,1)</f>
        <v/>
      </c>
      <c r="PN36">
        <f>IF($EY$36="",FALSE,SUMPRODUCT(('Final Calculation Sheet'!$AC$4:$AC$40=$EY$36)*($PM$6:$PM$42=1))&gt;0)</f>
        <v/>
      </c>
      <c r="PO36">
        <f>$PO$35+--($PN36)</f>
        <v/>
      </c>
      <c r="PP36">
        <f>IF(ROW()-3&gt;MAX($PO$4:$PO$40),"",INDEX($EY$4:$EY$40,MATCH(ROW()-3,$PO$4:$PO$40,0)))</f>
        <v/>
      </c>
      <c r="PQ36">
        <f>IF(COUNTIF('Buyer Groups'!DG89:EI89,0)+COUNTIF('Buyer Groups'!EK89:EN89,0)&gt;0,0,1)</f>
        <v/>
      </c>
      <c r="PR36">
        <f>IF($FD$36="",FALSE,SUMPRODUCT(('Final Calculation Sheet'!$AD$4:$AD$40=$FD$36)*($PQ$6:$PQ$42=1))&gt;0)</f>
        <v/>
      </c>
      <c r="PS36">
        <f>$PS$35+--($PR36)</f>
        <v/>
      </c>
      <c r="PT36">
        <f>IF(ROW()-3&gt;MAX($PS$4:$PS$40),"",INDEX($FD$4:$FD$40,MATCH(ROW()-3,$PS$4:$PS$40,0)))</f>
        <v/>
      </c>
      <c r="PU36">
        <f>IF(COUNTIF('Buyer Groups'!DG89:EJ89,0)+COUNTIF('Buyer Groups'!EL89:EN89,0)&gt;0,0,1)</f>
        <v/>
      </c>
      <c r="PV36">
        <f>IF($FX$36="",FALSE,SUMPRODUCT((IF('Final Calculation Sheet'!$AD$4:$AD$40&lt;=5,"SETTLED","OUTSTANDING")=$FX$36)*($PU$6:$PU$42=1))&gt;0)</f>
        <v/>
      </c>
      <c r="PW36">
        <f>$PW$35+--($PV36)</f>
        <v/>
      </c>
      <c r="PX36">
        <f>IF(ROW()-3&gt;MAX($PW$4:$PW$40),"",INDEX($FX$4:$FX$40,MATCH(ROW()-3,$PW$4:$PW$40,0)))</f>
        <v/>
      </c>
      <c r="PY36">
        <f>IF(COUNTIF('Buyer Groups'!DG89:EK89,0)+COUNTIF('Buyer Groups'!EM89:EN89,0)&gt;0,0,1)</f>
        <v/>
      </c>
      <c r="PZ36">
        <f>IF($FI$36="",FALSE,SUMPRODUCT(('Final Calculation Sheet'!$AF$4:$AF$40=$FI$36)*($PY$6:$PY$42=1))&gt;0)</f>
        <v/>
      </c>
      <c r="QA36">
        <f>$QA$35+--($PZ36)</f>
        <v/>
      </c>
      <c r="QB36">
        <f>IF(ROW()-3&gt;MAX($QA$4:$QA$40),"",INDEX($FI$4:$FI$40,MATCH(ROW()-3,$QA$4:$QA$40,0)))</f>
        <v/>
      </c>
      <c r="QC36">
        <f>IF(COUNTIF('Buyer Groups'!DG89:EL89,0)+COUNTIF('Buyer Groups'!EN89:EN89,0)&gt;0,0,1)</f>
        <v/>
      </c>
      <c r="QD36">
        <f>IF($FN$36="",FALSE,SUMPRODUCT(('Final Calculation Sheet'!$AG$4:$AG$40=$FN$36)*($QC$6:$QC$42=1))&gt;0)</f>
        <v/>
      </c>
      <c r="QE36">
        <f>$QE$35+--($QD36)</f>
        <v/>
      </c>
      <c r="QF36">
        <f>IF(ROW()-3&gt;MAX($QE$4:$QE$40),"",INDEX($FN$4:$FN$40,MATCH(ROW()-3,$QE$4:$QE$40,0)))</f>
        <v/>
      </c>
      <c r="QG36">
        <f>IF(COUNTIF('Buyer Groups'!DG89:EM89,0)&gt;0,0,1)</f>
        <v/>
      </c>
      <c r="QH36">
        <f>IF($FS$36="",FALSE,SUMPRODUCT(('Final Calculation Sheet'!$AH$4:$AH$40=$FS$36)*($QG$6:$QG$42=1))&gt;0)</f>
        <v/>
      </c>
      <c r="QI36">
        <f>$QI$35+--($QH36)</f>
        <v/>
      </c>
      <c r="QJ36">
        <f>IF(ROW()-3&gt;MAX($QI$4:$QI$40),"",INDEX($FS$4:$FS$40,MATCH(ROW()-3,$QI$4:$QI$40,0)))</f>
        <v/>
      </c>
      <c r="QK36" t="str">
        <f>IF('Final Calculation Sheet'!$AH$36="","",'Final Calculation Sheet'!$AH$36)</f>
      </c>
      <c r="QL36" t="str">
        <f>IF(QK36="","",COUNTIFS(QK$4:QK$40,"&lt;"&amp;QK36,QK$4:QK$40,"&lt;&gt;"&amp;"")+COUNTIF(QK$4:QK36,QK36))</f>
      </c>
      <c r="QM36" t="str">
        <f>IF(ROW()-3&gt;COUNTIF(QK$4:QK$40,"&lt;&gt;"&amp;""),"",INDEX(QK$4:QK$40,MATCH(ROW()-3,QL$4:QL$40,0)))</f>
      </c>
      <c r="QN36" t="str">
        <f>=QN35+F(AND(QM36&lt;&gt;"",COUNTIF(QM$4:QM36,QM36)=1),1,0)</f>
      </c>
      <c r="QO36" t="str">
        <f>IF(ROW()-3&gt;MAX(QN$4:QN$40),"",INDEX(QM$4:QM$40,MATCH(ROW()-3,QN$4:QN$40,0)))</f>
      </c>
      <c r="QP36" t="str">
        <f>IF(COUNTIF('Final Calculation Sheet'!$AM36:$BS36,0)&gt;0,0,1)</f>
      </c>
      <c r="QQ36" t="str">
        <f>IF($AI$36="",FALSE,SUMPRODUCT(('Final Calculation Sheet'!$A$4:$A$40=$AI$36)*($QP$4:$QP$40=1))&gt;0)</f>
      </c>
      <c r="QR36" t="str">
        <f>=$QR35+--($QQ36)</f>
      </c>
      <c r="QS36" t="str">
        <f>IF(ROW()-3&gt;MAX($QR$4:$QR$40),"",INDEX($AI$4:$AI$40,MATCH(ROW()-3,$QR$4:$QR$40,0)))</f>
      </c>
      <c r="QT36" t="str">
        <f>IF(COUNTIF('Final Calculation Sheet'!$AL36:$AL36,0)+COUNTIF('Final Calculation Sheet'!$AN36:$BS36,0)&gt;0,0,1)</f>
      </c>
      <c r="QU36" t="str">
        <f>IF($Y$36="",FALSE,SUMPRODUCT(('Final Calculation Sheet'!$B$4:$B$40=$Y$36)*($QT$4:$QT$40=1))&gt;0)</f>
      </c>
      <c r="QV36" t="str">
        <f>=$QV35+--($QU36)</f>
      </c>
      <c r="QW36" t="str">
        <f>IF(ROW()-3&gt;MAX($QV$4:$QV$40),"",INDEX($Y$4:$Y$40,MATCH(ROW()-3,$QV$4:$QV$40,0)))</f>
      </c>
      <c r="QX36" t="str">
        <f>IF(COUNTIF('Final Calculation Sheet'!$AL36:$AM36,0)+COUNTIF('Final Calculation Sheet'!$AO36:$BS36,0)&gt;0,0,1)</f>
      </c>
      <c r="QY36" t="str">
        <f>IF($AS$36="",FALSE,SUMPRODUCT(('Final Calculation Sheet'!$C$4:$C$40=$AS$36)*($QX$4:$QX$40=1))&gt;0)</f>
      </c>
      <c r="QZ36" t="str">
        <f>=$QZ35+--($QY36)</f>
      </c>
      <c r="RA36" t="str">
        <f>IF(ROW()-3&gt;MAX($QZ$4:$QZ$40),"",INDEX($AS$4:$AS$40,MATCH(ROW()-3,$QZ$4:$QZ$40,0)))</f>
      </c>
      <c r="RB36" t="str">
        <f>IF(COUNTIF('Final Calculation Sheet'!$AL36:$AN36,0)+COUNTIF('Final Calculation Sheet'!$AP36:$BS36,0)&gt;0,0,1)</f>
      </c>
      <c r="RC36" t="str">
        <f>IF($AD$36="",FALSE,SUMPRODUCT(('Final Calculation Sheet'!$D$4:$D$40=$AD$36)*($RB$4:$RB$40=1))&gt;0)</f>
      </c>
      <c r="RD36" t="str">
        <f>=$RD35+--($RC36)</f>
      </c>
      <c r="RE36" t="str">
        <f>IF(ROW()-3&gt;MAX($RD$4:$RD$40),"",INDEX($AD$4:$AD$40,MATCH(ROW()-3,$RD$4:$RD$40,0)))</f>
      </c>
      <c r="RF36" t="str">
        <f>IF(COUNTIF('Final Calculation Sheet'!$AL36:$AO36,0)+COUNTIF('Final Calculation Sheet'!$AQ36:$BS36,0)&gt;0,0,1)</f>
      </c>
      <c r="RG36" t="str">
        <f>IF($AN$36="",FALSE,SUMPRODUCT(('Final Calculation Sheet'!$E$4:$E$40=$AN$36)*($RF$4:$RF$40=1))&gt;0)</f>
      </c>
      <c r="RH36" t="str">
        <f>=$RH35+--($RG36)</f>
      </c>
      <c r="RI36" t="str">
        <f>IF(ROW()-3&gt;MAX($RH$4:$RH$40),"",INDEX($AN$4:$AN$40,MATCH(ROW()-3,$RH$4:$RH$40,0)))</f>
      </c>
      <c r="RJ36" t="str">
        <f>IF(COUNTIF('Final Calculation Sheet'!$AL36:$AP36,0)+COUNTIF('Final Calculation Sheet'!$AR36:$BS36,0)&gt;0,0,1)</f>
      </c>
      <c r="RK36" t="str">
        <f>IF($O$36="",FALSE,SUMPRODUCT(('Final Calculation Sheet'!$F$4:$F$40=$O$36)*($RJ$4:$RJ$40=1))&gt;0)</f>
      </c>
      <c r="RL36" t="str">
        <f>=$RL35+--($RK36)</f>
      </c>
      <c r="RM36" t="str">
        <f>IF(ROW()-3&gt;MAX($RL$4:$RL$40),"",INDEX($O$4:$O$40,MATCH(ROW()-3,$RL$4:$RL$40,0)))</f>
      </c>
      <c r="RN36" t="str">
        <f>IF(COUNTIF('Final Calculation Sheet'!$AL36:$AQ36,0)+COUNTIF('Final Calculation Sheet'!$AS36:$BS36,0)&gt;0,0,1)</f>
      </c>
      <c r="RO36" t="str">
        <f>IF($T$36="",FALSE,SUMPRODUCT(('Final Calculation Sheet'!$G$4:$G$40=$T$36)*($RN$4:$RN$40=1))&gt;0)</f>
      </c>
      <c r="RP36" t="str">
        <f>=$RP35+--($RO36)</f>
      </c>
      <c r="RQ36" t="str">
        <f>IF(ROW()-3&gt;MAX($RP$4:$RP$40),"",INDEX($T$4:$T$40,MATCH(ROW()-3,$RP$4:$RP$40,0)))</f>
      </c>
      <c r="RR36" t="str">
        <f>IF(COUNTIF('Final Calculation Sheet'!$AL36:$AR36,0)+COUNTIF('Final Calculation Sheet'!$AT36:$BS36,0)&gt;0,0,1)</f>
      </c>
      <c r="RS36" t="str">
        <f>IF($AX$36="",FALSE,SUMPRODUCT(('Final Calculation Sheet'!$H$4:$H$40=$AX$36)*($RR$4:$RR$40=1))&gt;0)</f>
      </c>
      <c r="RT36" t="str">
        <f>=$RT35+--($RS36)</f>
      </c>
      <c r="RU36" t="str">
        <f>IF(ROW()-3&gt;MAX($RT$4:$RT$40),"",INDEX($AX$4:$AX$40,MATCH(ROW()-3,$RT$4:$RT$40,0)))</f>
      </c>
      <c r="RV36" t="str">
        <f>IF(COUNTIF('Final Calculation Sheet'!$AL36:$AS36,0)+COUNTIF('Final Calculation Sheet'!$AU36:$BS36,0)&gt;0,0,1)</f>
      </c>
      <c r="RW36" t="str">
        <f>IF($BC$36="",FALSE,SUMPRODUCT(('Final Calculation Sheet'!$I$4:$I$40=$BC$36)*($RV$4:$RV$40=1))&gt;0)</f>
      </c>
      <c r="RX36" t="str">
        <f>=$RX35+--($RW36)</f>
      </c>
      <c r="RY36" t="str">
        <f>IF(ROW()-3&gt;MAX($RX$4:$RX$40),"",INDEX($BC$4:$BC$40,MATCH(ROW()-3,$RX$4:$RX$40,0)))</f>
      </c>
      <c r="RZ36" t="str">
        <f>IF(COUNTIF('Final Calculation Sheet'!$AL36:$AT36,0)+COUNTIF('Final Calculation Sheet'!$AV36:$BS36,0)&gt;0,0,1)</f>
      </c>
      <c r="SA36" t="str">
        <f>IF($BH$36="",FALSE,SUMPRODUCT(('Final Calculation Sheet'!$J$4:$J$40=$BH$36)*($RZ$4:$RZ$40=1))&gt;0)</f>
      </c>
      <c r="SB36" t="str">
        <f>=$SB35+--($SA36)</f>
      </c>
      <c r="SC36" t="str">
        <f>IF(ROW()-3&gt;MAX($SB$4:$SB$40),"",INDEX($BH$4:$BH$40,MATCH(ROW()-3,$SB$4:$SB$40,0)))</f>
      </c>
      <c r="SD36" t="str">
        <f>IF(COUNTIF('Final Calculation Sheet'!$AL36:$AU36,0)+COUNTIF('Final Calculation Sheet'!$AW36:$BS36,0)&gt;0,0,1)</f>
      </c>
      <c r="SE36" t="str">
        <f>IF($BM$36="",FALSE,SUMPRODUCT(('Final Calculation Sheet'!$K$4:$K$40=$BM$36)*($SD$4:$SD$40=1))&gt;0)</f>
      </c>
      <c r="SF36" t="str">
        <f>=$SF35+--($SE36)</f>
      </c>
      <c r="SG36" t="str">
        <f>IF(ROW()-3&gt;MAX($SF$4:$SF$40),"",INDEX($BM$4:$BM$40,MATCH(ROW()-3,$SF$4:$SF$40,0)))</f>
      </c>
      <c r="SH36" t="str">
        <f>IF(COUNTIF('Final Calculation Sheet'!$AL36:$AV36,0)+COUNTIF('Final Calculation Sheet'!$AX36:$BS36,0)&gt;0,0,1)</f>
      </c>
      <c r="SI36" t="str">
        <f>IF($BR$36="",FALSE,SUMPRODUCT(('Final Calculation Sheet'!$L$4:$L$40=$BR$36)*($SH$4:$SH$40=1))&gt;0)</f>
      </c>
      <c r="SJ36" t="str">
        <f>=$SJ35+--($SI36)</f>
      </c>
      <c r="SK36" t="str">
        <f>IF(ROW()-3&gt;MAX($SJ$4:$SJ$40),"",INDEX($BR$4:$BR$40,MATCH(ROW()-3,$SJ$4:$SJ$40,0)))</f>
      </c>
      <c r="SL36" t="str">
        <f>IF(COUNTIF('Final Calculation Sheet'!$AL36:$AW36,0)+COUNTIF('Final Calculation Sheet'!$AY36:$BS36,0)&gt;0,0,1)</f>
      </c>
      <c r="SM36" t="str">
        <f>IF($BW$36="",FALSE,SUMPRODUCT(('Final Calculation Sheet'!$M$4:$M$40=$BW$36)*($SL$4:$SL$40=1))&gt;0)</f>
      </c>
      <c r="SN36" t="str">
        <f>=$SN35+--($SM36)</f>
      </c>
      <c r="SO36" t="str">
        <f>IF(ROW()-3&gt;MAX($SN$4:$SN$40),"",INDEX($BW$4:$BW$40,MATCH(ROW()-3,$SN$4:$SN$40,0)))</f>
      </c>
      <c r="SP36" t="str">
        <f>IF(COUNTIF('Final Calculation Sheet'!$AL36:$AX36,0)+COUNTIF('Final Calculation Sheet'!$AZ36:$BS36,0)&gt;0,0,1)</f>
      </c>
      <c r="SQ36" t="str">
        <f>IF($CB$36="",FALSE,SUMPRODUCT(('Final Calculation Sheet'!$N$4:$N$40=$CB$36)*($SP$4:$SP$40=1))&gt;0)</f>
      </c>
      <c r="SR36" t="str">
        <f>=$SR35+--($SQ36)</f>
      </c>
      <c r="SS36" t="str">
        <f>IF(ROW()-3&gt;MAX($SR$4:$SR$40),"",INDEX($CB$4:$CB$40,MATCH(ROW()-3,$SR$4:$SR$40,0)))</f>
      </c>
      <c r="ST36" t="str">
        <f>IF(COUNTIF('Final Calculation Sheet'!$AL36:$AY36,0)+COUNTIF('Final Calculation Sheet'!$BA36:$BS36,0)&gt;0,0,1)</f>
      </c>
      <c r="SU36" t="str">
        <f>IF($CG$36="",FALSE,SUMPRODUCT(('Final Calculation Sheet'!$O$4:$O$40=$CG$36)*($ST$4:$ST$40=1))&gt;0)</f>
      </c>
      <c r="SV36" t="str">
        <f>=$SV35+--($SU36)</f>
      </c>
      <c r="SW36" t="str">
        <f>IF(ROW()-3&gt;MAX($SV$4:$SV$40),"",INDEX($CG$4:$CG$40,MATCH(ROW()-3,$SV$4:$SV$40,0)))</f>
      </c>
      <c r="SX36" t="str">
        <f>IF(COUNTIF('Final Calculation Sheet'!$AL36:$AZ36,0)+COUNTIF('Final Calculation Sheet'!$BB36:$BS36,0)&gt;0,0,1)</f>
      </c>
      <c r="SY36" t="str">
        <f>IF($CL$36="",FALSE,SUMPRODUCT(('Final Calculation Sheet'!$P$4:$P$40=$CL$36)*($SX$4:$SX$40=1))&gt;0)</f>
      </c>
      <c r="SZ36" t="str">
        <f>=$SZ35+--($SY36)</f>
      </c>
      <c r="TA36" t="str">
        <f>IF(ROW()-3&gt;MAX($SZ$4:$SZ$40),"",INDEX($CL$4:$CL$40,MATCH(ROW()-3,$SZ$4:$SZ$40,0)))</f>
      </c>
      <c r="TB36" t="str">
        <f>IF(COUNTIF('Final Calculation Sheet'!$AL36:$BA36,0)+COUNTIF('Final Calculation Sheet'!$BC36:$BS36,0)&gt;0,0,1)</f>
      </c>
      <c r="TC36" t="str">
        <f>IF($CQ$36="",FALSE,SUMPRODUCT(('Final Calculation Sheet'!$Q$4:$Q$40=$CQ$36)*($TB$4:$TB$40=1))&gt;0)</f>
      </c>
      <c r="TD36" t="str">
        <f>=$TD35+--($TC36)</f>
      </c>
      <c r="TE36" t="str">
        <f>IF(ROW()-3&gt;MAX($TD$4:$TD$40),"",INDEX($CQ$4:$CQ$40,MATCH(ROW()-3,$TD$4:$TD$40,0)))</f>
      </c>
      <c r="TF36" t="str">
        <f>IF(COUNTIF('Final Calculation Sheet'!$AL36:$BB36,0)+COUNTIF('Final Calculation Sheet'!$BD36:$BS36,0)&gt;0,0,1)</f>
      </c>
      <c r="TG36" t="str">
        <f>IF($CV$36="",FALSE,SUMPRODUCT(('Final Calculation Sheet'!$R$4:$R$40=$CV$36)*($TF$4:$TF$40=1))&gt;0)</f>
      </c>
      <c r="TH36" t="str">
        <f>=$TH35+--($TG36)</f>
      </c>
      <c r="TI36" t="str">
        <f>IF(ROW()-3&gt;MAX($TH$4:$TH$40),"",INDEX($CV$4:$CV$40,MATCH(ROW()-3,$TH$4:$TH$40,0)))</f>
      </c>
      <c r="TJ36" t="str">
        <f>IF(COUNTIF('Final Calculation Sheet'!$AL36:$BC36,0)+COUNTIF('Final Calculation Sheet'!$BE36:$BS36,0)&gt;0,0,1)</f>
      </c>
      <c r="TK36" t="str">
        <f>IF($DA$36="",FALSE,SUMPRODUCT(('Final Calculation Sheet'!$S$4:$S$40=$DA$36)*($TJ$4:$TJ$40=1))&gt;0)</f>
      </c>
      <c r="TL36" t="str">
        <f>=$TL35+--($TK36)</f>
      </c>
      <c r="TM36" t="str">
        <f>IF(ROW()-3&gt;MAX($TL$4:$TL$40),"",INDEX($DA$4:$DA$40,MATCH(ROW()-3,$TL$4:$TL$40,0)))</f>
      </c>
      <c r="TN36" t="str">
        <f>IF(COUNTIF('Final Calculation Sheet'!$AL36:$BD36,0)+COUNTIF('Final Calculation Sheet'!$BF36:$BS36,0)&gt;0,0,1)</f>
      </c>
      <c r="TO36" t="str">
        <f>IF($DF$36="",FALSE,SUMPRODUCT(('Final Calculation Sheet'!$T$4:$T$40=$DF$36)*($TN$4:$TN$40=1))&gt;0)</f>
      </c>
      <c r="TP36" t="str">
        <f>=$TP35+--($TO36)</f>
      </c>
      <c r="TQ36" t="str">
        <f>IF(ROW()-3&gt;MAX($TP$4:$TP$40),"",INDEX($DF$4:$DF$40,MATCH(ROW()-3,$TP$4:$TP$40,0)))</f>
      </c>
      <c r="TR36" t="str">
        <f>IF(COUNTIF('Final Calculation Sheet'!$AL36:$BE36,0)+COUNTIF('Final Calculation Sheet'!$BG36:$BS36,0)&gt;0,0,1)</f>
      </c>
      <c r="TS36" t="str">
        <f>IF($DK$36="",FALSE,SUMPRODUCT(('Final Calculation Sheet'!$U$4:$U$40=$DK$36)*($TR$4:$TR$40=1))&gt;0)</f>
      </c>
      <c r="TT36" t="str">
        <f>=$TT35+--($TS36)</f>
      </c>
      <c r="TU36" t="str">
        <f>IF(ROW()-3&gt;MAX($TT$4:$TT$40),"",INDEX($DK$4:$DK$40,MATCH(ROW()-3,$TT$4:$TT$40,0)))</f>
      </c>
      <c r="TV36" t="str">
        <f>IF(COUNTIF('Final Calculation Sheet'!$AL36:$BF36,0)+COUNTIF('Final Calculation Sheet'!$BH36:$BS36,0)&gt;0,0,1)</f>
      </c>
      <c r="TW36" t="str">
        <f>IF($DP$36="",FALSE,SUMPRODUCT(('Final Calculation Sheet'!$V$4:$V$40=$DP$36)*($TV$4:$TV$40=1))&gt;0)</f>
      </c>
      <c r="TX36" t="str">
        <f>=$TX35+--($TW36)</f>
      </c>
      <c r="TY36" t="str">
        <f>IF(ROW()-3&gt;MAX($TX$4:$TX$40),"",INDEX($DP$4:$DP$40,MATCH(ROW()-3,$TX$4:$TX$40,0)))</f>
      </c>
      <c r="TZ36" t="str">
        <f>IF(COUNTIF('Final Calculation Sheet'!$AL36:$BG36,0)+COUNTIF('Final Calculation Sheet'!$BI36:$BS36,0)&gt;0,0,1)</f>
      </c>
      <c r="UA36" t="str">
        <f>IF($DU$36="",FALSE,SUMPRODUCT(('Final Calculation Sheet'!$W$4:$W$40=$DU$36)*($TZ$4:$TZ$40=1))&gt;0)</f>
      </c>
      <c r="UB36" t="str">
        <f>=$UB35+--($UA36)</f>
      </c>
      <c r="UC36" t="str">
        <f>IF(ROW()-3&gt;MAX($UB$4:$UB$40),"",INDEX($DU$4:$DU$40,MATCH(ROW()-3,$UB$4:$UB$40,0)))</f>
      </c>
      <c r="UD36" t="str">
        <f>IF(COUNTIF('Final Calculation Sheet'!$AL36:$BH36,0)+COUNTIF('Final Calculation Sheet'!$BJ36:$BS36,0)&gt;0,0,1)</f>
      </c>
      <c r="UE36" t="str">
        <f>IF($DZ$36="",FALSE,SUMPRODUCT(('Final Calculation Sheet'!$X$4:$X$40=$DZ$36)*($UD$4:$UD$40=1))&gt;0)</f>
      </c>
      <c r="UF36" t="str">
        <f>=$UF35+--($UE36)</f>
      </c>
      <c r="UG36" t="str">
        <f>IF(ROW()-3&gt;MAX($UF$4:$UF$40),"",INDEX($DZ$4:$DZ$40,MATCH(ROW()-3,$UF$4:$UF$40,0)))</f>
      </c>
      <c r="UH36" t="str">
        <f>IF(COUNTIF('Final Calculation Sheet'!$AL36:$BI36,0)+COUNTIF('Final Calculation Sheet'!$BK36:$BS36,0)&gt;0,0,1)</f>
      </c>
      <c r="UI36" t="str">
        <f>IF($EE$36="",FALSE,SUMPRODUCT(('Final Calculation Sheet'!$Y$4:$Y$40=$EE$36)*($UH$4:$UH$40=1))&gt;0)</f>
      </c>
      <c r="UJ36" t="str">
        <f>=$UJ35+--($UI36)</f>
      </c>
      <c r="UK36" t="str">
        <f>IF(ROW()-3&gt;MAX($UJ$4:$UJ$40),"",INDEX($EE$4:$EE$40,MATCH(ROW()-3,$UJ$4:$UJ$40,0)))</f>
      </c>
      <c r="UL36" t="str">
        <f>IF(COUNTIF('Final Calculation Sheet'!$AL36:$BJ36,0)+COUNTIF('Final Calculation Sheet'!$BL36:$BS36,0)&gt;0,0,1)</f>
      </c>
      <c r="UM36" t="str">
        <f>IF($EJ$36="",FALSE,SUMPRODUCT(('Final Calculation Sheet'!$Z$4:$Z$40=$EJ$36)*($UL$4:$UL$40=1))&gt;0)</f>
      </c>
      <c r="UN36" t="str">
        <f>=$UN35+--($UM36)</f>
      </c>
      <c r="UO36" t="str">
        <f>IF(ROW()-3&gt;MAX($UN$4:$UN$40),"",INDEX($EJ$4:$EJ$40,MATCH(ROW()-3,$UN$4:$UN$40,0)))</f>
      </c>
      <c r="UP36" t="str">
        <f>IF(COUNTIF('Final Calculation Sheet'!$AL36:$BK36,0)+COUNTIF('Final Calculation Sheet'!$BM36:$BS36,0)&gt;0,0,1)</f>
      </c>
      <c r="UQ36" t="str">
        <f>IF($EO$36="",FALSE,SUMPRODUCT(('Final Calculation Sheet'!$AA$4:$AA$40=$EO$36)*($UP$4:$UP$40=1))&gt;0)</f>
      </c>
      <c r="UR36" t="str">
        <f>=$UR35+--($UQ36)</f>
      </c>
      <c r="US36" t="str">
        <f>IF(ROW()-3&gt;MAX($UR$4:$UR$40),"",INDEX($EO$4:$EO$40,MATCH(ROW()-3,$UR$4:$UR$40,0)))</f>
      </c>
      <c r="UT36" t="str">
        <f>IF(COUNTIF('Final Calculation Sheet'!$AL36:$BL36,0)+COUNTIF('Final Calculation Sheet'!$BN36:$BS36,0)&gt;0,0,1)</f>
      </c>
      <c r="UU36" t="str">
        <f>IF($ET$36="",FALSE,SUMPRODUCT(('Final Calculation Sheet'!$AB$4:$AB$40=$ET$36)*($UT$4:$UT$40=1))&gt;0)</f>
      </c>
      <c r="UV36" t="str">
        <f>=$UV35+--($UU36)</f>
      </c>
      <c r="UW36" t="str">
        <f>IF(ROW()-3&gt;MAX($UV$4:$UV$40),"",INDEX($ET$4:$ET$40,MATCH(ROW()-3,$UV$4:$UV$40,0)))</f>
      </c>
      <c r="UX36" t="str">
        <f>IF(COUNTIF('Final Calculation Sheet'!$AL36:$BM36,0)+COUNTIF('Final Calculation Sheet'!$BO36:$BS36,0)&gt;0,0,1)</f>
      </c>
      <c r="UY36" t="str">
        <f>IF($EY$36="",FALSE,SUMPRODUCT(('Final Calculation Sheet'!$AC$4:$AC$40=$EY$36)*($UX$4:$UX$40=1))&gt;0)</f>
      </c>
      <c r="UZ36" t="str">
        <f>=$UZ35+--($UY36)</f>
      </c>
      <c r="VA36" t="str">
        <f>IF(ROW()-3&gt;MAX($UZ$4:$UZ$40),"",INDEX($EY$4:$EY$40,MATCH(ROW()-3,$UZ$4:$UZ$40,0)))</f>
      </c>
      <c r="VB36" t="str">
        <f>IF(COUNTIF('Final Calculation Sheet'!$AL36:$BN36,0)+COUNTIF('Final Calculation Sheet'!$BP36:$BS36,0)&gt;0,0,1)</f>
      </c>
      <c r="VC36" t="str">
        <f>IF($FD$36="",FALSE,SUMPRODUCT(('Final Calculation Sheet'!$AD$4:$AD$40=$FD$36)*($VB$4:$VB$40=1))&gt;0)</f>
      </c>
      <c r="VD36" t="str">
        <f>=$VD35+--($VC36)</f>
      </c>
      <c r="VE36" t="str">
        <f>IF(ROW()-3&gt;MAX($VD$4:$VD$40),"",INDEX($FD$4:$FD$40,MATCH(ROW()-3,$VD$4:$VD$40,0)))</f>
      </c>
      <c r="VF36" t="str">
        <f>IF(COUNTIF('Final Calculation Sheet'!$AL36:$BO36,0)+COUNTIF('Final Calculation Sheet'!$BQ36:$BS36,0)&gt;0,0,1)</f>
      </c>
      <c r="VG36" t="str">
        <f>IF($FI$36="",FALSE,SUMPRODUCT(('Final Calculation Sheet'!$AE$4:$AE$40=$FI$36)*($VF$4:$VF$40=1))&gt;0)</f>
      </c>
      <c r="VH36" t="str">
        <f>=$VH35+--($VG36)</f>
      </c>
      <c r="VI36" t="str">
        <f>IF(ROW()-3&gt;MAX($VH$4:$VH$40),"",INDEX($FI$4:$FI$40,MATCH(ROW()-3,$VH$4:$VH$40,0)))</f>
      </c>
      <c r="VJ36" t="str">
        <f>IF(COUNTIF('Final Calculation Sheet'!$AL36:$BP36,0)+COUNTIF('Final Calculation Sheet'!$BR36:$BS36,0)&gt;0,0,1)</f>
      </c>
      <c r="VK36" t="str">
        <f>IF($FN$36="",FALSE,SUMPRODUCT(('Final Calculation Sheet'!$AF$4:$AF$40=$FN$36)*($VJ$4:$VJ$40=1))&gt;0)</f>
      </c>
      <c r="VL36" t="str">
        <f>=$VL35+--($VK36)</f>
      </c>
      <c r="VM36" t="str">
        <f>IF(ROW()-3&gt;MAX($VL$4:$VL$40),"",INDEX($FN$4:$FN$40,MATCH(ROW()-3,$VL$4:$VL$40,0)))</f>
      </c>
      <c r="VN36" t="str">
        <f>IF(COUNTIF('Final Calculation Sheet'!$AL36:$BQ36,0)+COUNTIF('Final Calculation Sheet'!$BS36:$BS36,0)&gt;0,0,1)</f>
      </c>
      <c r="VO36" t="str">
        <f>IF($FS$36="",FALSE,SUMPRODUCT(('Final Calculation Sheet'!$AG$4:$AG$40=$FS$36)*($VN$4:$VN$40=1))&gt;0)</f>
      </c>
      <c r="VP36" t="str">
        <f>=$VP35+--($VO36)</f>
      </c>
      <c r="VQ36" t="str">
        <f>IF(ROW()-3&gt;MAX($VP$4:$VP$40),"",INDEX($FS$4:$FS$40,MATCH(ROW()-3,$VP$4:$VP$40,0)))</f>
      </c>
      <c r="VR36" t="str">
        <f>IF(COUNTIF('Final Calculation Sheet'!$AL36:$BR36,0)&gt;0,0,1)</f>
      </c>
      <c r="VS36" t="str">
        <f>IF($QO$36="",FALSE,SUMPRODUCT(('Final Calculation Sheet'!$AH$4:$AH$40=$QO$36)*($VR$4:$VR$40=1))&gt;0)</f>
      </c>
      <c r="VT36" t="str">
        <f>=$VT35+--($VS36)</f>
      </c>
      <c r="VU36" t="str">
        <f>IF(ROW()-3&gt;MAX($VT$4:$VT$40),"",INDEX($QO$4:$QO$40,MATCH(ROW()-3,$VT$4:$VT$40,0)))</f>
      </c>
    </row>
    <row r="37">
      <c r="A37">
        <f>IF(IFERROR('Final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IF(IFERROR('Final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s="55">
        <f>IF('Final Calculation Sheet'!$C$37="","",'Final Calculation Sheet'!$C$37)</f>
        <v/>
      </c>
      <c r="AP37">
        <f>IF(AO37="","",COUNTIFS(AO$4:AO$40,"&lt;"&amp;AO37,AO$4:AO$40,"&lt;&gt;"&amp;"")+COUNTIF(AO$4:AO37,AO37))</f>
        <v/>
      </c>
      <c r="AQ37" s="55">
        <f>IF(ROW()-3&gt;COUNTIF(AO$4:AO$40,"&lt;&gt;"&amp;""),"",INDEX(AO$4:AO$40,MATCH(ROW()-3,AP$4:AP$40,0)))</f>
        <v/>
      </c>
      <c r="AR37">
        <f>AR36+IF(AND(AQ37&lt;&gt;"",COUNTIF(AQ$4:AQ37,AQ37)=1),1,0)</f>
        <v/>
      </c>
      <c r="AS37" s="55">
        <f>IF(ROW()-3&gt;MAX(AR$4:AR$40),"",INDEX(AQ$4:AQ$40,MATCH(ROW()-3,AR$4:AR$40,0)))</f>
        <v/>
      </c>
      <c r="AT37" s="55">
        <f>IF('Final Calculation Sheet'!$H$37="","",'Final Calculation Sheet'!$H$37)</f>
        <v/>
      </c>
      <c r="AU37">
        <f>IF(AT37="","",COUNTIFS(AT$4:AT$40,"&lt;"&amp;AT37,AT$4:AT$40,"&lt;&gt;"&amp;"")+COUNTIF(AT$4:AT37,AT37))</f>
        <v/>
      </c>
      <c r="AV37" s="55">
        <f>IF(ROW()-3&gt;COUNTIF(AT$4:AT$40,"&lt;&gt;"&amp;""),"",INDEX(AT$4:AT$40,MATCH(ROW()-3,AU$4:AU$40,0)))</f>
        <v/>
      </c>
      <c r="AW37">
        <f>AW36+IF(AND(AV37&lt;&gt;"",COUNTIF(AV$4:AV37,AV37)=1),1,0)</f>
        <v/>
      </c>
      <c r="AX37" s="55">
        <f>IF(ROW()-3&gt;MAX(AW$4:AW$40),"",INDEX(AV$4:AV$40,MATCH(ROW()-3,AW$4:AW$40,0)))</f>
        <v/>
      </c>
      <c r="AY37" s="55">
        <f>IF('Final Calculation Sheet'!$I$37="","",'Final Calculation Sheet'!$I$37)</f>
        <v/>
      </c>
      <c r="AZ37">
        <f>IF(AY37="","",COUNTIFS(AY$4:AY$40,"&lt;"&amp;AY37,AY$4:AY$40,"&lt;&gt;"&amp;"")+COUNTIF(AY$4:AY37,AY37))</f>
        <v/>
      </c>
      <c r="BA37" s="55">
        <f>IF(ROW()-3&gt;COUNTIF(AY$4:AY$40,"&lt;&gt;"&amp;""),"",INDEX(AY$4:AY$40,MATCH(ROW()-3,AZ$4:AZ$40,0)))</f>
        <v/>
      </c>
      <c r="BB37">
        <f>BB36+IF(AND(BA37&lt;&gt;"",COUNTIF(BA$4:BA37,BA37)=1),1,0)</f>
        <v/>
      </c>
      <c r="BC37" s="55">
        <f>IF(ROW()-3&gt;MAX(BB$4:BB$40),"",INDEX(BA$4:BA$40,MATCH(ROW()-3,BB$4:BB$40,0)))</f>
        <v/>
      </c>
      <c r="BD37" s="55">
        <f>IF('Final Calculation Sheet'!$J$37="","",'Final Calculation Sheet'!$J$37)</f>
        <v/>
      </c>
      <c r="BE37">
        <f>IF(BD37="","",COUNTIFS(BD$4:BD$40,"&lt;"&amp;BD37,BD$4:BD$40,"&lt;&gt;"&amp;"")+COUNTIF(BD$4:BD37,BD37))</f>
        <v/>
      </c>
      <c r="BF37" s="55">
        <f>IF(ROW()-3&gt;COUNTIF(BD$4:BD$40,"&lt;&gt;"&amp;""),"",INDEX(BD$4:BD$40,MATCH(ROW()-3,BE$4:BE$40,0)))</f>
        <v/>
      </c>
      <c r="BG37">
        <f>BG36+IF(AND(BF37&lt;&gt;"",COUNTIF(BF$4:BF37,BF37)=1),1,0)</f>
        <v/>
      </c>
      <c r="BH37" s="55">
        <f>IF(ROW()-3&gt;MAX(BG$4:BG$40),"",INDEX(BF$4:BF$40,MATCH(ROW()-3,BG$4:BG$40,0)))</f>
        <v/>
      </c>
      <c r="BI37" s="55">
        <f>IF('Final Calculation Sheet'!$K$37="","",'Final Calculation Sheet'!$K$37)</f>
        <v/>
      </c>
      <c r="BJ37">
        <f>IF(BI37="","",COUNTIFS(BI$4:BI$40,"&lt;"&amp;BI37,BI$4:BI$40,"&lt;&gt;"&amp;"")+COUNTIF(BI$4:BI37,BI37))</f>
        <v/>
      </c>
      <c r="BK37" s="55">
        <f>IF(ROW()-3&gt;COUNTIF(BI$4:BI$40,"&lt;&gt;"&amp;""),"",INDEX(BI$4:BI$40,MATCH(ROW()-3,BJ$4:BJ$40,0)))</f>
        <v/>
      </c>
      <c r="BL37">
        <f>BL36+IF(AND(BK37&lt;&gt;"",COUNTIF(BK$4:BK37,BK37)=1),1,0)</f>
        <v/>
      </c>
      <c r="BM37" s="55">
        <f>IF(ROW()-3&gt;MAX(BL$4:BL$40),"",INDEX(BK$4:BK$40,MATCH(ROW()-3,BL$4:BL$40,0)))</f>
        <v/>
      </c>
      <c r="BN37" s="55">
        <f>IF('Final Calculation Sheet'!$L$37="","",'Final Calculation Sheet'!$L$37)</f>
        <v/>
      </c>
      <c r="BO37">
        <f>IF(BN37="","",COUNTIFS(BN$4:BN$40,"&lt;"&amp;BN37,BN$4:BN$40,"&lt;&gt;"&amp;"")+COUNTIF(BN$4:BN37,BN37))</f>
        <v/>
      </c>
      <c r="BP37" s="55">
        <f>IF(ROW()-3&gt;COUNTIF(BN$4:BN$40,"&lt;&gt;"&amp;""),"",INDEX(BN$4:BN$40,MATCH(ROW()-3,BO$4:BO$40,0)))</f>
        <v/>
      </c>
      <c r="BQ37">
        <f>BQ36+IF(AND(BP37&lt;&gt;"",COUNTIF(BP$4:BP37,BP37)=1),1,0)</f>
        <v/>
      </c>
      <c r="BR37" s="55">
        <f>IF(ROW()-3&gt;MAX(BQ$4:BQ$40),"",INDEX(BP$4:BP$40,MATCH(ROW()-3,BQ$4:BQ$40,0)))</f>
        <v/>
      </c>
      <c r="BS37" s="55">
        <f>IF('Final Calculation Sheet'!$M$37="","",'Final Calculation Sheet'!$M$37)</f>
        <v/>
      </c>
      <c r="BT37">
        <f>IF(BS37="","",COUNTIFS(BS$4:BS$40,"&lt;"&amp;BS37,BS$4:BS$40,"&lt;&gt;"&amp;"")+COUNTIF(BS$4:BS37,BS37))</f>
        <v/>
      </c>
      <c r="BU37" s="55">
        <f>IF(ROW()-3&gt;COUNTIF(BS$4:BS$40,"&lt;&gt;"&amp;""),"",INDEX(BS$4:BS$40,MATCH(ROW()-3,BT$4:BT$40,0)))</f>
        <v/>
      </c>
      <c r="BV37">
        <f>BV36+IF(AND(BU37&lt;&gt;"",COUNTIF(BU$4:BU37,BU37)=1),1,0)</f>
        <v/>
      </c>
      <c r="BW37" s="55">
        <f>IF(ROW()-3&gt;MAX(BV$4:BV$40),"",INDEX(BU$4:BU$40,MATCH(ROW()-3,BV$4:BV$40,0)))</f>
        <v/>
      </c>
      <c r="BX37" s="138">
        <f>IF('Final Calculation Sheet'!$N$37="","",'Final Calculation Sheet'!$N$37)</f>
        <v/>
      </c>
      <c r="BY37">
        <f>IF(BX37="","",COUNTIFS(BX$4:BX$40,"&lt;"&amp;BX37,BX$4:BX$40,"&lt;&gt;"&amp;"")+COUNTIF(BX$4:BX37,BX37))</f>
        <v/>
      </c>
      <c r="BZ37" s="138">
        <f>IF(ROW()-3&gt;COUNTIF(BX$4:BX$40,"&lt;&gt;"&amp;""),"",INDEX(BX$4:BX$40,MATCH(ROW()-3,BY$4:BY$40,0)))</f>
        <v/>
      </c>
      <c r="CA37">
        <f>CA36+IF(AND(BZ37&lt;&gt;"",COUNTIF(BZ$4:BZ37,BZ37)=1),1,0)</f>
        <v/>
      </c>
      <c r="CB37" s="138">
        <f>IF(ROW()-3&gt;MAX(CA$4:CA$40),"",INDEX(BZ$4:BZ$40,MATCH(ROW()-3,CA$4:CA$40,0)))</f>
        <v/>
      </c>
      <c r="CC37" s="55">
        <f>IF('Final Calculation Sheet'!$O$37="","",'Final Calculation Sheet'!$O$37)</f>
        <v/>
      </c>
      <c r="CD37">
        <f>IF(CC37="","",COUNTIFS(CC$4:CC$40,"&lt;"&amp;CC37,CC$4:CC$40,"&lt;&gt;"&amp;"")+COUNTIF(CC$4:CC37,CC37))</f>
        <v/>
      </c>
      <c r="CE37" s="55">
        <f>IF(ROW()-3&gt;COUNTIF(CC$4:CC$40,"&lt;&gt;"&amp;""),"",INDEX(CC$4:CC$40,MATCH(ROW()-3,CD$4:CD$40,0)))</f>
        <v/>
      </c>
      <c r="CF37">
        <f>CF36+IF(AND(CE37&lt;&gt;"",COUNTIF(CE$4:CE37,CE37)=1),1,0)</f>
        <v/>
      </c>
      <c r="CG37" s="55">
        <f>IF(ROW()-3&gt;MAX(CF$4:CF$40),"",INDEX(CE$4:CE$40,MATCH(ROW()-3,CF$4:CF$40,0)))</f>
        <v/>
      </c>
      <c r="CH37" s="55">
        <f>IF('Final Calculation Sheet'!$P$37="","",'Final Calculation Sheet'!$P$37)</f>
        <v/>
      </c>
      <c r="CI37">
        <f>IF(CH37="","",COUNTIFS(CH$4:CH$40,"&lt;"&amp;CH37,CH$4:CH$40,"&lt;&gt;"&amp;"")+COUNTIF(CH$4:CH37,CH37))</f>
        <v/>
      </c>
      <c r="CJ37" s="55">
        <f>IF(ROW()-3&gt;COUNTIF(CH$4:CH$40,"&lt;&gt;"&amp;""),"",INDEX(CH$4:CH$40,MATCH(ROW()-3,CI$4:CI$40,0)))</f>
        <v/>
      </c>
      <c r="CK37">
        <f>CK36+IF(AND(CJ37&lt;&gt;"",COUNTIF(CJ$4:CJ37,CJ37)=1),1,0)</f>
        <v/>
      </c>
      <c r="CL37" s="55">
        <f>IF(ROW()-3&gt;MAX(CK$4:CK$40),"",INDEX(CJ$4:CJ$40,MATCH(ROW()-3,CK$4:CK$40,0)))</f>
        <v/>
      </c>
      <c r="CM37" s="139">
        <f>IF('Final Calculation Sheet'!$Q$37="","",'Final Calculation Sheet'!$Q$37)</f>
        <v/>
      </c>
      <c r="CN37">
        <f>IF(CM37="","",COUNTIFS(CM$4:CM$40,"&lt;"&amp;CM37,CM$4:CM$40,"&lt;&gt;"&amp;"")+COUNTIF(CM$4:CM37,CM37))</f>
        <v/>
      </c>
      <c r="CO37" s="139">
        <f>IF(ROW()-3&gt;COUNTIF(CM$4:CM$40,"&lt;&gt;"&amp;""),"",INDEX(CM$4:CM$40,MATCH(ROW()-3,CN$4:CN$40,0)))</f>
        <v/>
      </c>
      <c r="CP37">
        <f>CP36+IF(AND(CO37&lt;&gt;"",COUNTIF(CO$4:CO37,CO37)=1),1,0)</f>
        <v/>
      </c>
      <c r="CQ37">
        <f>IF(ROW()-3&gt;MAX(CP$4:CP$40),"",INDEX(CO$4:CO$40,MATCH(ROW()-3,CP$4:CP$40,0)))</f>
        <v/>
      </c>
      <c r="CR37" s="55">
        <f>IF('Final Calculation Sheet'!$R$37="","",'Final Calculation Sheet'!$R$37)</f>
        <v/>
      </c>
      <c r="CS37">
        <f>IF(CR37="","",COUNTIFS(CR$4:CR$40,"&lt;"&amp;CR37,CR$4:CR$40,"&lt;&gt;"&amp;"")+COUNTIF(CR$4:CR37,CR37))</f>
        <v/>
      </c>
      <c r="CT37" s="55">
        <f>IF(ROW()-3&gt;COUNTIF(CR$4:CR$40,"&lt;&gt;"&amp;""),"",INDEX(CR$4:CR$40,MATCH(ROW()-3,CS$4:CS$40,0)))</f>
        <v/>
      </c>
      <c r="CU37">
        <f>CU36+IF(AND(CT37&lt;&gt;"",COUNTIF(CT$4:CT37,CT37)=1),1,0)</f>
        <v/>
      </c>
      <c r="CV37">
        <f>IF(ROW()-3&gt;MAX(CU$4:CU$40),"",INDEX(CT$4:CT$40,MATCH(ROW()-3,CU$4:CU$40,0)))</f>
        <v/>
      </c>
      <c r="CW37" s="55">
        <f>IF('Final Calculation Sheet'!$S$37="","",'Final Calculation Sheet'!$S$37)</f>
        <v/>
      </c>
      <c r="CX37">
        <f>IF(CW37="","",COUNTIFS(CW$4:CW$40,"&lt;"&amp;CW37,CW$4:CW$40,"&lt;&gt;"&amp;"")+COUNTIF(CW$4:CW37,CW37))</f>
        <v/>
      </c>
      <c r="CY37" s="55">
        <f>IF(ROW()-3&gt;COUNTIF(CW$4:CW$40,"&lt;&gt;"&amp;""),"",INDEX(CW$4:CW$40,MATCH(ROW()-3,CX$4:CX$40,0)))</f>
        <v/>
      </c>
      <c r="CZ37">
        <f>CZ36+IF(AND(CY37&lt;&gt;"",COUNTIF(CY$4:CY37,CY37)=1),1,0)</f>
        <v/>
      </c>
      <c r="DA37" s="55">
        <f>IF(ROW()-3&gt;MAX(CZ$4:CZ$40),"",INDEX(CY$4:CY$40,MATCH(ROW()-3,CZ$4:CZ$40,0)))</f>
        <v/>
      </c>
      <c r="DB37" s="55">
        <f>IF('Final Calculation Sheet'!$T$37="","",'Final Calculation Sheet'!$T$37)</f>
        <v/>
      </c>
      <c r="DC37">
        <f>IF(DB37="","",COUNTIFS(DB$4:DB$40,"&lt;"&amp;DB37,DB$4:DB$40,"&lt;&gt;"&amp;"")+COUNTIF(DB$4:DB37,DB37))</f>
        <v/>
      </c>
      <c r="DD37" s="55">
        <f>IF(ROW()-3&gt;COUNTIF(DB$4:DB$40,"&lt;&gt;"&amp;""),"",INDEX(DB$4:DB$40,MATCH(ROW()-3,DC$4:DC$40,0)))</f>
        <v/>
      </c>
      <c r="DE37">
        <f>DE36+IF(AND(DD37&lt;&gt;"",COUNTIF(DD$4:DD37,DD37)=1),1,0)</f>
        <v/>
      </c>
      <c r="DF37" s="55">
        <f>IF(ROW()-3&gt;MAX(DE$4:DE$40),"",INDEX(DD$4:DD$40,MATCH(ROW()-3,DE$4:DE$40,0)))</f>
        <v/>
      </c>
      <c r="DG37" s="140">
        <f>IF('Final Calculation Sheet'!$U$37="","",'Final Calculation Sheet'!$U$37)</f>
        <v/>
      </c>
      <c r="DH37">
        <f>IF(DG37="","",COUNTIFS(DG$4:DG$40,"&lt;"&amp;DG37,DG$4:DG$40,"&lt;&gt;"&amp;"")+COUNTIF(DG$4:DG37,DG37))</f>
        <v/>
      </c>
      <c r="DI37" s="140">
        <f>IF(ROW()-3&gt;COUNTIF(DG$4:DG$40,"&lt;&gt;"&amp;""),"",INDEX(DG$4:DG$40,MATCH(ROW()-3,DH$4:DH$40,0)))</f>
        <v/>
      </c>
      <c r="DJ37">
        <f>DJ36+IF(AND(DI37&lt;&gt;"",COUNTIF(DI$4:DI37,DI37)=1),1,0)</f>
        <v/>
      </c>
      <c r="DK37" s="140">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s="55">
        <f>IF('Final Calculation Sheet'!$W$37="","",'Final Calculation Sheet'!$W$37)</f>
        <v/>
      </c>
      <c r="DR37">
        <f>IF(DQ37="","",COUNTIFS(DQ$4:DQ$40,"&lt;"&amp;DQ37,DQ$4:DQ$40,"&lt;&gt;"&amp;"")+COUNTIF(DQ$4:DQ37,DQ37))</f>
        <v/>
      </c>
      <c r="DS37" s="55">
        <f>IF(ROW()-3&gt;COUNTIF(DQ$4:DQ$40,"&lt;&gt;"&amp;""),"",INDEX(DQ$4:DQ$40,MATCH(ROW()-3,DR$4:DR$40,0)))</f>
        <v/>
      </c>
      <c r="DT37">
        <f>DT36+IF(AND(DS37&lt;&gt;"",COUNTIF(DS$4:DS37,DS37)=1),1,0)</f>
        <v/>
      </c>
      <c r="DU37" s="55">
        <f>IF(ROW()-3&gt;MAX(DT$4:DT$40),"",INDEX(DS$4:DS$40,MATCH(ROW()-3,DT$4:DT$40,0)))</f>
        <v/>
      </c>
      <c r="DV37" s="55">
        <f>IF('Final Calculation Sheet'!$X$37="","",'Final Calculation Sheet'!$X$37)</f>
        <v/>
      </c>
      <c r="DW37">
        <f>IF(DV37="","",COUNTIFS(DV$4:DV$40,"&lt;"&amp;DV37,DV$4:DV$40,"&lt;&gt;"&amp;"")+COUNTIF(DV$4:DV37,DV37))</f>
        <v/>
      </c>
      <c r="DX37" s="55">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s="55">
        <f>IF('Final Calculation Sheet'!$Z$37="","",'Final Calculation Sheet'!$Z$37)</f>
        <v/>
      </c>
      <c r="EG37">
        <f>IF(EF37="","",COUNTIFS(EF$4:EF$40,"&lt;"&amp;EF37,EF$4:EF$40,"&lt;&gt;"&amp;"")+COUNTIF(EF$4:EF37,EF37))</f>
        <v/>
      </c>
      <c r="EH37" s="55">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s="55">
        <f>IF('Final Calculation Sheet'!$AC$37="","",'Final Calculation Sheet'!$AC$37)</f>
        <v/>
      </c>
      <c r="EV37">
        <f>IF(EU37="","",COUNTIFS(EU$4:EU$40,"&lt;"&amp;EU37,EU$4:EU$40,"&lt;&gt;"&amp;"")+COUNTIF(EU$4:EU37,EU37))</f>
        <v/>
      </c>
      <c r="EW37" s="55">
        <f>IF(ROW()-3&gt;COUNTIF(EU$4:EU$40,"&lt;&gt;"&amp;""),"",INDEX(EU$4:EU$40,MATCH(ROW()-3,EV$4:EV$40,0)))</f>
        <v/>
      </c>
      <c r="EX37">
        <f>EX36+IF(AND(EW37&lt;&gt;"",COUNTIF(EW$4:EW37,EW37)=1),1,0)</f>
        <v/>
      </c>
      <c r="EY37" s="55">
        <f>IF(ROW()-3&gt;MAX(EX$4:EX$40),"",INDEX(EW$4:EW$40,MATCH(ROW()-3,EX$4:EX$40,0)))</f>
        <v/>
      </c>
      <c r="EZ37" s="55">
        <f>IF('Final Calculation Sheet'!$AD$37="","",'Final Calculation Sheet'!$AD$37)</f>
        <v/>
      </c>
      <c r="FA37">
        <f>IF(EZ37="","",COUNTIFS(EZ$4:EZ$40,"&lt;"&amp;EZ37,EZ$4:EZ$40,"&lt;&gt;"&amp;"")+COUNTIF(EZ$4:EZ37,EZ37))</f>
        <v/>
      </c>
      <c r="FB37" s="55">
        <f>IF(ROW()-3&gt;COUNTIF(EZ$4:EZ$40,"&lt;&gt;"&amp;""),"",INDEX(EZ$4:EZ$40,MATCH(ROW()-3,FA$4:FA$40,0)))</f>
        <v/>
      </c>
      <c r="FC37">
        <f>FC36+IF(AND(FB37&lt;&gt;"",COUNTIF(FB$4:FB37,FB37)=1),1,0)</f>
        <v/>
      </c>
      <c r="FD37">
        <f>IF(ROW()-3&gt;MAX(FC$4:FC$40),"",INDEX(FB$4:FB$40,MATCH(ROW()-3,FC$4:FC$40,0)))</f>
        <v/>
      </c>
      <c r="FE37">
        <f>IF('Final Calculation Sheet'!$AF$37="","",'Final Calculation Sheet'!$AF$37)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s="141">
        <f>IF('Final Calculation Sheet'!$AG$37="","",'Final Calculation Sheet'!$AG$37)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Sheet'!$AH$37="","",'Final Calculation Sheet'!$AH$37)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c r="FY37">
        <f>IF(COUNTIF('Live Search'!BM$36:BO$36,0)+COUNTIF('Live Search'!BQ$36:CU$36,0)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7">
        <f>IF($Y$37="",FALSE,SUMPRODUCT(('Final Calculation Sheet'!$B$4:$B$40=$Y$37)*($FY$6:$FY$42=1))&gt;0)</f>
        <v/>
      </c>
      <c r="GA37">
        <f>$GA$36+--($FZ$37)</f>
        <v/>
      </c>
      <c r="GB37">
        <f>IF(ROW()-3&gt;MAX($GA$4:$GA$40),"",INDEX($Y$4:$Y$40,MATCH(ROW()-3,$GA$4:$GA$40,0)))</f>
        <v/>
      </c>
      <c r="GC37">
        <f>IF(COUNTIF('Live Search'!BM$36:BM$36,0)+COUNTIF('Live Search'!BO$36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D37">
        <f>IF($O$37="",FALSE,SUMPRODUCT(('Final Calculation Sheet'!$F$4:$F$40=$O$37)*($GC$6:$GC$42=1))&gt;0)</f>
        <v/>
      </c>
      <c r="GE37">
        <f>$GE$36+--($GD37)</f>
        <v/>
      </c>
      <c r="GF37">
        <f>IF(ROW()-3&gt;MAX($GE$4:$GE$40),"",INDEX($O$4:$O$40,MATCH(ROW()-3,$GE$4:$GE$40,0)))</f>
        <v/>
      </c>
      <c r="GG37">
        <f>IF(COUNTIF('Live Search'!BM$36:BN$36,0)+COUNTIF('Live Search'!BP$36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H37">
        <f>IF($T$37="",FALSE,SUMPRODUCT(('Final Calculation Sheet'!$G$4:$G$40=$T$37)*($GG$6:$GG$42=1))&gt;0)</f>
        <v/>
      </c>
      <c r="GI37">
        <f>$GI$36+--($GH37)</f>
        <v/>
      </c>
      <c r="GJ37">
        <f>IF(ROW()-3&gt;MAX($GI$4:$GI$40),"",INDEX($T$4:$T$40,MATCH(ROW()-3,$GI$4:$GI$40,0)))</f>
        <v/>
      </c>
      <c r="GK37">
        <f>IF(COUNTIF('Live Search'!BM$36:BP$36,0)+COUNTIF('Live Search'!BR$36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L37">
        <f>IF($AD$37="",FALSE,SUMPRODUCT(('Final Calculation Sheet'!$D$4:$D$40=$AD$37)*($GK$6:$GK$42=1))&gt;0)</f>
        <v/>
      </c>
      <c r="GM37">
        <f>$GM$36+--($GL37)</f>
        <v/>
      </c>
      <c r="GN37">
        <f>IF(ROW()-3&gt;MAX($GM$4:$GM$40),"",INDEX($AD$4:$AD$40,MATCH(ROW()-3,$GM$4:$GM$40,0)))</f>
        <v/>
      </c>
      <c r="GO37">
        <f>IF(COUNTIF('Live Search'!BM$36:BQ$36,0)+COUNTIF('Live Search'!BS$36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P37">
        <f>IF($AI$37="",FALSE,SUMPRODUCT(('Final Calculation Sheet'!$A$4:$A$40=$AI$37)*($GO$6:$GO$42=1))&gt;0)</f>
        <v/>
      </c>
      <c r="GQ37">
        <f>$GQ$36+--($GP37)</f>
        <v/>
      </c>
      <c r="GR37">
        <f>IF(ROW()-3&gt;MAX($GQ$4:$GQ$40),"",INDEX($AI$4:$AI$40,MATCH(ROW()-3,$GQ$4:$GQ$40,0)))</f>
        <v/>
      </c>
      <c r="GS37">
        <f>IF(COUNTIF('Live Search'!BM$36:BR$36,0)+COUNTIF('Live Search'!BT$36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T37">
        <f>IF($AN$37="",FALSE,SUMPRODUCT(('Final Calculation Sheet'!$E$4:$E$40=$AN$37)*($GS$6:$GS$42=1))&gt;0)</f>
        <v/>
      </c>
      <c r="GU37">
        <f>$GU$36+--($GT37)</f>
        <v/>
      </c>
      <c r="GV37">
        <f>IF(ROW()-3&gt;MAX($GU$4:$GU$40),"",INDEX($AN$4:$AN$40,MATCH(ROW()-3,$GU$4:$GU$40,0)))</f>
        <v/>
      </c>
      <c r="GW37">
        <f>IF(COUNTIF('Live Search'!BM$36:BS$36,0)+COUNTIF('Live Search'!BU$36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GX37">
        <f>IF($AS$37="",FALSE,SUMPRODUCT(('Final Calculation Sheet'!$C$4:$C$40=$AS$37)*($GW$6:$GW$42=1))&gt;0)</f>
        <v/>
      </c>
      <c r="GY37">
        <f>$GY$36+--($GX37)</f>
        <v/>
      </c>
      <c r="GZ37">
        <f>IF(ROW()-3&gt;MAX($GY$4:$GY$40),"",INDEX($AS$4:$AS$40,MATCH(ROW()-3,$GY$4:$GY$40,0)))</f>
        <v/>
      </c>
      <c r="HA37">
        <f>IF(COUNTIF('Live Search'!BM$36:BT$36,0)+COUNTIF('Live Search'!BV$36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B37">
        <f>IF($AX$37="",FALSE,SUMPRODUCT(('Final Calculation Sheet'!$H$4:$H$40=$AX$37)*($HA$6:$HA$42=1))&gt;0)</f>
        <v/>
      </c>
      <c r="HC37">
        <f>$HC$36+--($HB37)</f>
        <v/>
      </c>
      <c r="HD37">
        <f>IF(ROW()-3&gt;MAX($HC$4:$HC$40),"",INDEX($AX$4:$AX$40,MATCH(ROW()-3,$HC$4:$HC$40,0)))</f>
        <v/>
      </c>
      <c r="HE37">
        <f>IF(COUNTIF('Live Search'!BM$36:BU$36,0)+COUNTIF('Live Search'!BW$36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F37">
        <f>IF($BC$37="",FALSE,SUMPRODUCT(('Final Calculation Sheet'!$I$4:$I$40=$BC$37)*($HE$6:$HE$42=1))&gt;0)</f>
        <v/>
      </c>
      <c r="HG37">
        <f>$HG$36+--($HF37)</f>
        <v/>
      </c>
      <c r="HH37">
        <f>IF(ROW()-3&gt;MAX($HG$4:$HG$40),"",INDEX($BC$4:$BC$40,MATCH(ROW()-3,$HG$4:$HG$40,0)))</f>
        <v/>
      </c>
      <c r="HI37">
        <f>IF(COUNTIF('Live Search'!BM$36:BV$36,0)+COUNTIF('Live Search'!BX$36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J37">
        <f>IF($BH$37="",FALSE,SUMPRODUCT(('Final Calculation Sheet'!$J$4:$J$40=$BH$37)*($HI$6:$HI$42=1))&gt;0)</f>
        <v/>
      </c>
      <c r="HK37">
        <f>$HK$36+--($HJ37)</f>
        <v/>
      </c>
      <c r="HL37">
        <f>IF(ROW()-3&gt;MAX($HK$4:$HK$40),"",INDEX($BH$4:$BH$40,MATCH(ROW()-3,$HK$4:$HK$40,0)))</f>
        <v/>
      </c>
      <c r="HM37">
        <f>IF(COUNTIF('Live Search'!BM$36:BW$36,0)+COUNTIF('Live Search'!BY$36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N37">
        <f>IF($BM$37="",FALSE,SUMPRODUCT(('Final Calculation Sheet'!$K$4:$K$40=$BM$37)*($HM$6:$HM$42=1))&gt;0)</f>
        <v/>
      </c>
      <c r="HO37">
        <f>$HO$36+--($HN37)</f>
        <v/>
      </c>
      <c r="HP37">
        <f>IF(ROW()-3&gt;MAX($HO$4:$HO$40),"",INDEX($BM$4:$BM$40,MATCH(ROW()-3,$HO$4:$HO$40,0)))</f>
        <v/>
      </c>
      <c r="HQ37">
        <f>IF(COUNTIF('Live Search'!BM$36:BX$36,0)+COUNTIF('Live Search'!BZ$36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R37">
        <f>IF($BR$37="",FALSE,SUMPRODUCT(('Final Calculation Sheet'!$L$4:$L$40=$BR$37)*($HQ$6:$HQ$42=1))&gt;0)</f>
        <v/>
      </c>
      <c r="HS37">
        <f>$HS$36+--($HR37)</f>
        <v/>
      </c>
      <c r="HT37">
        <f>IF(ROW()-3&gt;MAX($HS$4:$HS$40),"",INDEX($BR$4:$BR$40,MATCH(ROW()-3,$HS$4:$HS$40,0)))</f>
        <v/>
      </c>
      <c r="HU37">
        <f>IF(COUNTIF('Live Search'!BM$36:BY$36,0)+COUNTIF('Live Search'!CA$36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V37">
        <f>IF($BW$37="",FALSE,SUMPRODUCT(('Final Calculation Sheet'!$M$4:$M$40=$BW$37)*($HU$6:$HU$42=1))&gt;0)</f>
        <v/>
      </c>
      <c r="HW37">
        <f>$HW$36+--($HV37)</f>
        <v/>
      </c>
      <c r="HX37">
        <f>IF(ROW()-3&gt;MAX($HW$4:$HW$40),"",INDEX($BW$4:$BW$40,MATCH(ROW()-3,$HW$4:$HW$40,0)))</f>
        <v/>
      </c>
      <c r="HY37">
        <f>IF(COUNTIF('Live Search'!BM$36:BZ$36,0)+COUNTIF('Live Search'!CB$36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HZ37">
        <f>IF($CB$37="",FALSE,SUMPRODUCT(('Final Calculation Sheet'!$N$4:$N$40=$CB$37)*($HY$6:$HY$42=1))&gt;0)</f>
        <v/>
      </c>
      <c r="IA37">
        <f>$IA$36+--($HZ37)</f>
        <v/>
      </c>
      <c r="IB37">
        <f>IF(ROW()-3&gt;MAX($IA$4:$IA$40),"",INDEX($CB$4:$CB$40,MATCH(ROW()-3,$IA$4:$IA$40,0)))</f>
        <v/>
      </c>
      <c r="IC37">
        <f>IF(COUNTIF('Live Search'!BM$36:CA$36,0)+COUNTIF('Live Search'!CC$36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D37">
        <f>IF($CG$37="",FALSE,SUMPRODUCT(('Final Calculation Sheet'!$O$4:$O$40=$CG$37)*($IC$6:$IC$42=1))&gt;0)</f>
        <v/>
      </c>
      <c r="IE37">
        <f>$IE$36+--($ID37)</f>
        <v/>
      </c>
      <c r="IF37">
        <f>IF(ROW()-3&gt;MAX($IE$4:$IE$40),"",INDEX($CG$4:$CG$40,MATCH(ROW()-3,$IE$4:$IE$40,0)))</f>
        <v/>
      </c>
      <c r="IG37">
        <f>IF(COUNTIF('Live Search'!BM$36:CB$36,0)+COUNTIF('Live Search'!CD$36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H37">
        <f>IF($CL$37="",FALSE,SUMPRODUCT(('Final Calculation Sheet'!$P$4:$P$40=$CL$37)*($IG$6:$IG$42=1))&gt;0)</f>
        <v/>
      </c>
      <c r="II37">
        <f>$II$36+--($IH37)</f>
        <v/>
      </c>
      <c r="IJ37">
        <f>IF(ROW()-3&gt;MAX($II$4:$II$40),"",INDEX($CL$4:$CL$40,MATCH(ROW()-3,$II$4:$II$40,0)))</f>
        <v/>
      </c>
      <c r="IK37">
        <f>IF(COUNTIF('Live Search'!BM$36:CC$36,0)+COUNTIF('Live Search'!CE$36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L37">
        <f>IF($CQ$37="",FALSE,SUMPRODUCT(('Final Calculation Sheet'!$Q$4:$Q$40=$CQ$37)*($IK$6:$IK$42=1))&gt;0)</f>
        <v/>
      </c>
      <c r="IM37">
        <f>$IM$36+--($IL37)</f>
        <v/>
      </c>
      <c r="IN37">
        <f>IF(ROW()-3&gt;MAX($IM$4:$IM$40),"",INDEX($CQ$4:$CQ$40,MATCH(ROW()-3,$IM$4:$IM$40,0)))</f>
        <v/>
      </c>
      <c r="IO37">
        <f>IF(COUNTIF('Live Search'!BM$36:CD$36,0)+COUNTIF('Live Search'!CF$36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P37">
        <f>IF($CV$37="",FALSE,SUMPRODUCT(('Final Calculation Sheet'!$R$4:$R$40=$CV$37)*($IO$6:$IO$42=1))&gt;0)</f>
        <v/>
      </c>
      <c r="IQ37">
        <f>$IQ$36+--($IP37)</f>
        <v/>
      </c>
      <c r="IR37">
        <f>IF(ROW()-3&gt;MAX($IQ$4:$IQ$40),"",INDEX($CV$4:$CV$40,MATCH(ROW()-3,$IQ$4:$IQ$40,0)))</f>
        <v/>
      </c>
      <c r="IS37">
        <f>IF(COUNTIF('Live Search'!BM$36:CE$36,0)+COUNTIF('Live Search'!CG$36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T37">
        <f>IF($DA$37="",FALSE,SUMPRODUCT(('Final Calculation Sheet'!$S$4:$S$40=$DA$37)*($IS$6:$IS$42=1))&gt;0)</f>
        <v/>
      </c>
      <c r="IU37">
        <f>$IU$36+--($IT37)</f>
        <v/>
      </c>
      <c r="IV37">
        <f>IF(ROW()-3&gt;MAX($IU$4:$IU$40),"",INDEX($DA$4:$DA$40,MATCH(ROW()-3,$IU$4:$IU$40,0)))</f>
        <v/>
      </c>
      <c r="IW37">
        <f>IF(COUNTIF('Live Search'!BM$36:CF$36,0)+COUNTIF('Live Search'!CH$36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IX37">
        <f>IF($DF$37="",FALSE,SUMPRODUCT(('Final Calculation Sheet'!$T$4:$T$40=$DF$37)*($IW$6:$IW$42=1))&gt;0)</f>
        <v/>
      </c>
      <c r="IY37">
        <f>$IY$36+--($IX37)</f>
        <v/>
      </c>
      <c r="IZ37">
        <f>IF(ROW()-3&gt;MAX($IY$4:$IY$40),"",INDEX($DF$4:$DF$40,MATCH(ROW()-3,$IY$4:$IY$40,0)))</f>
        <v/>
      </c>
      <c r="JA37">
        <f>IF(COUNTIF('Live Search'!BM$36:CG$36,0)+COUNTIF('Live Search'!CI$36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B37">
        <f>IF($DK$37="",FALSE,SUMPRODUCT(('Final Calculation Sheet'!$U$4:$U$40=$DK$37)*($JA$6:$JA$42=1))&gt;0)</f>
        <v/>
      </c>
      <c r="JC37">
        <f>$JC$36+--($JB37)</f>
        <v/>
      </c>
      <c r="JD37">
        <f>IF(ROW()-3&gt;MAX($JC$4:$JC$40),"",INDEX($DK$4:$DK$40,MATCH(ROW()-3,$JC$4:$JC$40,0)))</f>
        <v/>
      </c>
      <c r="JE37">
        <f>IF(COUNTIF('Live Search'!BM$36:CH$36,0)+COUNTIF('Live Search'!CJ$36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F37">
        <f>IF($DP$37="",FALSE,SUMPRODUCT(('Final Calculation Sheet'!$V$4:$V$40=$DP$37)*($JE$6:$JE$42=1))&gt;0)</f>
        <v/>
      </c>
      <c r="JG37">
        <f>$JG$36+--($JF37)</f>
        <v/>
      </c>
      <c r="JH37">
        <f>IF(ROW()-3&gt;MAX($JG$4:$JG$40),"",INDEX($DP$4:$DP$40,MATCH(ROW()-3,$JG$4:$JG$40,0)))</f>
        <v/>
      </c>
      <c r="JI37">
        <f>IF(COUNTIF('Live Search'!BM$36:CI$36,0)+COUNTIF('Live Search'!CK$36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J37">
        <f>IF($DU$37="",FALSE,SUMPRODUCT(('Final Calculation Sheet'!$W$4:$W$40=$DU$37)*($JI$6:$JI$42=1))&gt;0)</f>
        <v/>
      </c>
      <c r="JK37">
        <f>$JK$36+--($JJ37)</f>
        <v/>
      </c>
      <c r="JL37">
        <f>IF(ROW()-3&gt;MAX($JK$4:$JK$40),"",INDEX($DU$4:$DU$40,MATCH(ROW()-3,$JK$4:$JK$40,0)))</f>
        <v/>
      </c>
      <c r="JM37">
        <f>IF(COUNTIF('Live Search'!BM$36:CJ$36,0)+COUNTIF('Live Search'!CL$36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N37">
        <f>IF($DZ$37="",FALSE,SUMPRODUCT(('Final Calculation Sheet'!$X$4:$X$40=$DZ$37)*($JM$6:$JM$42=1))&gt;0)</f>
        <v/>
      </c>
      <c r="JO37">
        <f>$JO$36+--($JN37)</f>
        <v/>
      </c>
      <c r="JP37">
        <f>IF(ROW()-3&gt;MAX($JO$4:$JO$40),"",INDEX($DZ$4:$DZ$40,MATCH(ROW()-3,$JO$4:$JO$40,0)))</f>
        <v/>
      </c>
      <c r="JQ37">
        <f>IF(COUNTIF('Live Search'!BM$36:CK$36,0)+COUNTIF('Live Search'!C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R37">
        <f>IF($EE$37="",FALSE,SUMPRODUCT(('Final Calculation Sheet'!$Y$4:$Y$40=$EE$37)*($JQ$6:$JQ$42=1))&gt;0)</f>
        <v/>
      </c>
      <c r="JS37">
        <f>$JS$36+--($JR37)</f>
        <v/>
      </c>
      <c r="JT37">
        <f>IF(ROW()-3&gt;MAX($JS$4:$JS$40),"",INDEX($EE$4:$EE$40,MATCH(ROW()-3,$JS$4:$JS$40,0)))</f>
        <v/>
      </c>
      <c r="JU37">
        <f>IF(COUNTIF('Live Search'!BM$36:CL$36,0)+COUNTIF('Live Search'!CN$36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V37">
        <f>IF($EJ$37="",FALSE,SUMPRODUCT(('Final Calculation Sheet'!$Z$4:$Z$40=$EJ$37)*($JU$6:$JU$42=1))&gt;0)</f>
        <v/>
      </c>
      <c r="JW37">
        <f>$JW$36+--($JV37)</f>
        <v/>
      </c>
      <c r="JX37">
        <f>IF(ROW()-3&gt;MAX($JW$4:$JW$40),"",INDEX($EJ$4:$EJ$40,MATCH(ROW()-3,$JW$4:$JW$40,0)))</f>
        <v/>
      </c>
      <c r="JY37">
        <f>IF(COUNTIF('Live Search'!BM$36:CM$36,0)+COUNTIF('Live Search'!CO$36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JZ37">
        <f>IF($EO$37="",FALSE,SUMPRODUCT(('Final Calculation Sheet'!$AA$4:$AA$40=$EO$37)*($JY$6:$JY$42=1))&gt;0)</f>
        <v/>
      </c>
      <c r="KA37">
        <f>$KA$36+--($JZ37)</f>
        <v/>
      </c>
      <c r="KB37">
        <f>IF(ROW()-3&gt;MAX($KA$4:$KA$40),"",INDEX($EO$4:$EO$40,MATCH(ROW()-3,$KA$4:$KA$40,0)))</f>
        <v/>
      </c>
      <c r="KC37">
        <f>IF(COUNTIF('Live Search'!BM$36:CN$36,0)+COUNTIF('Live Search'!CP$36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D37">
        <f>IF($ET$37="",FALSE,SUMPRODUCT(('Final Calculation Sheet'!$AB$4:$AB$40=$ET$37)*($KC$6:$KC$42=1))&gt;0)</f>
        <v/>
      </c>
      <c r="KE37">
        <f>$KE$36+--($KD37)</f>
        <v/>
      </c>
      <c r="KF37">
        <f>IF(ROW()-3&gt;MAX($KE$4:$KE$40),"",INDEX($ET$4:$ET$40,MATCH(ROW()-3,$KE$4:$KE$40,0)))</f>
        <v/>
      </c>
      <c r="KG37">
        <f>IF(COUNTIF('Live Search'!BM$36:CO$36,0)+COUNTIF('Live Search'!CQ$36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H37">
        <f>IF($EY$37="",FALSE,SUMPRODUCT(('Final Calculation Sheet'!$AC$4:$AC$40=$EY$37)*($KG$6:$KG$42=1))&gt;0)</f>
        <v/>
      </c>
      <c r="KI37">
        <f>$KI$36+--($KH37)</f>
        <v/>
      </c>
      <c r="KJ37">
        <f>IF(ROW()-3&gt;MAX($KI$4:$KI$40),"",INDEX($EY$4:$EY$40,MATCH(ROW()-3,$KI$4:$KI$40,0)))</f>
        <v/>
      </c>
      <c r="KK37">
        <f>IF(COUNTIF('Live Search'!BM$36:CP$36,0)+COUNTIF('Live Search'!CR$36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L37">
        <f>IF($FD$37="",FALSE,SUMPRODUCT(('Final Calculation Sheet'!$AD$4:$AD$40=$FD$37)*($KK$6:$KK$42=1))&gt;0)</f>
        <v/>
      </c>
      <c r="KM37">
        <f>$KM$36+--($KL37)</f>
        <v/>
      </c>
      <c r="KN37">
        <f>IF(ROW()-3&gt;MAX($KM$4:$KM$40),"",INDEX($FD$4:$FD$40,MATCH(ROW()-3,$KM$4:$KM$40,0)))</f>
        <v/>
      </c>
      <c r="KO37">
        <f>IF(COUNTIF('Live Search'!BM$36:CT$36,0)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P37">
        <f>IF($FX$37="",FALSE,SUMPRODUCT((IF('Final Calculation Sheet'!$AD$4:$AD$40&lt;=5,"SETTLED","OUTSTANDING")=$FX$37)*($KO$6:$KO$42=1))&gt;0)</f>
        <v/>
      </c>
      <c r="KQ37">
        <f>$KQ$36+--($KP37)</f>
        <v/>
      </c>
      <c r="KR37">
        <f>IF(ROW()-3&gt;MAX($KQ$4:$KQ$40),"",INDEX($FX$4:$FX$40,MATCH(ROW()-3,$KQ$4:$KQ$40,0)))</f>
        <v/>
      </c>
      <c r="KS37">
        <f>IF(COUNTIF('Live Search'!BM$36:CQ$36,0)+COUNTIF('Live Search'!CS$36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T37">
        <f>IF($FI$37="",FALSE,SUMPRODUCT(('Final Calculation Sheet'!$AF$4:$AF$40=$FI$37)*($KS$6:$KS$42=1))&gt;0)</f>
        <v/>
      </c>
      <c r="KU37">
        <f>$KU$36+--($KT37)</f>
        <v/>
      </c>
      <c r="KV37">
        <f>IF(ROW()-3&gt;MAX($KU$4:$KU$40),"",INDEX($FI$4:$FI$40,MATCH(ROW()-3,$KU$4:$KU$40,0)))</f>
        <v/>
      </c>
      <c r="KW37">
        <f>IF(COUNTIF('Live Search'!BM$36:CR$36,0)+COUNTIF('Live Search'!CT$36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KX37">
        <f>IF($FN$37="",FALSE,SUMPRODUCT(('Final Calculation Sheet'!$AG$4:$AG$40=$FN$37)*($KW$6:$KW$42=1))&gt;0)</f>
        <v/>
      </c>
      <c r="KY37">
        <f>$KY$36+--($KX37)</f>
        <v/>
      </c>
      <c r="KZ37">
        <f>IF(ROW()-3&gt;MAX($KY$4:$KY$40),"",INDEX($FN$4:$FN$40,MATCH(ROW()-3,$KY$4:$KY$40,0)))</f>
        <v/>
      </c>
      <c r="LA37">
        <f>IF(COUNTIF('Live Search'!BM$36:CS$36,0)+COUNTIF('Live Search'!CU$36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LB37">
        <f>IF($FS$37="",FALSE,SUMPRODUCT(('Final Calculation Sheet'!$AH$4:$AH$40=$FS$37)*($LA$6:$LA$42=1))&gt;0)</f>
        <v/>
      </c>
      <c r="LC37">
        <f>$LC$36+--($LB37)</f>
        <v/>
      </c>
      <c r="LD37">
        <f>IF(ROW()-3&gt;MAX($LC$4:$LC$40),"",INDEX($FS$4:$FS$40,MATCH(ROW()-3,$LC$4:$LC$40,0)))</f>
        <v/>
      </c>
      <c r="LE37">
        <f>IF(COUNTIF('Buyer Groups'!DH90:EN90,0)&gt;0,0,1)</f>
        <v/>
      </c>
      <c r="LF37">
        <f>IF($O$37="",FALSE,SUMPRODUCT(('Final Calculation Sheet'!$F$4:$F$40=$O$37)*($LE$6:$LE$42=1))&gt;0)</f>
        <v/>
      </c>
      <c r="LG37">
        <f>$LG$36+--($LF37)</f>
        <v/>
      </c>
      <c r="LH37">
        <f>IF(ROW()-3&gt;MAX($LG$4:$LG$40),"",INDEX($O$4:$O$40,MATCH(ROW()-3,$LG$4:$LG$40,0)))</f>
        <v/>
      </c>
      <c r="LI37">
        <f>IF(COUNTIF('Buyer Groups'!DG90:DG90,0)+COUNTIF('Buyer Groups'!DI90:EN90,0)&gt;0,0,1)</f>
        <v/>
      </c>
      <c r="LJ37">
        <f>IF($T$37="",FALSE,SUMPRODUCT(('Final Calculation Sheet'!$G$4:$G$40=$T$37)*($LI$6:$LI$42=1))&gt;0)</f>
        <v/>
      </c>
      <c r="LK37">
        <f>$LK$36+--($LJ37)</f>
        <v/>
      </c>
      <c r="LL37">
        <f>IF(ROW()-3&gt;MAX($LK$4:$LK$40),"",INDEX($T$4:$T$40,MATCH(ROW()-3,$LK$4:$LK$40,0)))</f>
        <v/>
      </c>
      <c r="LM37">
        <f>IF(COUNTIF('Buyer Groups'!DG90:DH90,0)+COUNTIF('Buyer Groups'!DJ90:EN90,0)&gt;0,0,1)</f>
        <v/>
      </c>
      <c r="LN37">
        <f>IF($Y$37="",FALSE,SUMPRODUCT(('Final Calculation Sheet'!$B$4:$B$40=$Y$37)*($LM$6:$LM$42=1))&gt;0)</f>
        <v/>
      </c>
      <c r="LO37">
        <f>$LO$36+--($LN37)</f>
        <v/>
      </c>
      <c r="LP37">
        <f>IF(ROW()-3&gt;MAX($LO$4:$LO$40),"",INDEX($Y$4:$Y$40,MATCH(ROW()-3,$LO$4:$LO$40,0)))</f>
        <v/>
      </c>
      <c r="LQ37">
        <f>IF(COUNTIF('Buyer Groups'!DG90:DI90,0)+COUNTIF('Buyer Groups'!DK90:EN90,0)&gt;0,0,1)</f>
        <v/>
      </c>
      <c r="LR37">
        <f>IF($AD$37="",FALSE,SUMPRODUCT(('Final Calculation Sheet'!$D$4:$D$40=$AD$37)*($LQ$6:$LQ$42=1))&gt;0)</f>
        <v/>
      </c>
      <c r="LS37">
        <f>$LS$36+--($LR37)</f>
        <v/>
      </c>
      <c r="LT37">
        <f>IF(ROW()-3&gt;MAX($LS$4:$LS$40),"",INDEX($AD$4:$AD$40,MATCH(ROW()-3,$LS$4:$LS$40,0)))</f>
        <v/>
      </c>
      <c r="LU37">
        <f>IF(COUNTIF('Buyer Groups'!DG90:DJ90,0)+COUNTIF('Buyer Groups'!DL90:EN90,0)&gt;0,0,1)</f>
        <v/>
      </c>
      <c r="LV37">
        <f>IF($AI$37="",FALSE,SUMPRODUCT(('Final Calculation Sheet'!$A$4:$A$40=$AI$37)*($LU$6:$LU$42=1))&gt;0)</f>
        <v/>
      </c>
      <c r="LW37">
        <f>$LW$36+--($LV37)</f>
        <v/>
      </c>
      <c r="LX37">
        <f>IF(ROW()-3&gt;MAX($LW$4:$LW$40),"",INDEX($AI$4:$AI$40,MATCH(ROW()-3,$LW$4:$LW$40,0)))</f>
        <v/>
      </c>
      <c r="LY37">
        <f>IF(COUNTIF('Buyer Groups'!DG90:DK90,0)+COUNTIF('Buyer Groups'!DM90:EN90,0)&gt;0,0,1)</f>
        <v/>
      </c>
      <c r="LZ37">
        <f>IF($AN$37="",FALSE,SUMPRODUCT(('Final Calculation Sheet'!$E$4:$E$40=$AN$37)*($LY$6:$LY$42=1))&gt;0)</f>
        <v/>
      </c>
      <c r="MA37">
        <f>$MA$36+--($LZ37)</f>
        <v/>
      </c>
      <c r="MB37">
        <f>IF(ROW()-3&gt;MAX($MA$4:$MA$40),"",INDEX($AN$4:$AN$40,MATCH(ROW()-3,$MA$4:$MA$40,0)))</f>
        <v/>
      </c>
      <c r="MC37">
        <f>IF(COUNTIF('Buyer Groups'!DG90:DL90,0)+COUNTIF('Buyer Groups'!DN90:EN90,0)&gt;0,0,1)</f>
        <v/>
      </c>
      <c r="MD37">
        <f>IF($AS$37="",FALSE,SUMPRODUCT(('Final Calculation Sheet'!$C$4:$C$40=$AS$37)*($MC$6:$MC$42=1))&gt;0)</f>
        <v/>
      </c>
      <c r="ME37">
        <f>$ME$36+--($MD37)</f>
        <v/>
      </c>
      <c r="MF37">
        <f>IF(ROW()-3&gt;MAX($ME$4:$ME$40),"",INDEX($AS$4:$AS$40,MATCH(ROW()-3,$ME$4:$ME$40,0)))</f>
        <v/>
      </c>
      <c r="MG37">
        <f>IF(COUNTIF('Buyer Groups'!DG90:DM90,0)+COUNTIF('Buyer Groups'!DO90:EN90,0)&gt;0,0,1)</f>
        <v/>
      </c>
      <c r="MH37">
        <f>IF($AX$37="",FALSE,SUMPRODUCT(('Final Calculation Sheet'!$H$4:$H$40=$AX$37)*($MG$6:$MG$42=1))&gt;0)</f>
        <v/>
      </c>
      <c r="MI37">
        <f>$MI$36+--($MH37)</f>
        <v/>
      </c>
      <c r="MJ37">
        <f>IF(ROW()-3&gt;MAX($MI$4:$MI$40),"",INDEX($AX$4:$AX$40,MATCH(ROW()-3,$MI$4:$MI$40,0)))</f>
        <v/>
      </c>
      <c r="MK37">
        <f>IF(COUNTIF('Buyer Groups'!DG90:DN90,0)+COUNTIF('Buyer Groups'!DP90:EN90,0)&gt;0,0,1)</f>
        <v/>
      </c>
      <c r="ML37">
        <f>IF($BC$37="",FALSE,SUMPRODUCT(('Final Calculation Sheet'!$I$4:$I$40=$BC$37)*($MK$6:$MK$42=1))&gt;0)</f>
        <v/>
      </c>
      <c r="MM37">
        <f>$MM$36+--($ML37)</f>
        <v/>
      </c>
      <c r="MN37">
        <f>IF(ROW()-3&gt;MAX($MM$4:$MM$40),"",INDEX($BC$4:$BC$40,MATCH(ROW()-3,$MM$4:$MM$40,0)))</f>
        <v/>
      </c>
      <c r="MO37">
        <f>IF(COUNTIF('Buyer Groups'!DG90:DO90,0)+COUNTIF('Buyer Groups'!DQ90:EN90,0)&gt;0,0,1)</f>
        <v/>
      </c>
      <c r="MP37">
        <f>IF($BH$37="",FALSE,SUMPRODUCT(('Final Calculation Sheet'!$J$4:$J$40=$BH$37)*($MO$6:$MO$42=1))&gt;0)</f>
        <v/>
      </c>
      <c r="MQ37">
        <f>$MQ$36+--($MP37)</f>
        <v/>
      </c>
      <c r="MR37">
        <f>IF(ROW()-3&gt;MAX($MQ$4:$MQ$40),"",INDEX($BH$4:$BH$40,MATCH(ROW()-3,$MQ$4:$MQ$40,0)))</f>
        <v/>
      </c>
      <c r="MS37">
        <f>IF(COUNTIF('Buyer Groups'!DG90:DP90,0)+COUNTIF('Buyer Groups'!DR90:EN90,0)&gt;0,0,1)</f>
        <v/>
      </c>
      <c r="MT37">
        <f>IF($BM$37="",FALSE,SUMPRODUCT(('Final Calculation Sheet'!$K$4:$K$40=$BM$37)*($MS$6:$MS$42=1))&gt;0)</f>
        <v/>
      </c>
      <c r="MU37">
        <f>$MU$36+--($MT37)</f>
        <v/>
      </c>
      <c r="MV37">
        <f>IF(ROW()-3&gt;MAX($MU$4:$MU$40),"",INDEX($BM$4:$BM$40,MATCH(ROW()-3,$MU$4:$MU$40,0)))</f>
        <v/>
      </c>
      <c r="MW37">
        <f>IF(COUNTIF('Buyer Groups'!DG90:DQ90,0)+COUNTIF('Buyer Groups'!DS90:EN90,0)&gt;0,0,1)</f>
        <v/>
      </c>
      <c r="MX37">
        <f>IF($BR$37="",FALSE,SUMPRODUCT(('Final Calculation Sheet'!$L$4:$L$40=$BR$37)*($MW$6:$MW$42=1))&gt;0)</f>
        <v/>
      </c>
      <c r="MY37">
        <f>$MY$36+--($MX37)</f>
        <v/>
      </c>
      <c r="MZ37">
        <f>IF(ROW()-3&gt;MAX($MY$4:$MY$40),"",INDEX($BR$4:$BR$40,MATCH(ROW()-3,$MY$4:$MY$40,0)))</f>
        <v/>
      </c>
      <c r="NA37">
        <f>IF(COUNTIF('Buyer Groups'!DG90:DR90,0)+COUNTIF('Buyer Groups'!DT90:EN90,0)&gt;0,0,1)</f>
        <v/>
      </c>
      <c r="NB37">
        <f>IF($BW$37="",FALSE,SUMPRODUCT(('Final Calculation Sheet'!$M$4:$M$40=$BW$37)*($NA$6:$NA$42=1))&gt;0)</f>
        <v/>
      </c>
      <c r="NC37">
        <f>$NC$36+--($NB37)</f>
        <v/>
      </c>
      <c r="ND37">
        <f>IF(ROW()-3&gt;MAX($NC$4:$NC$40),"",INDEX($BW$4:$BW$40,MATCH(ROW()-3,$NC$4:$NC$40,0)))</f>
        <v/>
      </c>
      <c r="NE37">
        <f>IF(COUNTIF('Buyer Groups'!DG90:DS90,0)+COUNTIF('Buyer Groups'!DU90:EN90,0)&gt;0,0,1)</f>
        <v/>
      </c>
      <c r="NF37">
        <f>IF($CB$37="",FALSE,SUMPRODUCT(('Final Calculation Sheet'!$N$4:$N$40=$CB$37)*($NE$6:$NE$42=1))&gt;0)</f>
        <v/>
      </c>
      <c r="NG37">
        <f>$NG$36+--($NF37)</f>
        <v/>
      </c>
      <c r="NH37">
        <f>IF(ROW()-3&gt;MAX($NG$4:$NG$40),"",INDEX($CB$4:$CB$40,MATCH(ROW()-3,$NG$4:$NG$40,0)))</f>
        <v/>
      </c>
      <c r="NI37">
        <f>IF(COUNTIF('Buyer Groups'!DG90:DT90,0)+COUNTIF('Buyer Groups'!DV90:EN90,0)&gt;0,0,1)</f>
        <v/>
      </c>
      <c r="NJ37">
        <f>IF($CG$37="",FALSE,SUMPRODUCT(('Final Calculation Sheet'!$O$4:$O$40=$CG$37)*($NI$6:$NI$42=1))&gt;0)</f>
        <v/>
      </c>
      <c r="NK37">
        <f>$NK$36+--($NJ37)</f>
        <v/>
      </c>
      <c r="NL37">
        <f>IF(ROW()-3&gt;MAX($NK$4:$NK$40),"",INDEX($CG$4:$CG$40,MATCH(ROW()-3,$NK$4:$NK$40,0)))</f>
        <v/>
      </c>
      <c r="NM37">
        <f>IF(COUNTIF('Buyer Groups'!DG90:DU90,0)+COUNTIF('Buyer Groups'!DW90:EN90,0)&gt;0,0,1)</f>
        <v/>
      </c>
      <c r="NN37">
        <f>IF($CL$37="",FALSE,SUMPRODUCT(('Final Calculation Sheet'!$P$4:$P$40=$CL$37)*($NM$6:$NM$42=1))&gt;0)</f>
        <v/>
      </c>
      <c r="NO37">
        <f>$NO$36+--($NN37)</f>
        <v/>
      </c>
      <c r="NP37">
        <f>IF(ROW()-3&gt;MAX($NO$4:$NO$40),"",INDEX($CL$4:$CL$40,MATCH(ROW()-3,$NO$4:$NO$40,0)))</f>
        <v/>
      </c>
      <c r="NQ37">
        <f>IF(COUNTIF('Buyer Groups'!DG90:DV90,0)+COUNTIF('Buyer Groups'!DX90:EN90,0)&gt;0,0,1)</f>
        <v/>
      </c>
      <c r="NR37">
        <f>IF($CQ$37="",FALSE,SUMPRODUCT(('Final Calculation Sheet'!$Q$4:$Q$40=$CQ$37)*($NQ$6:$NQ$42=1))&gt;0)</f>
        <v/>
      </c>
      <c r="NS37">
        <f>$NS$36+--($NR37)</f>
        <v/>
      </c>
      <c r="NT37">
        <f>IF(ROW()-3&gt;MAX($NS$4:$NS$40),"",INDEX($CQ$4:$CQ$40,MATCH(ROW()-3,$NS$4:$NS$40,0)))</f>
        <v/>
      </c>
      <c r="NU37">
        <f>IF(COUNTIF('Buyer Groups'!DG90:DW90,0)+COUNTIF('Buyer Groups'!DY90:EN90,0)&gt;0,0,1)</f>
        <v/>
      </c>
      <c r="NV37">
        <f>IF($CV$37="",FALSE,SUMPRODUCT(('Final Calculation Sheet'!$R$4:$R$40=$CV$37)*($NU$6:$NU$42=1))&gt;0)</f>
        <v/>
      </c>
      <c r="NW37">
        <f>$NW$36+--($NV37)</f>
        <v/>
      </c>
      <c r="NX37">
        <f>IF(ROW()-3&gt;MAX($NW$4:$NW$40),"",INDEX($CV$4:$CV$40,MATCH(ROW()-3,$NW$4:$NW$40,0)))</f>
        <v/>
      </c>
      <c r="NY37">
        <f>IF(COUNTIF('Buyer Groups'!DG90:DX90,0)+COUNTIF('Buyer Groups'!DZ90:EN90,0)&gt;0,0,1)</f>
        <v/>
      </c>
      <c r="NZ37">
        <f>IF($DA$37="",FALSE,SUMPRODUCT(('Final Calculation Sheet'!$S$4:$S$40=$DA$37)*($NY$6:$NY$42=1))&gt;0)</f>
        <v/>
      </c>
      <c r="OA37">
        <f>$OA$36+--($NZ37)</f>
        <v/>
      </c>
      <c r="OB37">
        <f>IF(ROW()-3&gt;MAX($OA$4:$OA$40),"",INDEX($DA$4:$DA$40,MATCH(ROW()-3,$OA$4:$OA$40,0)))</f>
        <v/>
      </c>
      <c r="OC37">
        <f>IF(COUNTIF('Buyer Groups'!DG90:DY90,0)+COUNTIF('Buyer Groups'!EA90:EN90,0)&gt;0,0,1)</f>
        <v/>
      </c>
      <c r="OD37">
        <f>IF($DF$37="",FALSE,SUMPRODUCT(('Final Calculation Sheet'!$T$4:$T$40=$DF$37)*($OC$6:$OC$42=1))&gt;0)</f>
        <v/>
      </c>
      <c r="OE37">
        <f>$OE$36+--($OD37)</f>
        <v/>
      </c>
      <c r="OF37">
        <f>IF(ROW()-3&gt;MAX($OE$4:$OE$40),"",INDEX($DF$4:$DF$40,MATCH(ROW()-3,$OE$4:$OE$40,0)))</f>
        <v/>
      </c>
      <c r="OG37">
        <f>IF(COUNTIF('Buyer Groups'!DG90:DZ90,0)+COUNTIF('Buyer Groups'!EB90:EN90,0)&gt;0,0,1)</f>
        <v/>
      </c>
      <c r="OH37">
        <f>IF($DK$37="",FALSE,SUMPRODUCT(('Final Calculation Sheet'!$U$4:$U$40=$DK$37)*($OG$6:$OG$42=1))&gt;0)</f>
        <v/>
      </c>
      <c r="OI37">
        <f>$OI$36+--($OH37)</f>
        <v/>
      </c>
      <c r="OJ37">
        <f>IF(ROW()-3&gt;MAX($OI$4:$OI$40),"",INDEX($DK$4:$DK$40,MATCH(ROW()-3,$OI$4:$OI$40,0)))</f>
        <v/>
      </c>
      <c r="OK37">
        <f>IF(COUNTIF('Buyer Groups'!DG90:EA90,0)+COUNTIF('Buyer Groups'!EC90:EN90,0)&gt;0,0,1)</f>
        <v/>
      </c>
      <c r="OL37">
        <f>IF($DP$37="",FALSE,SUMPRODUCT(('Final Calculation Sheet'!$V$4:$V$40=$DP$37)*($OK$6:$OK$42=1))&gt;0)</f>
        <v/>
      </c>
      <c r="OM37">
        <f>$OM$36+--($OL37)</f>
        <v/>
      </c>
      <c r="ON37">
        <f>IF(ROW()-3&gt;MAX($OM$4:$OM$40),"",INDEX($DP$4:$DP$40,MATCH(ROW()-3,$OM$4:$OM$40,0)))</f>
        <v/>
      </c>
      <c r="OO37">
        <f>IF(COUNTIF('Buyer Groups'!DG90:EB90,0)+COUNTIF('Buyer Groups'!ED90:EN90,0)&gt;0,0,1)</f>
        <v/>
      </c>
      <c r="OP37">
        <f>IF($DU$37="",FALSE,SUMPRODUCT(('Final Calculation Sheet'!$W$4:$W$40=$DU$37)*($OO$6:$OO$42=1))&gt;0)</f>
        <v/>
      </c>
      <c r="OQ37">
        <f>$OQ$36+--($OP37)</f>
        <v/>
      </c>
      <c r="OR37">
        <f>IF(ROW()-3&gt;MAX($OQ$4:$OQ$40),"",INDEX($DU$4:$DU$40,MATCH(ROW()-3,$OQ$4:$OQ$40,0)))</f>
        <v/>
      </c>
      <c r="OS37">
        <f>IF(COUNTIF('Buyer Groups'!DG90:EC90,0)+COUNTIF('Buyer Groups'!EE90:EN90,0)&gt;0,0,1)</f>
        <v/>
      </c>
      <c r="OT37">
        <f>IF($DZ$37="",FALSE,SUMPRODUCT(('Final Calculation Sheet'!$X$4:$X$40=$DZ$37)*($OS$6:$OS$42=1))&gt;0)</f>
        <v/>
      </c>
      <c r="OU37">
        <f>$OU$36+--($OT37)</f>
        <v/>
      </c>
      <c r="OV37">
        <f>IF(ROW()-3&gt;MAX($OU$4:$OU$40),"",INDEX($DZ$4:$DZ$40,MATCH(ROW()-3,$OU$4:$OU$40,0)))</f>
        <v/>
      </c>
      <c r="OW37">
        <f>IF(COUNTIF('Buyer Groups'!DG90:ED90,0)+COUNTIF('Buyer Groups'!EF90:EN90,0)&gt;0,0,1)</f>
        <v/>
      </c>
      <c r="OX37">
        <f>IF($EE$37="",FALSE,SUMPRODUCT(('Final Calculation Sheet'!$Y$4:$Y$40=$EE$37)*($OW$6:$OW$42=1))&gt;0)</f>
        <v/>
      </c>
      <c r="OY37">
        <f>$OY$36+--($OX37)</f>
        <v/>
      </c>
      <c r="OZ37">
        <f>IF(ROW()-3&gt;MAX($OY$4:$OY$40),"",INDEX($EE$4:$EE$40,MATCH(ROW()-3,$OY$4:$OY$40,0)))</f>
        <v/>
      </c>
      <c r="PA37">
        <f>IF(COUNTIF('Buyer Groups'!DG90:EE90,0)+COUNTIF('Buyer Groups'!EG90:EN90,0)&gt;0,0,1)</f>
        <v/>
      </c>
      <c r="PB37">
        <f>IF($EJ$37="",FALSE,SUMPRODUCT(('Final Calculation Sheet'!$Z$4:$Z$40=$EJ$37)*($PA$6:$PA$42=1))&gt;0)</f>
        <v/>
      </c>
      <c r="PC37">
        <f>$PC$36+--($PB37)</f>
        <v/>
      </c>
      <c r="PD37">
        <f>IF(ROW()-3&gt;MAX($PC$4:$PC$40),"",INDEX($EJ$4:$EJ$40,MATCH(ROW()-3,$PC$4:$PC$40,0)))</f>
        <v/>
      </c>
      <c r="PE37">
        <f>IF(COUNTIF('Buyer Groups'!DG90:EF90,0)+COUNTIF('Buyer Groups'!EH90:EN90,0)&gt;0,0,1)</f>
        <v/>
      </c>
      <c r="PF37">
        <f>IF($EO$37="",FALSE,SUMPRODUCT(('Final Calculation Sheet'!$AA$4:$AA$40=$EO$37)*($PE$6:$PE$42=1))&gt;0)</f>
        <v/>
      </c>
      <c r="PG37">
        <f>$PG$36+--($PF37)</f>
        <v/>
      </c>
      <c r="PH37">
        <f>IF(ROW()-3&gt;MAX($PG$4:$PG$40),"",INDEX($EO$4:$EO$40,MATCH(ROW()-3,$PG$4:$PG$40,0)))</f>
        <v/>
      </c>
      <c r="PI37">
        <f>IF(COUNTIF('Buyer Groups'!DG90:EG90,0)+COUNTIF('Buyer Groups'!EI90:EN90,0)&gt;0,0,1)</f>
        <v/>
      </c>
      <c r="PJ37">
        <f>IF($ET$37="",FALSE,SUMPRODUCT(('Final Calculation Sheet'!$AB$4:$AB$40=$ET$37)*($PI$6:$PI$42=1))&gt;0)</f>
        <v/>
      </c>
      <c r="PK37">
        <f>$PK$36+--($PJ37)</f>
        <v/>
      </c>
      <c r="PL37">
        <f>IF(ROW()-3&gt;MAX($PK$4:$PK$40),"",INDEX($ET$4:$ET$40,MATCH(ROW()-3,$PK$4:$PK$40,0)))</f>
        <v/>
      </c>
      <c r="PM37">
        <f>IF(COUNTIF('Buyer Groups'!DG90:EH90,0)+COUNTIF('Buyer Groups'!EJ90:EN90,0)&gt;0,0,1)</f>
        <v/>
      </c>
      <c r="PN37">
        <f>IF($EY$37="",FALSE,SUMPRODUCT(('Final Calculation Sheet'!$AC$4:$AC$40=$EY$37)*($PM$6:$PM$42=1))&gt;0)</f>
        <v/>
      </c>
      <c r="PO37">
        <f>$PO$36+--($PN37)</f>
        <v/>
      </c>
      <c r="PP37">
        <f>IF(ROW()-3&gt;MAX($PO$4:$PO$40),"",INDEX($EY$4:$EY$40,MATCH(ROW()-3,$PO$4:$PO$40,0)))</f>
        <v/>
      </c>
      <c r="PQ37">
        <f>IF(COUNTIF('Buyer Groups'!DG90:EI90,0)+COUNTIF('Buyer Groups'!EK90:EN90,0)&gt;0,0,1)</f>
        <v/>
      </c>
      <c r="PR37">
        <f>IF($FD$37="",FALSE,SUMPRODUCT(('Final Calculation Sheet'!$AD$4:$AD$40=$FD$37)*($PQ$6:$PQ$42=1))&gt;0)</f>
        <v/>
      </c>
      <c r="PS37">
        <f>$PS$36+--($PR37)</f>
        <v/>
      </c>
      <c r="PT37">
        <f>IF(ROW()-3&gt;MAX($PS$4:$PS$40),"",INDEX($FD$4:$FD$40,MATCH(ROW()-3,$PS$4:$PS$40,0)))</f>
        <v/>
      </c>
      <c r="PU37">
        <f>IF(COUNTIF('Buyer Groups'!DG90:EJ90,0)+COUNTIF('Buyer Groups'!EL90:EN90,0)&gt;0,0,1)</f>
        <v/>
      </c>
      <c r="PV37">
        <f>IF($FX$37="",FALSE,SUMPRODUCT((IF('Final Calculation Sheet'!$AD$4:$AD$40&lt;=5,"SETTLED","OUTSTANDING")=$FX$37)*($PU$6:$PU$42=1))&gt;0)</f>
        <v/>
      </c>
      <c r="PW37">
        <f>$PW$36+--($PV37)</f>
        <v/>
      </c>
      <c r="PX37">
        <f>IF(ROW()-3&gt;MAX($PW$4:$PW$40),"",INDEX($FX$4:$FX$40,MATCH(ROW()-3,$PW$4:$PW$40,0)))</f>
        <v/>
      </c>
      <c r="PY37">
        <f>IF(COUNTIF('Buyer Groups'!DG90:EK90,0)+COUNTIF('Buyer Groups'!EM90:EN90,0)&gt;0,0,1)</f>
        <v/>
      </c>
      <c r="PZ37">
        <f>IF($FI$37="",FALSE,SUMPRODUCT(('Final Calculation Sheet'!$AF$4:$AF$40=$FI$37)*($PY$6:$PY$42=1))&gt;0)</f>
        <v/>
      </c>
      <c r="QA37">
        <f>$QA$36+--($PZ37)</f>
        <v/>
      </c>
      <c r="QB37">
        <f>IF(ROW()-3&gt;MAX($QA$4:$QA$40),"",INDEX($FI$4:$FI$40,MATCH(ROW()-3,$QA$4:$QA$40,0)))</f>
        <v/>
      </c>
      <c r="QC37">
        <f>IF(COUNTIF('Buyer Groups'!DG90:EL90,0)+COUNTIF('Buyer Groups'!EN90:EN90,0)&gt;0,0,1)</f>
        <v/>
      </c>
      <c r="QD37">
        <f>IF($FN$37="",FALSE,SUMPRODUCT(('Final Calculation Sheet'!$AG$4:$AG$40=$FN$37)*($QC$6:$QC$42=1))&gt;0)</f>
        <v/>
      </c>
      <c r="QE37">
        <f>$QE$36+--($QD37)</f>
        <v/>
      </c>
      <c r="QF37">
        <f>IF(ROW()-3&gt;MAX($QE$4:$QE$40),"",INDEX($FN$4:$FN$40,MATCH(ROW()-3,$QE$4:$QE$40,0)))</f>
        <v/>
      </c>
      <c r="QG37">
        <f>IF(COUNTIF('Buyer Groups'!DG90:EM90,0)&gt;0,0,1)</f>
        <v/>
      </c>
      <c r="QH37">
        <f>IF($FS$37="",FALSE,SUMPRODUCT(('Final Calculation Sheet'!$AH$4:$AH$40=$FS$37)*($QG$6:$QG$42=1))&gt;0)</f>
        <v/>
      </c>
      <c r="QI37">
        <f>$QI$36+--($QH37)</f>
        <v/>
      </c>
      <c r="QJ37">
        <f>IF(ROW()-3&gt;MAX($QI$4:$QI$40),"",INDEX($FS$4:$FS$40,MATCH(ROW()-3,$QI$4:$QI$40,0)))</f>
        <v/>
      </c>
      <c r="QK37" t="str">
        <f>IF('Final Calculation Sheet'!$AH$37="","",'Final Calculation Sheet'!$AH$37)</f>
      </c>
      <c r="QL37" t="str">
        <f>IF(QK37="","",COUNTIFS(QK$4:QK$40,"&lt;"&amp;QK37,QK$4:QK$40,"&lt;&gt;"&amp;"")+COUNTIF(QK$4:QK37,QK37))</f>
      </c>
      <c r="QM37" t="str">
        <f>IF(ROW()-3&gt;COUNTIF(QK$4:QK$40,"&lt;&gt;"&amp;""),"",INDEX(QK$4:QK$40,MATCH(ROW()-3,QL$4:QL$40,0)))</f>
      </c>
      <c r="QN37" t="str">
        <f>=QN36+F(AND(QM37&lt;&gt;"",COUNTIF(QM$4:QM37,QM37)=1),1,0)</f>
      </c>
      <c r="QO37" t="str">
        <f>IF(ROW()-3&gt;MAX(QN$4:QN$40),"",INDEX(QM$4:QM$40,MATCH(ROW()-3,QN$4:QN$40,0)))</f>
      </c>
      <c r="QP37" t="str">
        <f>IF(COUNTIF('Final Calculation Sheet'!$AM37:$BS37,0)&gt;0,0,1)</f>
      </c>
      <c r="QQ37" t="str">
        <f>IF($AI$37="",FALSE,SUMPRODUCT(('Final Calculation Sheet'!$A$4:$A$40=$AI$37)*($QP$4:$QP$40=1))&gt;0)</f>
      </c>
      <c r="QR37" t="str">
        <f>=$QR36+--($QQ37)</f>
      </c>
      <c r="QS37" t="str">
        <f>IF(ROW()-3&gt;MAX($QR$4:$QR$40),"",INDEX($AI$4:$AI$40,MATCH(ROW()-3,$QR$4:$QR$40,0)))</f>
      </c>
      <c r="QT37" t="str">
        <f>IF(COUNTIF('Final Calculation Sheet'!$AL37:$AL37,0)+COUNTIF('Final Calculation Sheet'!$AN37:$BS37,0)&gt;0,0,1)</f>
      </c>
      <c r="QU37" t="str">
        <f>IF($Y$37="",FALSE,SUMPRODUCT(('Final Calculation Sheet'!$B$4:$B$40=$Y$37)*($QT$4:$QT$40=1))&gt;0)</f>
      </c>
      <c r="QV37" t="str">
        <f>=$QV36+--($QU37)</f>
      </c>
      <c r="QW37" t="str">
        <f>IF(ROW()-3&gt;MAX($QV$4:$QV$40),"",INDEX($Y$4:$Y$40,MATCH(ROW()-3,$QV$4:$QV$40,0)))</f>
      </c>
      <c r="QX37" t="str">
        <f>IF(COUNTIF('Final Calculation Sheet'!$AL37:$AM37,0)+COUNTIF('Final Calculation Sheet'!$AO37:$BS37,0)&gt;0,0,1)</f>
      </c>
      <c r="QY37" t="str">
        <f>IF($AS$37="",FALSE,SUMPRODUCT(('Final Calculation Sheet'!$C$4:$C$40=$AS$37)*($QX$4:$QX$40=1))&gt;0)</f>
      </c>
      <c r="QZ37" t="str">
        <f>=$QZ36+--($QY37)</f>
      </c>
      <c r="RA37" t="str">
        <f>IF(ROW()-3&gt;MAX($QZ$4:$QZ$40),"",INDEX($AS$4:$AS$40,MATCH(ROW()-3,$QZ$4:$QZ$40,0)))</f>
      </c>
      <c r="RB37" t="str">
        <f>IF(COUNTIF('Final Calculation Sheet'!$AL37:$AN37,0)+COUNTIF('Final Calculation Sheet'!$AP37:$BS37,0)&gt;0,0,1)</f>
      </c>
      <c r="RC37" t="str">
        <f>IF($AD$37="",FALSE,SUMPRODUCT(('Final Calculation Sheet'!$D$4:$D$40=$AD$37)*($RB$4:$RB$40=1))&gt;0)</f>
      </c>
      <c r="RD37" t="str">
        <f>=$RD36+--($RC37)</f>
      </c>
      <c r="RE37" t="str">
        <f>IF(ROW()-3&gt;MAX($RD$4:$RD$40),"",INDEX($AD$4:$AD$40,MATCH(ROW()-3,$RD$4:$RD$40,0)))</f>
      </c>
      <c r="RF37" t="str">
        <f>IF(COUNTIF('Final Calculation Sheet'!$AL37:$AO37,0)+COUNTIF('Final Calculation Sheet'!$AQ37:$BS37,0)&gt;0,0,1)</f>
      </c>
      <c r="RG37" t="str">
        <f>IF($AN$37="",FALSE,SUMPRODUCT(('Final Calculation Sheet'!$E$4:$E$40=$AN$37)*($RF$4:$RF$40=1))&gt;0)</f>
      </c>
      <c r="RH37" t="str">
        <f>=$RH36+--($RG37)</f>
      </c>
      <c r="RI37" t="str">
        <f>IF(ROW()-3&gt;MAX($RH$4:$RH$40),"",INDEX($AN$4:$AN$40,MATCH(ROW()-3,$RH$4:$RH$40,0)))</f>
      </c>
      <c r="RJ37" t="str">
        <f>IF(COUNTIF('Final Calculation Sheet'!$AL37:$AP37,0)+COUNTIF('Final Calculation Sheet'!$AR37:$BS37,0)&gt;0,0,1)</f>
      </c>
      <c r="RK37" t="str">
        <f>IF($O$37="",FALSE,SUMPRODUCT(('Final Calculation Sheet'!$F$4:$F$40=$O$37)*($RJ$4:$RJ$40=1))&gt;0)</f>
      </c>
      <c r="RL37" t="str">
        <f>=$RL36+--($RK37)</f>
      </c>
      <c r="RM37" t="str">
        <f>IF(ROW()-3&gt;MAX($RL$4:$RL$40),"",INDEX($O$4:$O$40,MATCH(ROW()-3,$RL$4:$RL$40,0)))</f>
      </c>
      <c r="RN37" t="str">
        <f>IF(COUNTIF('Final Calculation Sheet'!$AL37:$AQ37,0)+COUNTIF('Final Calculation Sheet'!$AS37:$BS37,0)&gt;0,0,1)</f>
      </c>
      <c r="RO37" t="str">
        <f>IF($T$37="",FALSE,SUMPRODUCT(('Final Calculation Sheet'!$G$4:$G$40=$T$37)*($RN$4:$RN$40=1))&gt;0)</f>
      </c>
      <c r="RP37" t="str">
        <f>=$RP36+--($RO37)</f>
      </c>
      <c r="RQ37" t="str">
        <f>IF(ROW()-3&gt;MAX($RP$4:$RP$40),"",INDEX($T$4:$T$40,MATCH(ROW()-3,$RP$4:$RP$40,0)))</f>
      </c>
      <c r="RR37" t="str">
        <f>IF(COUNTIF('Final Calculation Sheet'!$AL37:$AR37,0)+COUNTIF('Final Calculation Sheet'!$AT37:$BS37,0)&gt;0,0,1)</f>
      </c>
      <c r="RS37" t="str">
        <f>IF($AX$37="",FALSE,SUMPRODUCT(('Final Calculation Sheet'!$H$4:$H$40=$AX$37)*($RR$4:$RR$40=1))&gt;0)</f>
      </c>
      <c r="RT37" t="str">
        <f>=$RT36+--($RS37)</f>
      </c>
      <c r="RU37" t="str">
        <f>IF(ROW()-3&gt;MAX($RT$4:$RT$40),"",INDEX($AX$4:$AX$40,MATCH(ROW()-3,$RT$4:$RT$40,0)))</f>
      </c>
      <c r="RV37" t="str">
        <f>IF(COUNTIF('Final Calculation Sheet'!$AL37:$AS37,0)+COUNTIF('Final Calculation Sheet'!$AU37:$BS37,0)&gt;0,0,1)</f>
      </c>
      <c r="RW37" t="str">
        <f>IF($BC$37="",FALSE,SUMPRODUCT(('Final Calculation Sheet'!$I$4:$I$40=$BC$37)*($RV$4:$RV$40=1))&gt;0)</f>
      </c>
      <c r="RX37" t="str">
        <f>=$RX36+--($RW37)</f>
      </c>
      <c r="RY37" t="str">
        <f>IF(ROW()-3&gt;MAX($RX$4:$RX$40),"",INDEX($BC$4:$BC$40,MATCH(ROW()-3,$RX$4:$RX$40,0)))</f>
      </c>
      <c r="RZ37" t="str">
        <f>IF(COUNTIF('Final Calculation Sheet'!$AL37:$AT37,0)+COUNTIF('Final Calculation Sheet'!$AV37:$BS37,0)&gt;0,0,1)</f>
      </c>
      <c r="SA37" t="str">
        <f>IF($BH$37="",FALSE,SUMPRODUCT(('Final Calculation Sheet'!$J$4:$J$40=$BH$37)*($RZ$4:$RZ$40=1))&gt;0)</f>
      </c>
      <c r="SB37" t="str">
        <f>=$SB36+--($SA37)</f>
      </c>
      <c r="SC37" t="str">
        <f>IF(ROW()-3&gt;MAX($SB$4:$SB$40),"",INDEX($BH$4:$BH$40,MATCH(ROW()-3,$SB$4:$SB$40,0)))</f>
      </c>
      <c r="SD37" t="str">
        <f>IF(COUNTIF('Final Calculation Sheet'!$AL37:$AU37,0)+COUNTIF('Final Calculation Sheet'!$AW37:$BS37,0)&gt;0,0,1)</f>
      </c>
      <c r="SE37" t="str">
        <f>IF($BM$37="",FALSE,SUMPRODUCT(('Final Calculation Sheet'!$K$4:$K$40=$BM$37)*($SD$4:$SD$40=1))&gt;0)</f>
      </c>
      <c r="SF37" t="str">
        <f>=$SF36+--($SE37)</f>
      </c>
      <c r="SG37" t="str">
        <f>IF(ROW()-3&gt;MAX($SF$4:$SF$40),"",INDEX($BM$4:$BM$40,MATCH(ROW()-3,$SF$4:$SF$40,0)))</f>
      </c>
      <c r="SH37" t="str">
        <f>IF(COUNTIF('Final Calculation Sheet'!$AL37:$AV37,0)+COUNTIF('Final Calculation Sheet'!$AX37:$BS37,0)&gt;0,0,1)</f>
      </c>
      <c r="SI37" t="str">
        <f>IF($BR$37="",FALSE,SUMPRODUCT(('Final Calculation Sheet'!$L$4:$L$40=$BR$37)*($SH$4:$SH$40=1))&gt;0)</f>
      </c>
      <c r="SJ37" t="str">
        <f>=$SJ36+--($SI37)</f>
      </c>
      <c r="SK37" t="str">
        <f>IF(ROW()-3&gt;MAX($SJ$4:$SJ$40),"",INDEX($BR$4:$BR$40,MATCH(ROW()-3,$SJ$4:$SJ$40,0)))</f>
      </c>
      <c r="SL37" t="str">
        <f>IF(COUNTIF('Final Calculation Sheet'!$AL37:$AW37,0)+COUNTIF('Final Calculation Sheet'!$AY37:$BS37,0)&gt;0,0,1)</f>
      </c>
      <c r="SM37" t="str">
        <f>IF($BW$37="",FALSE,SUMPRODUCT(('Final Calculation Sheet'!$M$4:$M$40=$BW$37)*($SL$4:$SL$40=1))&gt;0)</f>
      </c>
      <c r="SN37" t="str">
        <f>=$SN36+--($SM37)</f>
      </c>
      <c r="SO37" t="str">
        <f>IF(ROW()-3&gt;MAX($SN$4:$SN$40),"",INDEX($BW$4:$BW$40,MATCH(ROW()-3,$SN$4:$SN$40,0)))</f>
      </c>
      <c r="SP37" t="str">
        <f>IF(COUNTIF('Final Calculation Sheet'!$AL37:$AX37,0)+COUNTIF('Final Calculation Sheet'!$AZ37:$BS37,0)&gt;0,0,1)</f>
      </c>
      <c r="SQ37" t="str">
        <f>IF($CB$37="",FALSE,SUMPRODUCT(('Final Calculation Sheet'!$N$4:$N$40=$CB$37)*($SP$4:$SP$40=1))&gt;0)</f>
      </c>
      <c r="SR37" t="str">
        <f>=$SR36+--($SQ37)</f>
      </c>
      <c r="SS37" t="str">
        <f>IF(ROW()-3&gt;MAX($SR$4:$SR$40),"",INDEX($CB$4:$CB$40,MATCH(ROW()-3,$SR$4:$SR$40,0)))</f>
      </c>
      <c r="ST37" t="str">
        <f>IF(COUNTIF('Final Calculation Sheet'!$AL37:$AY37,0)+COUNTIF('Final Calculation Sheet'!$BA37:$BS37,0)&gt;0,0,1)</f>
      </c>
      <c r="SU37" t="str">
        <f>IF($CG$37="",FALSE,SUMPRODUCT(('Final Calculation Sheet'!$O$4:$O$40=$CG$37)*($ST$4:$ST$40=1))&gt;0)</f>
      </c>
      <c r="SV37" t="str">
        <f>=$SV36+--($SU37)</f>
      </c>
      <c r="SW37" t="str">
        <f>IF(ROW()-3&gt;MAX($SV$4:$SV$40),"",INDEX($CG$4:$CG$40,MATCH(ROW()-3,$SV$4:$SV$40,0)))</f>
      </c>
      <c r="SX37" t="str">
        <f>IF(COUNTIF('Final Calculation Sheet'!$AL37:$AZ37,0)+COUNTIF('Final Calculation Sheet'!$BB37:$BS37,0)&gt;0,0,1)</f>
      </c>
      <c r="SY37" t="str">
        <f>IF($CL$37="",FALSE,SUMPRODUCT(('Final Calculation Sheet'!$P$4:$P$40=$CL$37)*($SX$4:$SX$40=1))&gt;0)</f>
      </c>
      <c r="SZ37" t="str">
        <f>=$SZ36+--($SY37)</f>
      </c>
      <c r="TA37" t="str">
        <f>IF(ROW()-3&gt;MAX($SZ$4:$SZ$40),"",INDEX($CL$4:$CL$40,MATCH(ROW()-3,$SZ$4:$SZ$40,0)))</f>
      </c>
      <c r="TB37" t="str">
        <f>IF(COUNTIF('Final Calculation Sheet'!$AL37:$BA37,0)+COUNTIF('Final Calculation Sheet'!$BC37:$BS37,0)&gt;0,0,1)</f>
      </c>
      <c r="TC37" t="str">
        <f>IF($CQ$37="",FALSE,SUMPRODUCT(('Final Calculation Sheet'!$Q$4:$Q$40=$CQ$37)*($TB$4:$TB$40=1))&gt;0)</f>
      </c>
      <c r="TD37" t="str">
        <f>=$TD36+--($TC37)</f>
      </c>
      <c r="TE37" t="str">
        <f>IF(ROW()-3&gt;MAX($TD$4:$TD$40),"",INDEX($CQ$4:$CQ$40,MATCH(ROW()-3,$TD$4:$TD$40,0)))</f>
      </c>
      <c r="TF37" t="str">
        <f>IF(COUNTIF('Final Calculation Sheet'!$AL37:$BB37,0)+COUNTIF('Final Calculation Sheet'!$BD37:$BS37,0)&gt;0,0,1)</f>
      </c>
      <c r="TG37" t="str">
        <f>IF($CV$37="",FALSE,SUMPRODUCT(('Final Calculation Sheet'!$R$4:$R$40=$CV$37)*($TF$4:$TF$40=1))&gt;0)</f>
      </c>
      <c r="TH37" t="str">
        <f>=$TH36+--($TG37)</f>
      </c>
      <c r="TI37" t="str">
        <f>IF(ROW()-3&gt;MAX($TH$4:$TH$40),"",INDEX($CV$4:$CV$40,MATCH(ROW()-3,$TH$4:$TH$40,0)))</f>
      </c>
      <c r="TJ37" t="str">
        <f>IF(COUNTIF('Final Calculation Sheet'!$AL37:$BC37,0)+COUNTIF('Final Calculation Sheet'!$BE37:$BS37,0)&gt;0,0,1)</f>
      </c>
      <c r="TK37" t="str">
        <f>IF($DA$37="",FALSE,SUMPRODUCT(('Final Calculation Sheet'!$S$4:$S$40=$DA$37)*($TJ$4:$TJ$40=1))&gt;0)</f>
      </c>
      <c r="TL37" t="str">
        <f>=$TL36+--($TK37)</f>
      </c>
      <c r="TM37" t="str">
        <f>IF(ROW()-3&gt;MAX($TL$4:$TL$40),"",INDEX($DA$4:$DA$40,MATCH(ROW()-3,$TL$4:$TL$40,0)))</f>
      </c>
      <c r="TN37" t="str">
        <f>IF(COUNTIF('Final Calculation Sheet'!$AL37:$BD37,0)+COUNTIF('Final Calculation Sheet'!$BF37:$BS37,0)&gt;0,0,1)</f>
      </c>
      <c r="TO37" t="str">
        <f>IF($DF$37="",FALSE,SUMPRODUCT(('Final Calculation Sheet'!$T$4:$T$40=$DF$37)*($TN$4:$TN$40=1))&gt;0)</f>
      </c>
      <c r="TP37" t="str">
        <f>=$TP36+--($TO37)</f>
      </c>
      <c r="TQ37" t="str">
        <f>IF(ROW()-3&gt;MAX($TP$4:$TP$40),"",INDEX($DF$4:$DF$40,MATCH(ROW()-3,$TP$4:$TP$40,0)))</f>
      </c>
      <c r="TR37" t="str">
        <f>IF(COUNTIF('Final Calculation Sheet'!$AL37:$BE37,0)+COUNTIF('Final Calculation Sheet'!$BG37:$BS37,0)&gt;0,0,1)</f>
      </c>
      <c r="TS37" t="str">
        <f>IF($DK$37="",FALSE,SUMPRODUCT(('Final Calculation Sheet'!$U$4:$U$40=$DK$37)*($TR$4:$TR$40=1))&gt;0)</f>
      </c>
      <c r="TT37" t="str">
        <f>=$TT36+--($TS37)</f>
      </c>
      <c r="TU37" t="str">
        <f>IF(ROW()-3&gt;MAX($TT$4:$TT$40),"",INDEX($DK$4:$DK$40,MATCH(ROW()-3,$TT$4:$TT$40,0)))</f>
      </c>
      <c r="TV37" t="str">
        <f>IF(COUNTIF('Final Calculation Sheet'!$AL37:$BF37,0)+COUNTIF('Final Calculation Sheet'!$BH37:$BS37,0)&gt;0,0,1)</f>
      </c>
      <c r="TW37" t="str">
        <f>IF($DP$37="",FALSE,SUMPRODUCT(('Final Calculation Sheet'!$V$4:$V$40=$DP$37)*($TV$4:$TV$40=1))&gt;0)</f>
      </c>
      <c r="TX37" t="str">
        <f>=$TX36+--($TW37)</f>
      </c>
      <c r="TY37" t="str">
        <f>IF(ROW()-3&gt;MAX($TX$4:$TX$40),"",INDEX($DP$4:$DP$40,MATCH(ROW()-3,$TX$4:$TX$40,0)))</f>
      </c>
      <c r="TZ37" t="str">
        <f>IF(COUNTIF('Final Calculation Sheet'!$AL37:$BG37,0)+COUNTIF('Final Calculation Sheet'!$BI37:$BS37,0)&gt;0,0,1)</f>
      </c>
      <c r="UA37" t="str">
        <f>IF($DU$37="",FALSE,SUMPRODUCT(('Final Calculation Sheet'!$W$4:$W$40=$DU$37)*($TZ$4:$TZ$40=1))&gt;0)</f>
      </c>
      <c r="UB37" t="str">
        <f>=$UB36+--($UA37)</f>
      </c>
      <c r="UC37" t="str">
        <f>IF(ROW()-3&gt;MAX($UB$4:$UB$40),"",INDEX($DU$4:$DU$40,MATCH(ROW()-3,$UB$4:$UB$40,0)))</f>
      </c>
      <c r="UD37" t="str">
        <f>IF(COUNTIF('Final Calculation Sheet'!$AL37:$BH37,0)+COUNTIF('Final Calculation Sheet'!$BJ37:$BS37,0)&gt;0,0,1)</f>
      </c>
      <c r="UE37" t="str">
        <f>IF($DZ$37="",FALSE,SUMPRODUCT(('Final Calculation Sheet'!$X$4:$X$40=$DZ$37)*($UD$4:$UD$40=1))&gt;0)</f>
      </c>
      <c r="UF37" t="str">
        <f>=$UF36+--($UE37)</f>
      </c>
      <c r="UG37" t="str">
        <f>IF(ROW()-3&gt;MAX($UF$4:$UF$40),"",INDEX($DZ$4:$DZ$40,MATCH(ROW()-3,$UF$4:$UF$40,0)))</f>
      </c>
      <c r="UH37" t="str">
        <f>IF(COUNTIF('Final Calculation Sheet'!$AL37:$BI37,0)+COUNTIF('Final Calculation Sheet'!$BK37:$BS37,0)&gt;0,0,1)</f>
      </c>
      <c r="UI37" t="str">
        <f>IF($EE$37="",FALSE,SUMPRODUCT(('Final Calculation Sheet'!$Y$4:$Y$40=$EE$37)*($UH$4:$UH$40=1))&gt;0)</f>
      </c>
      <c r="UJ37" t="str">
        <f>=$UJ36+--($UI37)</f>
      </c>
      <c r="UK37" t="str">
        <f>IF(ROW()-3&gt;MAX($UJ$4:$UJ$40),"",INDEX($EE$4:$EE$40,MATCH(ROW()-3,$UJ$4:$UJ$40,0)))</f>
      </c>
      <c r="UL37" t="str">
        <f>IF(COUNTIF('Final Calculation Sheet'!$AL37:$BJ37,0)+COUNTIF('Final Calculation Sheet'!$BL37:$BS37,0)&gt;0,0,1)</f>
      </c>
      <c r="UM37" t="str">
        <f>IF($EJ$37="",FALSE,SUMPRODUCT(('Final Calculation Sheet'!$Z$4:$Z$40=$EJ$37)*($UL$4:$UL$40=1))&gt;0)</f>
      </c>
      <c r="UN37" t="str">
        <f>=$UN36+--($UM37)</f>
      </c>
      <c r="UO37" t="str">
        <f>IF(ROW()-3&gt;MAX($UN$4:$UN$40),"",INDEX($EJ$4:$EJ$40,MATCH(ROW()-3,$UN$4:$UN$40,0)))</f>
      </c>
      <c r="UP37" t="str">
        <f>IF(COUNTIF('Final Calculation Sheet'!$AL37:$BK37,0)+COUNTIF('Final Calculation Sheet'!$BM37:$BS37,0)&gt;0,0,1)</f>
      </c>
      <c r="UQ37" t="str">
        <f>IF($EO$37="",FALSE,SUMPRODUCT(('Final Calculation Sheet'!$AA$4:$AA$40=$EO$37)*($UP$4:$UP$40=1))&gt;0)</f>
      </c>
      <c r="UR37" t="str">
        <f>=$UR36+--($UQ37)</f>
      </c>
      <c r="US37" t="str">
        <f>IF(ROW()-3&gt;MAX($UR$4:$UR$40),"",INDEX($EO$4:$EO$40,MATCH(ROW()-3,$UR$4:$UR$40,0)))</f>
      </c>
      <c r="UT37" t="str">
        <f>IF(COUNTIF('Final Calculation Sheet'!$AL37:$BL37,0)+COUNTIF('Final Calculation Sheet'!$BN37:$BS37,0)&gt;0,0,1)</f>
      </c>
      <c r="UU37" t="str">
        <f>IF($ET$37="",FALSE,SUMPRODUCT(('Final Calculation Sheet'!$AB$4:$AB$40=$ET$37)*($UT$4:$UT$40=1))&gt;0)</f>
      </c>
      <c r="UV37" t="str">
        <f>=$UV36+--($UU37)</f>
      </c>
      <c r="UW37" t="str">
        <f>IF(ROW()-3&gt;MAX($UV$4:$UV$40),"",INDEX($ET$4:$ET$40,MATCH(ROW()-3,$UV$4:$UV$40,0)))</f>
      </c>
      <c r="UX37" t="str">
        <f>IF(COUNTIF('Final Calculation Sheet'!$AL37:$BM37,0)+COUNTIF('Final Calculation Sheet'!$BO37:$BS37,0)&gt;0,0,1)</f>
      </c>
      <c r="UY37" t="str">
        <f>IF($EY$37="",FALSE,SUMPRODUCT(('Final Calculation Sheet'!$AC$4:$AC$40=$EY$37)*($UX$4:$UX$40=1))&gt;0)</f>
      </c>
      <c r="UZ37" t="str">
        <f>=$UZ36+--($UY37)</f>
      </c>
      <c r="VA37" t="str">
        <f>IF(ROW()-3&gt;MAX($UZ$4:$UZ$40),"",INDEX($EY$4:$EY$40,MATCH(ROW()-3,$UZ$4:$UZ$40,0)))</f>
      </c>
      <c r="VB37" t="str">
        <f>IF(COUNTIF('Final Calculation Sheet'!$AL37:$BN37,0)+COUNTIF('Final Calculation Sheet'!$BP37:$BS37,0)&gt;0,0,1)</f>
      </c>
      <c r="VC37" t="str">
        <f>IF($FD$37="",FALSE,SUMPRODUCT(('Final Calculation Sheet'!$AD$4:$AD$40=$FD$37)*($VB$4:$VB$40=1))&gt;0)</f>
      </c>
      <c r="VD37" t="str">
        <f>=$VD36+--($VC37)</f>
      </c>
      <c r="VE37" t="str">
        <f>IF(ROW()-3&gt;MAX($VD$4:$VD$40),"",INDEX($FD$4:$FD$40,MATCH(ROW()-3,$VD$4:$VD$40,0)))</f>
      </c>
      <c r="VF37" t="str">
        <f>IF(COUNTIF('Final Calculation Sheet'!$AL37:$BO37,0)+COUNTIF('Final Calculation Sheet'!$BQ37:$BS37,0)&gt;0,0,1)</f>
      </c>
      <c r="VG37" t="str">
        <f>IF($FI$37="",FALSE,SUMPRODUCT(('Final Calculation Sheet'!$AE$4:$AE$40=$FI$37)*($VF$4:$VF$40=1))&gt;0)</f>
      </c>
      <c r="VH37" t="str">
        <f>=$VH36+--($VG37)</f>
      </c>
      <c r="VI37" t="str">
        <f>IF(ROW()-3&gt;MAX($VH$4:$VH$40),"",INDEX($FI$4:$FI$40,MATCH(ROW()-3,$VH$4:$VH$40,0)))</f>
      </c>
      <c r="VJ37" t="str">
        <f>IF(COUNTIF('Final Calculation Sheet'!$AL37:$BP37,0)+COUNTIF('Final Calculation Sheet'!$BR37:$BS37,0)&gt;0,0,1)</f>
      </c>
      <c r="VK37" t="str">
        <f>IF($FN$37="",FALSE,SUMPRODUCT(('Final Calculation Sheet'!$AF$4:$AF$40=$FN$37)*($VJ$4:$VJ$40=1))&gt;0)</f>
      </c>
      <c r="VL37" t="str">
        <f>=$VL36+--($VK37)</f>
      </c>
      <c r="VM37" t="str">
        <f>IF(ROW()-3&gt;MAX($VL$4:$VL$40),"",INDEX($FN$4:$FN$40,MATCH(ROW()-3,$VL$4:$VL$40,0)))</f>
      </c>
      <c r="VN37" t="str">
        <f>IF(COUNTIF('Final Calculation Sheet'!$AL37:$BQ37,0)+COUNTIF('Final Calculation Sheet'!$BS37:$BS37,0)&gt;0,0,1)</f>
      </c>
      <c r="VO37" t="str">
        <f>IF($FS$37="",FALSE,SUMPRODUCT(('Final Calculation Sheet'!$AG$4:$AG$40=$FS$37)*($VN$4:$VN$40=1))&gt;0)</f>
      </c>
      <c r="VP37" t="str">
        <f>=$VP36+--($VO37)</f>
      </c>
      <c r="VQ37" t="str">
        <f>IF(ROW()-3&gt;MAX($VP$4:$VP$40),"",INDEX($FS$4:$FS$40,MATCH(ROW()-3,$VP$4:$VP$40,0)))</f>
      </c>
      <c r="VR37" t="str">
        <f>IF(COUNTIF('Final Calculation Sheet'!$AL37:$BR37,0)&gt;0,0,1)</f>
      </c>
      <c r="VS37" t="str">
        <f>IF($QO$37="",FALSE,SUMPRODUCT(('Final Calculation Sheet'!$AH$4:$AH$40=$QO$37)*($VR$4:$VR$40=1))&gt;0)</f>
      </c>
      <c r="VT37" t="str">
        <f>=$VT36+--($VS37)</f>
      </c>
      <c r="VU37" t="str">
        <f>IF(ROW()-3&gt;MAX($VT$4:$VT$40),"",INDEX($QO$4:$QO$40,MATCH(ROW()-3,$VT$4:$VT$40,0)))</f>
      </c>
    </row>
    <row r="38">
      <c r="A38">
        <f>IF(IFERROR('Final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IF(IFERROR('Final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s="55">
        <f>IF('Final Calculation Sheet'!$C$38="","",'Final Calculation Sheet'!$C$38)</f>
        <v/>
      </c>
      <c r="AP38">
        <f>IF(AO38="","",COUNTIFS(AO$4:AO$40,"&lt;"&amp;AO38,AO$4:AO$40,"&lt;&gt;"&amp;"")+COUNTIF(AO$4:AO38,AO38))</f>
        <v/>
      </c>
      <c r="AQ38" s="55">
        <f>IF(ROW()-3&gt;COUNTIF(AO$4:AO$40,"&lt;&gt;"&amp;""),"",INDEX(AO$4:AO$40,MATCH(ROW()-3,AP$4:AP$40,0)))</f>
        <v/>
      </c>
      <c r="AR38">
        <f>AR37+IF(AND(AQ38&lt;&gt;"",COUNTIF(AQ$4:AQ38,AQ38)=1),1,0)</f>
        <v/>
      </c>
      <c r="AS38" s="55">
        <f>IF(ROW()-3&gt;MAX(AR$4:AR$40),"",INDEX(AQ$4:AQ$40,MATCH(ROW()-3,AR$4:AR$40,0)))</f>
        <v/>
      </c>
      <c r="AT38" s="55">
        <f>IF('Final Calculation Sheet'!$H$38="","",'Final Calculation Sheet'!$H$38)</f>
        <v/>
      </c>
      <c r="AU38">
        <f>IF(AT38="","",COUNTIFS(AT$4:AT$40,"&lt;"&amp;AT38,AT$4:AT$40,"&lt;&gt;"&amp;"")+COUNTIF(AT$4:AT38,AT38))</f>
        <v/>
      </c>
      <c r="AV38" s="55">
        <f>IF(ROW()-3&gt;COUNTIF(AT$4:AT$40,"&lt;&gt;"&amp;""),"",INDEX(AT$4:AT$40,MATCH(ROW()-3,AU$4:AU$40,0)))</f>
        <v/>
      </c>
      <c r="AW38">
        <f>AW37+IF(AND(AV38&lt;&gt;"",COUNTIF(AV$4:AV38,AV38)=1),1,0)</f>
        <v/>
      </c>
      <c r="AX38" s="55">
        <f>IF(ROW()-3&gt;MAX(AW$4:AW$40),"",INDEX(AV$4:AV$40,MATCH(ROW()-3,AW$4:AW$40,0)))</f>
        <v/>
      </c>
      <c r="AY38" s="55">
        <f>IF('Final Calculation Sheet'!$I$38="","",'Final Calculation Sheet'!$I$38)</f>
        <v/>
      </c>
      <c r="AZ38">
        <f>IF(AY38="","",COUNTIFS(AY$4:AY$40,"&lt;"&amp;AY38,AY$4:AY$40,"&lt;&gt;"&amp;"")+COUNTIF(AY$4:AY38,AY38))</f>
        <v/>
      </c>
      <c r="BA38" s="55">
        <f>IF(ROW()-3&gt;COUNTIF(AY$4:AY$40,"&lt;&gt;"&amp;""),"",INDEX(AY$4:AY$40,MATCH(ROW()-3,AZ$4:AZ$40,0)))</f>
        <v/>
      </c>
      <c r="BB38">
        <f>BB37+IF(AND(BA38&lt;&gt;"",COUNTIF(BA$4:BA38,BA38)=1),1,0)</f>
        <v/>
      </c>
      <c r="BC38" s="55">
        <f>IF(ROW()-3&gt;MAX(BB$4:BB$40),"",INDEX(BA$4:BA$40,MATCH(ROW()-3,BB$4:BB$40,0)))</f>
        <v/>
      </c>
      <c r="BD38" s="55">
        <f>IF('Final Calculation Sheet'!$J$38="","",'Final Calculation Sheet'!$J$38)</f>
        <v/>
      </c>
      <c r="BE38">
        <f>IF(BD38="","",COUNTIFS(BD$4:BD$40,"&lt;"&amp;BD38,BD$4:BD$40,"&lt;&gt;"&amp;"")+COUNTIF(BD$4:BD38,BD38))</f>
        <v/>
      </c>
      <c r="BF38" s="55">
        <f>IF(ROW()-3&gt;COUNTIF(BD$4:BD$40,"&lt;&gt;"&amp;""),"",INDEX(BD$4:BD$40,MATCH(ROW()-3,BE$4:BE$40,0)))</f>
        <v/>
      </c>
      <c r="BG38">
        <f>BG37+IF(AND(BF38&lt;&gt;"",COUNTIF(BF$4:BF38,BF38)=1),1,0)</f>
        <v/>
      </c>
      <c r="BH38" s="55">
        <f>IF(ROW()-3&gt;MAX(BG$4:BG$40),"",INDEX(BF$4:BF$40,MATCH(ROW()-3,BG$4:BG$40,0)))</f>
        <v/>
      </c>
      <c r="BI38" s="55">
        <f>IF('Final Calculation Sheet'!$K$38="","",'Final Calculation Sheet'!$K$38)</f>
        <v/>
      </c>
      <c r="BJ38">
        <f>IF(BI38="","",COUNTIFS(BI$4:BI$40,"&lt;"&amp;BI38,BI$4:BI$40,"&lt;&gt;"&amp;"")+COUNTIF(BI$4:BI38,BI38))</f>
        <v/>
      </c>
      <c r="BK38" s="55">
        <f>IF(ROW()-3&gt;COUNTIF(BI$4:BI$40,"&lt;&gt;"&amp;""),"",INDEX(BI$4:BI$40,MATCH(ROW()-3,BJ$4:BJ$40,0)))</f>
        <v/>
      </c>
      <c r="BL38">
        <f>BL37+IF(AND(BK38&lt;&gt;"",COUNTIF(BK$4:BK38,BK38)=1),1,0)</f>
        <v/>
      </c>
      <c r="BM38" s="55">
        <f>IF(ROW()-3&gt;MAX(BL$4:BL$40),"",INDEX(BK$4:BK$40,MATCH(ROW()-3,BL$4:BL$40,0)))</f>
        <v/>
      </c>
      <c r="BN38" s="55">
        <f>IF('Final Calculation Sheet'!$L$38="","",'Final Calculation Sheet'!$L$38)</f>
        <v/>
      </c>
      <c r="BO38">
        <f>IF(BN38="","",COUNTIFS(BN$4:BN$40,"&lt;"&amp;BN38,BN$4:BN$40,"&lt;&gt;"&amp;"")+COUNTIF(BN$4:BN38,BN38))</f>
        <v/>
      </c>
      <c r="BP38" s="55">
        <f>IF(ROW()-3&gt;COUNTIF(BN$4:BN$40,"&lt;&gt;"&amp;""),"",INDEX(BN$4:BN$40,MATCH(ROW()-3,BO$4:BO$40,0)))</f>
        <v/>
      </c>
      <c r="BQ38">
        <f>BQ37+IF(AND(BP38&lt;&gt;"",COUNTIF(BP$4:BP38,BP38)=1),1,0)</f>
        <v/>
      </c>
      <c r="BR38" s="55">
        <f>IF(ROW()-3&gt;MAX(BQ$4:BQ$40),"",INDEX(BP$4:BP$40,MATCH(ROW()-3,BQ$4:BQ$40,0)))</f>
        <v/>
      </c>
      <c r="BS38" s="55">
        <f>IF('Final Calculation Sheet'!$M$38="","",'Final Calculation Sheet'!$M$38)</f>
        <v/>
      </c>
      <c r="BT38">
        <f>IF(BS38="","",COUNTIFS(BS$4:BS$40,"&lt;"&amp;BS38,BS$4:BS$40,"&lt;&gt;"&amp;"")+COUNTIF(BS$4:BS38,BS38))</f>
        <v/>
      </c>
      <c r="BU38" s="55">
        <f>IF(ROW()-3&gt;COUNTIF(BS$4:BS$40,"&lt;&gt;"&amp;""),"",INDEX(BS$4:BS$40,MATCH(ROW()-3,BT$4:BT$40,0)))</f>
        <v/>
      </c>
      <c r="BV38">
        <f>BV37+IF(AND(BU38&lt;&gt;"",COUNTIF(BU$4:BU38,BU38)=1),1,0)</f>
        <v/>
      </c>
      <c r="BW38" s="55">
        <f>IF(ROW()-3&gt;MAX(BV$4:BV$40),"",INDEX(BU$4:BU$40,MATCH(ROW()-3,BV$4:BV$40,0)))</f>
        <v/>
      </c>
      <c r="BX38" s="138">
        <f>IF('Final Calculation Sheet'!$N$38="","",'Final Calculation Sheet'!$N$38)</f>
        <v/>
      </c>
      <c r="BY38">
        <f>IF(BX38="","",COUNTIFS(BX$4:BX$40,"&lt;"&amp;BX38,BX$4:BX$40,"&lt;&gt;"&amp;"")+COUNTIF(BX$4:BX38,BX38))</f>
        <v/>
      </c>
      <c r="BZ38" s="138">
        <f>IF(ROW()-3&gt;COUNTIF(BX$4:BX$40,"&lt;&gt;"&amp;""),"",INDEX(BX$4:BX$40,MATCH(ROW()-3,BY$4:BY$40,0)))</f>
        <v/>
      </c>
      <c r="CA38">
        <f>CA37+IF(AND(BZ38&lt;&gt;"",COUNTIF(BZ$4:BZ38,BZ38)=1),1,0)</f>
        <v/>
      </c>
      <c r="CB38" s="138">
        <f>IF(ROW()-3&gt;MAX(CA$4:CA$40),"",INDEX(BZ$4:BZ$40,MATCH(ROW()-3,CA$4:CA$40,0)))</f>
        <v/>
      </c>
      <c r="CC38" s="55">
        <f>IF('Final Calculation Sheet'!$O$38="","",'Final Calculation Sheet'!$O$38)</f>
        <v/>
      </c>
      <c r="CD38">
        <f>IF(CC38="","",COUNTIFS(CC$4:CC$40,"&lt;"&amp;CC38,CC$4:CC$40,"&lt;&gt;"&amp;"")+COUNTIF(CC$4:CC38,CC38))</f>
        <v/>
      </c>
      <c r="CE38" s="55">
        <f>IF(ROW()-3&gt;COUNTIF(CC$4:CC$40,"&lt;&gt;"&amp;""),"",INDEX(CC$4:CC$40,MATCH(ROW()-3,CD$4:CD$40,0)))</f>
        <v/>
      </c>
      <c r="CF38">
        <f>CF37+IF(AND(CE38&lt;&gt;"",COUNTIF(CE$4:CE38,CE38)=1),1,0)</f>
        <v/>
      </c>
      <c r="CG38" s="55">
        <f>IF(ROW()-3&gt;MAX(CF$4:CF$40),"",INDEX(CE$4:CE$40,MATCH(ROW()-3,CF$4:CF$40,0)))</f>
        <v/>
      </c>
      <c r="CH38" s="55">
        <f>IF('Final Calculation Sheet'!$P$38="","",'Final Calculation Sheet'!$P$38)</f>
        <v/>
      </c>
      <c r="CI38">
        <f>IF(CH38="","",COUNTIFS(CH$4:CH$40,"&lt;"&amp;CH38,CH$4:CH$40,"&lt;&gt;"&amp;"")+COUNTIF(CH$4:CH38,CH38))</f>
        <v/>
      </c>
      <c r="CJ38" s="55">
        <f>IF(ROW()-3&gt;COUNTIF(CH$4:CH$40,"&lt;&gt;"&amp;""),"",INDEX(CH$4:CH$40,MATCH(ROW()-3,CI$4:CI$40,0)))</f>
        <v/>
      </c>
      <c r="CK38">
        <f>CK37+IF(AND(CJ38&lt;&gt;"",COUNTIF(CJ$4:CJ38,CJ38)=1),1,0)</f>
        <v/>
      </c>
      <c r="CL38" s="55">
        <f>IF(ROW()-3&gt;MAX(CK$4:CK$40),"",INDEX(CJ$4:CJ$40,MATCH(ROW()-3,CK$4:CK$40,0)))</f>
        <v/>
      </c>
      <c r="CM38" s="139">
        <f>IF('Final Calculation Sheet'!$Q$38="","",'Final Calculation Sheet'!$Q$38)</f>
        <v/>
      </c>
      <c r="CN38">
        <f>IF(CM38="","",COUNTIFS(CM$4:CM$40,"&lt;"&amp;CM38,CM$4:CM$40,"&lt;&gt;"&amp;"")+COUNTIF(CM$4:CM38,CM38))</f>
        <v/>
      </c>
      <c r="CO38" s="139">
        <f>IF(ROW()-3&gt;COUNTIF(CM$4:CM$40,"&lt;&gt;"&amp;""),"",INDEX(CM$4:CM$40,MATCH(ROW()-3,CN$4:CN$40,0)))</f>
        <v/>
      </c>
      <c r="CP38">
        <f>CP37+IF(AND(CO38&lt;&gt;"",COUNTIF(CO$4:CO38,CO38)=1),1,0)</f>
        <v/>
      </c>
      <c r="CQ38">
        <f>IF(ROW()-3&gt;MAX(CP$4:CP$40),"",INDEX(CO$4:CO$40,MATCH(ROW()-3,CP$4:CP$40,0)))</f>
        <v/>
      </c>
      <c r="CR38" s="55">
        <f>IF('Final Calculation Sheet'!$R$38="","",'Final Calculation Sheet'!$R$38)</f>
        <v/>
      </c>
      <c r="CS38">
        <f>IF(CR38="","",COUNTIFS(CR$4:CR$40,"&lt;"&amp;CR38,CR$4:CR$40,"&lt;&gt;"&amp;"")+COUNTIF(CR$4:CR38,CR38))</f>
        <v/>
      </c>
      <c r="CT38" s="55">
        <f>IF(ROW()-3&gt;COUNTIF(CR$4:CR$40,"&lt;&gt;"&amp;""),"",INDEX(CR$4:CR$40,MATCH(ROW()-3,CS$4:CS$40,0)))</f>
        <v/>
      </c>
      <c r="CU38">
        <f>CU37+IF(AND(CT38&lt;&gt;"",COUNTIF(CT$4:CT38,CT38)=1),1,0)</f>
        <v/>
      </c>
      <c r="CV38">
        <f>IF(ROW()-3&gt;MAX(CU$4:CU$40),"",INDEX(CT$4:CT$40,MATCH(ROW()-3,CU$4:CU$40,0)))</f>
        <v/>
      </c>
      <c r="CW38" s="55">
        <f>IF('Final Calculation Sheet'!$S$38="","",'Final Calculation Sheet'!$S$38)</f>
        <v/>
      </c>
      <c r="CX38">
        <f>IF(CW38="","",COUNTIFS(CW$4:CW$40,"&lt;"&amp;CW38,CW$4:CW$40,"&lt;&gt;"&amp;"")+COUNTIF(CW$4:CW38,CW38))</f>
        <v/>
      </c>
      <c r="CY38" s="55">
        <f>IF(ROW()-3&gt;COUNTIF(CW$4:CW$40,"&lt;&gt;"&amp;""),"",INDEX(CW$4:CW$40,MATCH(ROW()-3,CX$4:CX$40,0)))</f>
        <v/>
      </c>
      <c r="CZ38">
        <f>CZ37+IF(AND(CY38&lt;&gt;"",COUNTIF(CY$4:CY38,CY38)=1),1,0)</f>
        <v/>
      </c>
      <c r="DA38" s="55">
        <f>IF(ROW()-3&gt;MAX(CZ$4:CZ$40),"",INDEX(CY$4:CY$40,MATCH(ROW()-3,CZ$4:CZ$40,0)))</f>
        <v/>
      </c>
      <c r="DB38" s="55">
        <f>IF('Final Calculation Sheet'!$T$38="","",'Final Calculation Sheet'!$T$38)</f>
        <v/>
      </c>
      <c r="DC38">
        <f>IF(DB38="","",COUNTIFS(DB$4:DB$40,"&lt;"&amp;DB38,DB$4:DB$40,"&lt;&gt;"&amp;"")+COUNTIF(DB$4:DB38,DB38))</f>
        <v/>
      </c>
      <c r="DD38" s="55">
        <f>IF(ROW()-3&gt;COUNTIF(DB$4:DB$40,"&lt;&gt;"&amp;""),"",INDEX(DB$4:DB$40,MATCH(ROW()-3,DC$4:DC$40,0)))</f>
        <v/>
      </c>
      <c r="DE38">
        <f>DE37+IF(AND(DD38&lt;&gt;"",COUNTIF(DD$4:DD38,DD38)=1),1,0)</f>
        <v/>
      </c>
      <c r="DF38" s="55">
        <f>IF(ROW()-3&gt;MAX(DE$4:DE$40),"",INDEX(DD$4:DD$40,MATCH(ROW()-3,DE$4:DE$40,0)))</f>
        <v/>
      </c>
      <c r="DG38" s="140">
        <f>IF('Final Calculation Sheet'!$U$38="","",'Final Calculation Sheet'!$U$38)</f>
        <v/>
      </c>
      <c r="DH38">
        <f>IF(DG38="","",COUNTIFS(DG$4:DG$40,"&lt;"&amp;DG38,DG$4:DG$40,"&lt;&gt;"&amp;"")+COUNTIF(DG$4:DG38,DG38))</f>
        <v/>
      </c>
      <c r="DI38" s="140">
        <f>IF(ROW()-3&gt;COUNTIF(DG$4:DG$40,"&lt;&gt;"&amp;""),"",INDEX(DG$4:DG$40,MATCH(ROW()-3,DH$4:DH$40,0)))</f>
        <v/>
      </c>
      <c r="DJ38">
        <f>DJ37+IF(AND(DI38&lt;&gt;"",COUNTIF(DI$4:DI38,DI38)=1),1,0)</f>
        <v/>
      </c>
      <c r="DK38" s="140">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s="55">
        <f>IF('Final Calculation Sheet'!$W$38="","",'Final Calculation Sheet'!$W$38)</f>
        <v/>
      </c>
      <c r="DR38">
        <f>IF(DQ38="","",COUNTIFS(DQ$4:DQ$40,"&lt;"&amp;DQ38,DQ$4:DQ$40,"&lt;&gt;"&amp;"")+COUNTIF(DQ$4:DQ38,DQ38))</f>
        <v/>
      </c>
      <c r="DS38" s="55">
        <f>IF(ROW()-3&gt;COUNTIF(DQ$4:DQ$40,"&lt;&gt;"&amp;""),"",INDEX(DQ$4:DQ$40,MATCH(ROW()-3,DR$4:DR$40,0)))</f>
        <v/>
      </c>
      <c r="DT38">
        <f>DT37+IF(AND(DS38&lt;&gt;"",COUNTIF(DS$4:DS38,DS38)=1),1,0)</f>
        <v/>
      </c>
      <c r="DU38" s="55">
        <f>IF(ROW()-3&gt;MAX(DT$4:DT$40),"",INDEX(DS$4:DS$40,MATCH(ROW()-3,DT$4:DT$40,0)))</f>
        <v/>
      </c>
      <c r="DV38" s="55">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s="55">
        <f>IF('Final Calculation Sheet'!$Z$38="","",'Final Calculation Sheet'!$Z$38)</f>
        <v/>
      </c>
      <c r="EG38">
        <f>IF(EF38="","",COUNTIFS(EF$4:EF$40,"&lt;"&amp;EF38,EF$4:EF$40,"&lt;&gt;"&amp;"")+COUNTIF(EF$4:EF38,EF38))</f>
        <v/>
      </c>
      <c r="EH38" s="55">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s="55">
        <f>IF('Final Calculation Sheet'!$AC$38="","",'Final Calculation Sheet'!$AC$38)</f>
        <v/>
      </c>
      <c r="EV38">
        <f>IF(EU38="","",COUNTIFS(EU$4:EU$40,"&lt;"&amp;EU38,EU$4:EU$40,"&lt;&gt;"&amp;"")+COUNTIF(EU$4:EU38,EU38))</f>
        <v/>
      </c>
      <c r="EW38" s="55">
        <f>IF(ROW()-3&gt;COUNTIF(EU$4:EU$40,"&lt;&gt;"&amp;""),"",INDEX(EU$4:EU$40,MATCH(ROW()-3,EV$4:EV$40,0)))</f>
        <v/>
      </c>
      <c r="EX38">
        <f>EX37+IF(AND(EW38&lt;&gt;"",COUNTIF(EW$4:EW38,EW38)=1),1,0)</f>
        <v/>
      </c>
      <c r="EY38" s="55">
        <f>IF(ROW()-3&gt;MAX(EX$4:EX$40),"",INDEX(EW$4:EW$40,MATCH(ROW()-3,EX$4:EX$40,0)))</f>
        <v/>
      </c>
      <c r="EZ38" s="55">
        <f>IF('Final Calculation Sheet'!$AD$38="","",'Final Calculation Sheet'!$AD$38)</f>
        <v/>
      </c>
      <c r="FA38">
        <f>IF(EZ38="","",COUNTIFS(EZ$4:EZ$40,"&lt;"&amp;EZ38,EZ$4:EZ$40,"&lt;&gt;"&amp;"")+COUNTIF(EZ$4:EZ38,EZ38))</f>
        <v/>
      </c>
      <c r="FB38" s="55">
        <f>IF(ROW()-3&gt;COUNTIF(EZ$4:EZ$40,"&lt;&gt;"&amp;""),"",INDEX(EZ$4:EZ$40,MATCH(ROW()-3,FA$4:FA$40,0)))</f>
        <v/>
      </c>
      <c r="FC38">
        <f>FC37+IF(AND(FB38&lt;&gt;"",COUNTIF(FB$4:FB38,FB38)=1),1,0)</f>
        <v/>
      </c>
      <c r="FD38">
        <f>IF(ROW()-3&gt;MAX(FC$4:FC$40),"",INDEX(FB$4:FB$40,MATCH(ROW()-3,FC$4:FC$40,0)))</f>
        <v/>
      </c>
      <c r="FE38">
        <f>IF('Final Calculation Sheet'!$AF$38="","",'Final Calculation Sheet'!$AF$38)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s="141">
        <f>IF('Final Calculation Sheet'!$AG$38="","",'Final Calculation Sheet'!$AG$38)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Sheet'!$AH$38="","",'Final Calculation Sheet'!$AH$38)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c r="FY38">
        <f>IF(COUNTIF('Live Search'!BM$37:BO$37,0)+COUNTIF('Live Search'!BQ$37:CU$37,0)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8">
        <f>IF($Y$38="",FALSE,SUMPRODUCT(('Final Calculation Sheet'!$B$4:$B$40=$Y$38)*($FY$6:$FY$42=1))&gt;0)</f>
        <v/>
      </c>
      <c r="GA38">
        <f>$GA$37+--($FZ$38)</f>
        <v/>
      </c>
      <c r="GB38">
        <f>IF(ROW()-3&gt;MAX($GA$4:$GA$40),"",INDEX($Y$4:$Y$40,MATCH(ROW()-3,$GA$4:$GA$40,0)))</f>
        <v/>
      </c>
      <c r="GC38">
        <f>IF(COUNTIF('Live Search'!BM$37:BM$37,0)+COUNTIF('Live Search'!BO$37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D38">
        <f>IF($O$38="",FALSE,SUMPRODUCT(('Final Calculation Sheet'!$F$4:$F$40=$O$38)*($GC$6:$GC$42=1))&gt;0)</f>
        <v/>
      </c>
      <c r="GE38">
        <f>$GE$37+--($GD38)</f>
        <v/>
      </c>
      <c r="GF38">
        <f>IF(ROW()-3&gt;MAX($GE$4:$GE$40),"",INDEX($O$4:$O$40,MATCH(ROW()-3,$GE$4:$GE$40,0)))</f>
        <v/>
      </c>
      <c r="GG38">
        <f>IF(COUNTIF('Live Search'!BM$37:BN$37,0)+COUNTIF('Live Search'!BP$37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H38">
        <f>IF($T$38="",FALSE,SUMPRODUCT(('Final Calculation Sheet'!$G$4:$G$40=$T$38)*($GG$6:$GG$42=1))&gt;0)</f>
        <v/>
      </c>
      <c r="GI38">
        <f>$GI$37+--($GH38)</f>
        <v/>
      </c>
      <c r="GJ38">
        <f>IF(ROW()-3&gt;MAX($GI$4:$GI$40),"",INDEX($T$4:$T$40,MATCH(ROW()-3,$GI$4:$GI$40,0)))</f>
        <v/>
      </c>
      <c r="GK38">
        <f>IF(COUNTIF('Live Search'!BM$37:BP$37,0)+COUNTIF('Live Search'!BR$37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L38">
        <f>IF($AD$38="",FALSE,SUMPRODUCT(('Final Calculation Sheet'!$D$4:$D$40=$AD$38)*($GK$6:$GK$42=1))&gt;0)</f>
        <v/>
      </c>
      <c r="GM38">
        <f>$GM$37+--($GL38)</f>
        <v/>
      </c>
      <c r="GN38">
        <f>IF(ROW()-3&gt;MAX($GM$4:$GM$40),"",INDEX($AD$4:$AD$40,MATCH(ROW()-3,$GM$4:$GM$40,0)))</f>
        <v/>
      </c>
      <c r="GO38">
        <f>IF(COUNTIF('Live Search'!BM$37:BQ$37,0)+COUNTIF('Live Search'!BS$37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P38">
        <f>IF($AI$38="",FALSE,SUMPRODUCT(('Final Calculation Sheet'!$A$4:$A$40=$AI$38)*($GO$6:$GO$42=1))&gt;0)</f>
        <v/>
      </c>
      <c r="GQ38">
        <f>$GQ$37+--($GP38)</f>
        <v/>
      </c>
      <c r="GR38">
        <f>IF(ROW()-3&gt;MAX($GQ$4:$GQ$40),"",INDEX($AI$4:$AI$40,MATCH(ROW()-3,$GQ$4:$GQ$40,0)))</f>
        <v/>
      </c>
      <c r="GS38">
        <f>IF(COUNTIF('Live Search'!BM$37:BR$37,0)+COUNTIF('Live Search'!BT$37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T38">
        <f>IF($AN$38="",FALSE,SUMPRODUCT(('Final Calculation Sheet'!$E$4:$E$40=$AN$38)*($GS$6:$GS$42=1))&gt;0)</f>
        <v/>
      </c>
      <c r="GU38">
        <f>$GU$37+--($GT38)</f>
        <v/>
      </c>
      <c r="GV38">
        <f>IF(ROW()-3&gt;MAX($GU$4:$GU$40),"",INDEX($AN$4:$AN$40,MATCH(ROW()-3,$GU$4:$GU$40,0)))</f>
        <v/>
      </c>
      <c r="GW38">
        <f>IF(COUNTIF('Live Search'!BM$37:BS$37,0)+COUNTIF('Live Search'!BU$37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GX38">
        <f>IF($AS$38="",FALSE,SUMPRODUCT(('Final Calculation Sheet'!$C$4:$C$40=$AS$38)*($GW$6:$GW$42=1))&gt;0)</f>
        <v/>
      </c>
      <c r="GY38">
        <f>$GY$37+--($GX38)</f>
        <v/>
      </c>
      <c r="GZ38">
        <f>IF(ROW()-3&gt;MAX($GY$4:$GY$40),"",INDEX($AS$4:$AS$40,MATCH(ROW()-3,$GY$4:$GY$40,0)))</f>
        <v/>
      </c>
      <c r="HA38">
        <f>IF(COUNTIF('Live Search'!BM$37:BT$37,0)+COUNTIF('Live Search'!BV$37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B38">
        <f>IF($AX$38="",FALSE,SUMPRODUCT(('Final Calculation Sheet'!$H$4:$H$40=$AX$38)*($HA$6:$HA$42=1))&gt;0)</f>
        <v/>
      </c>
      <c r="HC38">
        <f>$HC$37+--($HB38)</f>
        <v/>
      </c>
      <c r="HD38">
        <f>IF(ROW()-3&gt;MAX($HC$4:$HC$40),"",INDEX($AX$4:$AX$40,MATCH(ROW()-3,$HC$4:$HC$40,0)))</f>
        <v/>
      </c>
      <c r="HE38">
        <f>IF(COUNTIF('Live Search'!BM$37:BU$37,0)+COUNTIF('Live Search'!BW$37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F38">
        <f>IF($BC$38="",FALSE,SUMPRODUCT(('Final Calculation Sheet'!$I$4:$I$40=$BC$38)*($HE$6:$HE$42=1))&gt;0)</f>
        <v/>
      </c>
      <c r="HG38">
        <f>$HG$37+--($HF38)</f>
        <v/>
      </c>
      <c r="HH38">
        <f>IF(ROW()-3&gt;MAX($HG$4:$HG$40),"",INDEX($BC$4:$BC$40,MATCH(ROW()-3,$HG$4:$HG$40,0)))</f>
        <v/>
      </c>
      <c r="HI38">
        <f>IF(COUNTIF('Live Search'!BM$37:BV$37,0)+COUNTIF('Live Search'!BX$37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J38">
        <f>IF($BH$38="",FALSE,SUMPRODUCT(('Final Calculation Sheet'!$J$4:$J$40=$BH$38)*($HI$6:$HI$42=1))&gt;0)</f>
        <v/>
      </c>
      <c r="HK38">
        <f>$HK$37+--($HJ38)</f>
        <v/>
      </c>
      <c r="HL38">
        <f>IF(ROW()-3&gt;MAX($HK$4:$HK$40),"",INDEX($BH$4:$BH$40,MATCH(ROW()-3,$HK$4:$HK$40,0)))</f>
        <v/>
      </c>
      <c r="HM38">
        <f>IF(COUNTIF('Live Search'!BM$37:BW$37,0)+COUNTIF('Live Search'!BY$37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N38">
        <f>IF($BM$38="",FALSE,SUMPRODUCT(('Final Calculation Sheet'!$K$4:$K$40=$BM$38)*($HM$6:$HM$42=1))&gt;0)</f>
        <v/>
      </c>
      <c r="HO38">
        <f>$HO$37+--($HN38)</f>
        <v/>
      </c>
      <c r="HP38">
        <f>IF(ROW()-3&gt;MAX($HO$4:$HO$40),"",INDEX($BM$4:$BM$40,MATCH(ROW()-3,$HO$4:$HO$40,0)))</f>
        <v/>
      </c>
      <c r="HQ38">
        <f>IF(COUNTIF('Live Search'!BM$37:BX$37,0)+COUNTIF('Live Search'!BZ$37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R38">
        <f>IF($BR$38="",FALSE,SUMPRODUCT(('Final Calculation Sheet'!$L$4:$L$40=$BR$38)*($HQ$6:$HQ$42=1))&gt;0)</f>
        <v/>
      </c>
      <c r="HS38">
        <f>$HS$37+--($HR38)</f>
        <v/>
      </c>
      <c r="HT38">
        <f>IF(ROW()-3&gt;MAX($HS$4:$HS$40),"",INDEX($BR$4:$BR$40,MATCH(ROW()-3,$HS$4:$HS$40,0)))</f>
        <v/>
      </c>
      <c r="HU38">
        <f>IF(COUNTIF('Live Search'!BM$37:BY$37,0)+COUNTIF('Live Search'!CA$37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V38">
        <f>IF($BW$38="",FALSE,SUMPRODUCT(('Final Calculation Sheet'!$M$4:$M$40=$BW$38)*($HU$6:$HU$42=1))&gt;0)</f>
        <v/>
      </c>
      <c r="HW38">
        <f>$HW$37+--($HV38)</f>
        <v/>
      </c>
      <c r="HX38">
        <f>IF(ROW()-3&gt;MAX($HW$4:$HW$40),"",INDEX($BW$4:$BW$40,MATCH(ROW()-3,$HW$4:$HW$40,0)))</f>
        <v/>
      </c>
      <c r="HY38">
        <f>IF(COUNTIF('Live Search'!BM$37:BZ$37,0)+COUNTIF('Live Search'!CB$37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HZ38">
        <f>IF($CB$38="",FALSE,SUMPRODUCT(('Final Calculation Sheet'!$N$4:$N$40=$CB$38)*($HY$6:$HY$42=1))&gt;0)</f>
        <v/>
      </c>
      <c r="IA38">
        <f>$IA$37+--($HZ38)</f>
        <v/>
      </c>
      <c r="IB38">
        <f>IF(ROW()-3&gt;MAX($IA$4:$IA$40),"",INDEX($CB$4:$CB$40,MATCH(ROW()-3,$IA$4:$IA$40,0)))</f>
        <v/>
      </c>
      <c r="IC38">
        <f>IF(COUNTIF('Live Search'!BM$37:CA$37,0)+COUNTIF('Live Search'!CC$37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D38">
        <f>IF($CG$38="",FALSE,SUMPRODUCT(('Final Calculation Sheet'!$O$4:$O$40=$CG$38)*($IC$6:$IC$42=1))&gt;0)</f>
        <v/>
      </c>
      <c r="IE38">
        <f>$IE$37+--($ID38)</f>
        <v/>
      </c>
      <c r="IF38">
        <f>IF(ROW()-3&gt;MAX($IE$4:$IE$40),"",INDEX($CG$4:$CG$40,MATCH(ROW()-3,$IE$4:$IE$40,0)))</f>
        <v/>
      </c>
      <c r="IG38">
        <f>IF(COUNTIF('Live Search'!BM$37:CB$37,0)+COUNTIF('Live Search'!CD$37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H38">
        <f>IF($CL$38="",FALSE,SUMPRODUCT(('Final Calculation Sheet'!$P$4:$P$40=$CL$38)*($IG$6:$IG$42=1))&gt;0)</f>
        <v/>
      </c>
      <c r="II38">
        <f>$II$37+--($IH38)</f>
        <v/>
      </c>
      <c r="IJ38">
        <f>IF(ROW()-3&gt;MAX($II$4:$II$40),"",INDEX($CL$4:$CL$40,MATCH(ROW()-3,$II$4:$II$40,0)))</f>
        <v/>
      </c>
      <c r="IK38">
        <f>IF(COUNTIF('Live Search'!BM$37:CC$37,0)+COUNTIF('Live Search'!CE$37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L38">
        <f>IF($CQ$38="",FALSE,SUMPRODUCT(('Final Calculation Sheet'!$Q$4:$Q$40=$CQ$38)*($IK$6:$IK$42=1))&gt;0)</f>
        <v/>
      </c>
      <c r="IM38">
        <f>$IM$37+--($IL38)</f>
        <v/>
      </c>
      <c r="IN38">
        <f>IF(ROW()-3&gt;MAX($IM$4:$IM$40),"",INDEX($CQ$4:$CQ$40,MATCH(ROW()-3,$IM$4:$IM$40,0)))</f>
        <v/>
      </c>
      <c r="IO38">
        <f>IF(COUNTIF('Live Search'!BM$37:CD$37,0)+COUNTIF('Live Search'!CF$37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P38">
        <f>IF($CV$38="",FALSE,SUMPRODUCT(('Final Calculation Sheet'!$R$4:$R$40=$CV$38)*($IO$6:$IO$42=1))&gt;0)</f>
        <v/>
      </c>
      <c r="IQ38">
        <f>$IQ$37+--($IP38)</f>
        <v/>
      </c>
      <c r="IR38">
        <f>IF(ROW()-3&gt;MAX($IQ$4:$IQ$40),"",INDEX($CV$4:$CV$40,MATCH(ROW()-3,$IQ$4:$IQ$40,0)))</f>
        <v/>
      </c>
      <c r="IS38">
        <f>IF(COUNTIF('Live Search'!BM$37:CE$37,0)+COUNTIF('Live Search'!CG$37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T38">
        <f>IF($DA$38="",FALSE,SUMPRODUCT(('Final Calculation Sheet'!$S$4:$S$40=$DA$38)*($IS$6:$IS$42=1))&gt;0)</f>
        <v/>
      </c>
      <c r="IU38">
        <f>$IU$37+--($IT38)</f>
        <v/>
      </c>
      <c r="IV38">
        <f>IF(ROW()-3&gt;MAX($IU$4:$IU$40),"",INDEX($DA$4:$DA$40,MATCH(ROW()-3,$IU$4:$IU$40,0)))</f>
        <v/>
      </c>
      <c r="IW38">
        <f>IF(COUNTIF('Live Search'!BM$37:CF$37,0)+COUNTIF('Live Search'!CH$37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IX38">
        <f>IF($DF$38="",FALSE,SUMPRODUCT(('Final Calculation Sheet'!$T$4:$T$40=$DF$38)*($IW$6:$IW$42=1))&gt;0)</f>
        <v/>
      </c>
      <c r="IY38">
        <f>$IY$37+--($IX38)</f>
        <v/>
      </c>
      <c r="IZ38">
        <f>IF(ROW()-3&gt;MAX($IY$4:$IY$40),"",INDEX($DF$4:$DF$40,MATCH(ROW()-3,$IY$4:$IY$40,0)))</f>
        <v/>
      </c>
      <c r="JA38">
        <f>IF(COUNTIF('Live Search'!BM$37:CG$37,0)+COUNTIF('Live Search'!CI$37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B38">
        <f>IF($DK$38="",FALSE,SUMPRODUCT(('Final Calculation Sheet'!$U$4:$U$40=$DK$38)*($JA$6:$JA$42=1))&gt;0)</f>
        <v/>
      </c>
      <c r="JC38">
        <f>$JC$37+--($JB38)</f>
        <v/>
      </c>
      <c r="JD38">
        <f>IF(ROW()-3&gt;MAX($JC$4:$JC$40),"",INDEX($DK$4:$DK$40,MATCH(ROW()-3,$JC$4:$JC$40,0)))</f>
        <v/>
      </c>
      <c r="JE38">
        <f>IF(COUNTIF('Live Search'!BM$37:CH$37,0)+COUNTIF('Live Search'!CJ$37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F38">
        <f>IF($DP$38="",FALSE,SUMPRODUCT(('Final Calculation Sheet'!$V$4:$V$40=$DP$38)*($JE$6:$JE$42=1))&gt;0)</f>
        <v/>
      </c>
      <c r="JG38">
        <f>$JG$37+--($JF38)</f>
        <v/>
      </c>
      <c r="JH38">
        <f>IF(ROW()-3&gt;MAX($JG$4:$JG$40),"",INDEX($DP$4:$DP$40,MATCH(ROW()-3,$JG$4:$JG$40,0)))</f>
        <v/>
      </c>
      <c r="JI38">
        <f>IF(COUNTIF('Live Search'!BM$37:CI$37,0)+COUNTIF('Live Search'!CK$37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J38">
        <f>IF($DU$38="",FALSE,SUMPRODUCT(('Final Calculation Sheet'!$W$4:$W$40=$DU$38)*($JI$6:$JI$42=1))&gt;0)</f>
        <v/>
      </c>
      <c r="JK38">
        <f>$JK$37+--($JJ38)</f>
        <v/>
      </c>
      <c r="JL38">
        <f>IF(ROW()-3&gt;MAX($JK$4:$JK$40),"",INDEX($DU$4:$DU$40,MATCH(ROW()-3,$JK$4:$JK$40,0)))</f>
        <v/>
      </c>
      <c r="JM38">
        <f>IF(COUNTIF('Live Search'!BM$37:CJ$37,0)+COUNTIF('Live Search'!CL$37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N38">
        <f>IF($DZ$38="",FALSE,SUMPRODUCT(('Final Calculation Sheet'!$X$4:$X$40=$DZ$38)*($JM$6:$JM$42=1))&gt;0)</f>
        <v/>
      </c>
      <c r="JO38">
        <f>$JO$37+--($JN38)</f>
        <v/>
      </c>
      <c r="JP38">
        <f>IF(ROW()-3&gt;MAX($JO$4:$JO$40),"",INDEX($DZ$4:$DZ$40,MATCH(ROW()-3,$JO$4:$JO$40,0)))</f>
        <v/>
      </c>
      <c r="JQ38">
        <f>IF(COUNTIF('Live Search'!BM$37:CK$37,0)+COUNTIF('Live Search'!C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R38">
        <f>IF($EE$38="",FALSE,SUMPRODUCT(('Final Calculation Sheet'!$Y$4:$Y$40=$EE$38)*($JQ$6:$JQ$42=1))&gt;0)</f>
        <v/>
      </c>
      <c r="JS38">
        <f>$JS$37+--($JR38)</f>
        <v/>
      </c>
      <c r="JT38">
        <f>IF(ROW()-3&gt;MAX($JS$4:$JS$40),"",INDEX($EE$4:$EE$40,MATCH(ROW()-3,$JS$4:$JS$40,0)))</f>
        <v/>
      </c>
      <c r="JU38">
        <f>IF(COUNTIF('Live Search'!BM$37:CL$37,0)+COUNTIF('Live Search'!CN$37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V38">
        <f>IF($EJ$38="",FALSE,SUMPRODUCT(('Final Calculation Sheet'!$Z$4:$Z$40=$EJ$38)*($JU$6:$JU$42=1))&gt;0)</f>
        <v/>
      </c>
      <c r="JW38">
        <f>$JW$37+--($JV38)</f>
        <v/>
      </c>
      <c r="JX38">
        <f>IF(ROW()-3&gt;MAX($JW$4:$JW$40),"",INDEX($EJ$4:$EJ$40,MATCH(ROW()-3,$JW$4:$JW$40,0)))</f>
        <v/>
      </c>
      <c r="JY38">
        <f>IF(COUNTIF('Live Search'!BM$37:CM$37,0)+COUNTIF('Live Search'!CO$37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JZ38">
        <f>IF($EO$38="",FALSE,SUMPRODUCT(('Final Calculation Sheet'!$AA$4:$AA$40=$EO$38)*($JY$6:$JY$42=1))&gt;0)</f>
        <v/>
      </c>
      <c r="KA38">
        <f>$KA$37+--($JZ38)</f>
        <v/>
      </c>
      <c r="KB38">
        <f>IF(ROW()-3&gt;MAX($KA$4:$KA$40),"",INDEX($EO$4:$EO$40,MATCH(ROW()-3,$KA$4:$KA$40,0)))</f>
        <v/>
      </c>
      <c r="KC38">
        <f>IF(COUNTIF('Live Search'!BM$37:CN$37,0)+COUNTIF('Live Search'!CP$37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D38">
        <f>IF($ET$38="",FALSE,SUMPRODUCT(('Final Calculation Sheet'!$AB$4:$AB$40=$ET$38)*($KC$6:$KC$42=1))&gt;0)</f>
        <v/>
      </c>
      <c r="KE38">
        <f>$KE$37+--($KD38)</f>
        <v/>
      </c>
      <c r="KF38">
        <f>IF(ROW()-3&gt;MAX($KE$4:$KE$40),"",INDEX($ET$4:$ET$40,MATCH(ROW()-3,$KE$4:$KE$40,0)))</f>
        <v/>
      </c>
      <c r="KG38">
        <f>IF(COUNTIF('Live Search'!BM$37:CO$37,0)+COUNTIF('Live Search'!CQ$37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H38">
        <f>IF($EY$38="",FALSE,SUMPRODUCT(('Final Calculation Sheet'!$AC$4:$AC$40=$EY$38)*($KG$6:$KG$42=1))&gt;0)</f>
        <v/>
      </c>
      <c r="KI38">
        <f>$KI$37+--($KH38)</f>
        <v/>
      </c>
      <c r="KJ38">
        <f>IF(ROW()-3&gt;MAX($KI$4:$KI$40),"",INDEX($EY$4:$EY$40,MATCH(ROW()-3,$KI$4:$KI$40,0)))</f>
        <v/>
      </c>
      <c r="KK38">
        <f>IF(COUNTIF('Live Search'!BM$37:CP$37,0)+COUNTIF('Live Search'!CR$37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L38">
        <f>IF($FD$38="",FALSE,SUMPRODUCT(('Final Calculation Sheet'!$AD$4:$AD$40=$FD$38)*($KK$6:$KK$42=1))&gt;0)</f>
        <v/>
      </c>
      <c r="KM38">
        <f>$KM$37+--($KL38)</f>
        <v/>
      </c>
      <c r="KN38">
        <f>IF(ROW()-3&gt;MAX($KM$4:$KM$40),"",INDEX($FD$4:$FD$40,MATCH(ROW()-3,$KM$4:$KM$40,0)))</f>
        <v/>
      </c>
      <c r="KO38">
        <f>IF(COUNTIF('Live Search'!BM$37:CT$37,0)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P38">
        <f>IF($FX$38="",FALSE,SUMPRODUCT((IF('Final Calculation Sheet'!$AD$4:$AD$40&lt;=5,"SETTLED","OUTSTANDING")=$FX$38)*($KO$6:$KO$42=1))&gt;0)</f>
        <v/>
      </c>
      <c r="KQ38">
        <f>$KQ$37+--($KP38)</f>
        <v/>
      </c>
      <c r="KR38">
        <f>IF(ROW()-3&gt;MAX($KQ$4:$KQ$40),"",INDEX($FX$4:$FX$40,MATCH(ROW()-3,$KQ$4:$KQ$40,0)))</f>
        <v/>
      </c>
      <c r="KS38">
        <f>IF(COUNTIF('Live Search'!BM$37:CQ$37,0)+COUNTIF('Live Search'!CS$37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T38">
        <f>IF($FI$38="",FALSE,SUMPRODUCT(('Final Calculation Sheet'!$AF$4:$AF$40=$FI$38)*($KS$6:$KS$42=1))&gt;0)</f>
        <v/>
      </c>
      <c r="KU38">
        <f>$KU$37+--($KT38)</f>
        <v/>
      </c>
      <c r="KV38">
        <f>IF(ROW()-3&gt;MAX($KU$4:$KU$40),"",INDEX($FI$4:$FI$40,MATCH(ROW()-3,$KU$4:$KU$40,0)))</f>
        <v/>
      </c>
      <c r="KW38">
        <f>IF(COUNTIF('Live Search'!BM$37:CR$37,0)+COUNTIF('Live Search'!CT$37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KX38">
        <f>IF($FN$38="",FALSE,SUMPRODUCT(('Final Calculation Sheet'!$AG$4:$AG$40=$FN$38)*($KW$6:$KW$42=1))&gt;0)</f>
        <v/>
      </c>
      <c r="KY38">
        <f>$KY$37+--($KX38)</f>
        <v/>
      </c>
      <c r="KZ38">
        <f>IF(ROW()-3&gt;MAX($KY$4:$KY$40),"",INDEX($FN$4:$FN$40,MATCH(ROW()-3,$KY$4:$KY$40,0)))</f>
        <v/>
      </c>
      <c r="LA38">
        <f>IF(COUNTIF('Live Search'!BM$37:CS$37,0)+COUNTIF('Live Search'!CU$37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LB38">
        <f>IF($FS$38="",FALSE,SUMPRODUCT(('Final Calculation Sheet'!$AH$4:$AH$40=$FS$38)*($LA$6:$LA$42=1))&gt;0)</f>
        <v/>
      </c>
      <c r="LC38">
        <f>$LC$37+--($LB38)</f>
        <v/>
      </c>
      <c r="LD38">
        <f>IF(ROW()-3&gt;MAX($LC$4:$LC$40),"",INDEX($FS$4:$FS$40,MATCH(ROW()-3,$LC$4:$LC$40,0)))</f>
        <v/>
      </c>
      <c r="LE38">
        <f>IF(COUNTIF('Buyer Groups'!DH91:EN91,0)&gt;0,0,1)</f>
        <v/>
      </c>
      <c r="LF38">
        <f>IF($O$38="",FALSE,SUMPRODUCT(('Final Calculation Sheet'!$F$4:$F$40=$O$38)*($LE$6:$LE$42=1))&gt;0)</f>
        <v/>
      </c>
      <c r="LG38">
        <f>$LG$37+--($LF38)</f>
        <v/>
      </c>
      <c r="LH38">
        <f>IF(ROW()-3&gt;MAX($LG$4:$LG$40),"",INDEX($O$4:$O$40,MATCH(ROW()-3,$LG$4:$LG$40,0)))</f>
        <v/>
      </c>
      <c r="LI38">
        <f>IF(COUNTIF('Buyer Groups'!DG91:DG91,0)+COUNTIF('Buyer Groups'!DI91:EN91,0)&gt;0,0,1)</f>
        <v/>
      </c>
      <c r="LJ38">
        <f>IF($T$38="",FALSE,SUMPRODUCT(('Final Calculation Sheet'!$G$4:$G$40=$T$38)*($LI$6:$LI$42=1))&gt;0)</f>
        <v/>
      </c>
      <c r="LK38">
        <f>$LK$37+--($LJ38)</f>
        <v/>
      </c>
      <c r="LL38">
        <f>IF(ROW()-3&gt;MAX($LK$4:$LK$40),"",INDEX($T$4:$T$40,MATCH(ROW()-3,$LK$4:$LK$40,0)))</f>
        <v/>
      </c>
      <c r="LM38">
        <f>IF(COUNTIF('Buyer Groups'!DG91:DH91,0)+COUNTIF('Buyer Groups'!DJ91:EN91,0)&gt;0,0,1)</f>
        <v/>
      </c>
      <c r="LN38">
        <f>IF($Y$38="",FALSE,SUMPRODUCT(('Final Calculation Sheet'!$B$4:$B$40=$Y$38)*($LM$6:$LM$42=1))&gt;0)</f>
        <v/>
      </c>
      <c r="LO38">
        <f>$LO$37+--($LN38)</f>
        <v/>
      </c>
      <c r="LP38">
        <f>IF(ROW()-3&gt;MAX($LO$4:$LO$40),"",INDEX($Y$4:$Y$40,MATCH(ROW()-3,$LO$4:$LO$40,0)))</f>
        <v/>
      </c>
      <c r="LQ38">
        <f>IF(COUNTIF('Buyer Groups'!DG91:DI91,0)+COUNTIF('Buyer Groups'!DK91:EN91,0)&gt;0,0,1)</f>
        <v/>
      </c>
      <c r="LR38">
        <f>IF($AD$38="",FALSE,SUMPRODUCT(('Final Calculation Sheet'!$D$4:$D$40=$AD$38)*($LQ$6:$LQ$42=1))&gt;0)</f>
        <v/>
      </c>
      <c r="LS38">
        <f>$LS$37+--($LR38)</f>
        <v/>
      </c>
      <c r="LT38">
        <f>IF(ROW()-3&gt;MAX($LS$4:$LS$40),"",INDEX($AD$4:$AD$40,MATCH(ROW()-3,$LS$4:$LS$40,0)))</f>
        <v/>
      </c>
      <c r="LU38">
        <f>IF(COUNTIF('Buyer Groups'!DG91:DJ91,0)+COUNTIF('Buyer Groups'!DL91:EN91,0)&gt;0,0,1)</f>
        <v/>
      </c>
      <c r="LV38">
        <f>IF($AI$38="",FALSE,SUMPRODUCT(('Final Calculation Sheet'!$A$4:$A$40=$AI$38)*($LU$6:$LU$42=1))&gt;0)</f>
        <v/>
      </c>
      <c r="LW38">
        <f>$LW$37+--($LV38)</f>
        <v/>
      </c>
      <c r="LX38">
        <f>IF(ROW()-3&gt;MAX($LW$4:$LW$40),"",INDEX($AI$4:$AI$40,MATCH(ROW()-3,$LW$4:$LW$40,0)))</f>
        <v/>
      </c>
      <c r="LY38">
        <f>IF(COUNTIF('Buyer Groups'!DG91:DK91,0)+COUNTIF('Buyer Groups'!DM91:EN91,0)&gt;0,0,1)</f>
        <v/>
      </c>
      <c r="LZ38">
        <f>IF($AN$38="",FALSE,SUMPRODUCT(('Final Calculation Sheet'!$E$4:$E$40=$AN$38)*($LY$6:$LY$42=1))&gt;0)</f>
        <v/>
      </c>
      <c r="MA38">
        <f>$MA$37+--($LZ38)</f>
        <v/>
      </c>
      <c r="MB38">
        <f>IF(ROW()-3&gt;MAX($MA$4:$MA$40),"",INDEX($AN$4:$AN$40,MATCH(ROW()-3,$MA$4:$MA$40,0)))</f>
        <v/>
      </c>
      <c r="MC38">
        <f>IF(COUNTIF('Buyer Groups'!DG91:DL91,0)+COUNTIF('Buyer Groups'!DN91:EN91,0)&gt;0,0,1)</f>
        <v/>
      </c>
      <c r="MD38">
        <f>IF($AS$38="",FALSE,SUMPRODUCT(('Final Calculation Sheet'!$C$4:$C$40=$AS$38)*($MC$6:$MC$42=1))&gt;0)</f>
        <v/>
      </c>
      <c r="ME38">
        <f>$ME$37+--($MD38)</f>
        <v/>
      </c>
      <c r="MF38">
        <f>IF(ROW()-3&gt;MAX($ME$4:$ME$40),"",INDEX($AS$4:$AS$40,MATCH(ROW()-3,$ME$4:$ME$40,0)))</f>
        <v/>
      </c>
      <c r="MG38">
        <f>IF(COUNTIF('Buyer Groups'!DG91:DM91,0)+COUNTIF('Buyer Groups'!DO91:EN91,0)&gt;0,0,1)</f>
        <v/>
      </c>
      <c r="MH38">
        <f>IF($AX$38="",FALSE,SUMPRODUCT(('Final Calculation Sheet'!$H$4:$H$40=$AX$38)*($MG$6:$MG$42=1))&gt;0)</f>
        <v/>
      </c>
      <c r="MI38">
        <f>$MI$37+--($MH38)</f>
        <v/>
      </c>
      <c r="MJ38">
        <f>IF(ROW()-3&gt;MAX($MI$4:$MI$40),"",INDEX($AX$4:$AX$40,MATCH(ROW()-3,$MI$4:$MI$40,0)))</f>
        <v/>
      </c>
      <c r="MK38">
        <f>IF(COUNTIF('Buyer Groups'!DG91:DN91,0)+COUNTIF('Buyer Groups'!DP91:EN91,0)&gt;0,0,1)</f>
        <v/>
      </c>
      <c r="ML38">
        <f>IF($BC$38="",FALSE,SUMPRODUCT(('Final Calculation Sheet'!$I$4:$I$40=$BC$38)*($MK$6:$MK$42=1))&gt;0)</f>
        <v/>
      </c>
      <c r="MM38">
        <f>$MM$37+--($ML38)</f>
        <v/>
      </c>
      <c r="MN38">
        <f>IF(ROW()-3&gt;MAX($MM$4:$MM$40),"",INDEX($BC$4:$BC$40,MATCH(ROW()-3,$MM$4:$MM$40,0)))</f>
        <v/>
      </c>
      <c r="MO38">
        <f>IF(COUNTIF('Buyer Groups'!DG91:DO91,0)+COUNTIF('Buyer Groups'!DQ91:EN91,0)&gt;0,0,1)</f>
        <v/>
      </c>
      <c r="MP38">
        <f>IF($BH$38="",FALSE,SUMPRODUCT(('Final Calculation Sheet'!$J$4:$J$40=$BH$38)*($MO$6:$MO$42=1))&gt;0)</f>
        <v/>
      </c>
      <c r="MQ38">
        <f>$MQ$37+--($MP38)</f>
        <v/>
      </c>
      <c r="MR38">
        <f>IF(ROW()-3&gt;MAX($MQ$4:$MQ$40),"",INDEX($BH$4:$BH$40,MATCH(ROW()-3,$MQ$4:$MQ$40,0)))</f>
        <v/>
      </c>
      <c r="MS38">
        <f>IF(COUNTIF('Buyer Groups'!DG91:DP91,0)+COUNTIF('Buyer Groups'!DR91:EN91,0)&gt;0,0,1)</f>
        <v/>
      </c>
      <c r="MT38">
        <f>IF($BM$38="",FALSE,SUMPRODUCT(('Final Calculation Sheet'!$K$4:$K$40=$BM$38)*($MS$6:$MS$42=1))&gt;0)</f>
        <v/>
      </c>
      <c r="MU38">
        <f>$MU$37+--($MT38)</f>
        <v/>
      </c>
      <c r="MV38">
        <f>IF(ROW()-3&gt;MAX($MU$4:$MU$40),"",INDEX($BM$4:$BM$40,MATCH(ROW()-3,$MU$4:$MU$40,0)))</f>
        <v/>
      </c>
      <c r="MW38">
        <f>IF(COUNTIF('Buyer Groups'!DG91:DQ91,0)+COUNTIF('Buyer Groups'!DS91:EN91,0)&gt;0,0,1)</f>
        <v/>
      </c>
      <c r="MX38">
        <f>IF($BR$38="",FALSE,SUMPRODUCT(('Final Calculation Sheet'!$L$4:$L$40=$BR$38)*($MW$6:$MW$42=1))&gt;0)</f>
        <v/>
      </c>
      <c r="MY38">
        <f>$MY$37+--($MX38)</f>
        <v/>
      </c>
      <c r="MZ38">
        <f>IF(ROW()-3&gt;MAX($MY$4:$MY$40),"",INDEX($BR$4:$BR$40,MATCH(ROW()-3,$MY$4:$MY$40,0)))</f>
        <v/>
      </c>
      <c r="NA38">
        <f>IF(COUNTIF('Buyer Groups'!DG91:DR91,0)+COUNTIF('Buyer Groups'!DT91:EN91,0)&gt;0,0,1)</f>
        <v/>
      </c>
      <c r="NB38">
        <f>IF($BW$38="",FALSE,SUMPRODUCT(('Final Calculation Sheet'!$M$4:$M$40=$BW$38)*($NA$6:$NA$42=1))&gt;0)</f>
        <v/>
      </c>
      <c r="NC38">
        <f>$NC$37+--($NB38)</f>
        <v/>
      </c>
      <c r="ND38">
        <f>IF(ROW()-3&gt;MAX($NC$4:$NC$40),"",INDEX($BW$4:$BW$40,MATCH(ROW()-3,$NC$4:$NC$40,0)))</f>
        <v/>
      </c>
      <c r="NE38">
        <f>IF(COUNTIF('Buyer Groups'!DG91:DS91,0)+COUNTIF('Buyer Groups'!DU91:EN91,0)&gt;0,0,1)</f>
        <v/>
      </c>
      <c r="NF38">
        <f>IF($CB$38="",FALSE,SUMPRODUCT(('Final Calculation Sheet'!$N$4:$N$40=$CB$38)*($NE$6:$NE$42=1))&gt;0)</f>
        <v/>
      </c>
      <c r="NG38">
        <f>$NG$37+--($NF38)</f>
        <v/>
      </c>
      <c r="NH38">
        <f>IF(ROW()-3&gt;MAX($NG$4:$NG$40),"",INDEX($CB$4:$CB$40,MATCH(ROW()-3,$NG$4:$NG$40,0)))</f>
        <v/>
      </c>
      <c r="NI38">
        <f>IF(COUNTIF('Buyer Groups'!DG91:DT91,0)+COUNTIF('Buyer Groups'!DV91:EN91,0)&gt;0,0,1)</f>
        <v/>
      </c>
      <c r="NJ38">
        <f>IF($CG$38="",FALSE,SUMPRODUCT(('Final Calculation Sheet'!$O$4:$O$40=$CG$38)*($NI$6:$NI$42=1))&gt;0)</f>
        <v/>
      </c>
      <c r="NK38">
        <f>$NK$37+--($NJ38)</f>
        <v/>
      </c>
      <c r="NL38">
        <f>IF(ROW()-3&gt;MAX($NK$4:$NK$40),"",INDEX($CG$4:$CG$40,MATCH(ROW()-3,$NK$4:$NK$40,0)))</f>
        <v/>
      </c>
      <c r="NM38">
        <f>IF(COUNTIF('Buyer Groups'!DG91:DU91,0)+COUNTIF('Buyer Groups'!DW91:EN91,0)&gt;0,0,1)</f>
        <v/>
      </c>
      <c r="NN38">
        <f>IF($CL$38="",FALSE,SUMPRODUCT(('Final Calculation Sheet'!$P$4:$P$40=$CL$38)*($NM$6:$NM$42=1))&gt;0)</f>
        <v/>
      </c>
      <c r="NO38">
        <f>$NO$37+--($NN38)</f>
        <v/>
      </c>
      <c r="NP38">
        <f>IF(ROW()-3&gt;MAX($NO$4:$NO$40),"",INDEX($CL$4:$CL$40,MATCH(ROW()-3,$NO$4:$NO$40,0)))</f>
        <v/>
      </c>
      <c r="NQ38">
        <f>IF(COUNTIF('Buyer Groups'!DG91:DV91,0)+COUNTIF('Buyer Groups'!DX91:EN91,0)&gt;0,0,1)</f>
        <v/>
      </c>
      <c r="NR38">
        <f>IF($CQ$38="",FALSE,SUMPRODUCT(('Final Calculation Sheet'!$Q$4:$Q$40=$CQ$38)*($NQ$6:$NQ$42=1))&gt;0)</f>
        <v/>
      </c>
      <c r="NS38">
        <f>$NS$37+--($NR38)</f>
        <v/>
      </c>
      <c r="NT38">
        <f>IF(ROW()-3&gt;MAX($NS$4:$NS$40),"",INDEX($CQ$4:$CQ$40,MATCH(ROW()-3,$NS$4:$NS$40,0)))</f>
        <v/>
      </c>
      <c r="NU38">
        <f>IF(COUNTIF('Buyer Groups'!DG91:DW91,0)+COUNTIF('Buyer Groups'!DY91:EN91,0)&gt;0,0,1)</f>
        <v/>
      </c>
      <c r="NV38">
        <f>IF($CV$38="",FALSE,SUMPRODUCT(('Final Calculation Sheet'!$R$4:$R$40=$CV$38)*($NU$6:$NU$42=1))&gt;0)</f>
        <v/>
      </c>
      <c r="NW38">
        <f>$NW$37+--($NV38)</f>
        <v/>
      </c>
      <c r="NX38">
        <f>IF(ROW()-3&gt;MAX($NW$4:$NW$40),"",INDEX($CV$4:$CV$40,MATCH(ROW()-3,$NW$4:$NW$40,0)))</f>
        <v/>
      </c>
      <c r="NY38">
        <f>IF(COUNTIF('Buyer Groups'!DG91:DX91,0)+COUNTIF('Buyer Groups'!DZ91:EN91,0)&gt;0,0,1)</f>
        <v/>
      </c>
      <c r="NZ38">
        <f>IF($DA$38="",FALSE,SUMPRODUCT(('Final Calculation Sheet'!$S$4:$S$40=$DA$38)*($NY$6:$NY$42=1))&gt;0)</f>
        <v/>
      </c>
      <c r="OA38">
        <f>$OA$37+--($NZ38)</f>
        <v/>
      </c>
      <c r="OB38">
        <f>IF(ROW()-3&gt;MAX($OA$4:$OA$40),"",INDEX($DA$4:$DA$40,MATCH(ROW()-3,$OA$4:$OA$40,0)))</f>
        <v/>
      </c>
      <c r="OC38">
        <f>IF(COUNTIF('Buyer Groups'!DG91:DY91,0)+COUNTIF('Buyer Groups'!EA91:EN91,0)&gt;0,0,1)</f>
        <v/>
      </c>
      <c r="OD38">
        <f>IF($DF$38="",FALSE,SUMPRODUCT(('Final Calculation Sheet'!$T$4:$T$40=$DF$38)*($OC$6:$OC$42=1))&gt;0)</f>
        <v/>
      </c>
      <c r="OE38">
        <f>$OE$37+--($OD38)</f>
        <v/>
      </c>
      <c r="OF38">
        <f>IF(ROW()-3&gt;MAX($OE$4:$OE$40),"",INDEX($DF$4:$DF$40,MATCH(ROW()-3,$OE$4:$OE$40,0)))</f>
        <v/>
      </c>
      <c r="OG38">
        <f>IF(COUNTIF('Buyer Groups'!DG91:DZ91,0)+COUNTIF('Buyer Groups'!EB91:EN91,0)&gt;0,0,1)</f>
        <v/>
      </c>
      <c r="OH38">
        <f>IF($DK$38="",FALSE,SUMPRODUCT(('Final Calculation Sheet'!$U$4:$U$40=$DK$38)*($OG$6:$OG$42=1))&gt;0)</f>
        <v/>
      </c>
      <c r="OI38">
        <f>$OI$37+--($OH38)</f>
        <v/>
      </c>
      <c r="OJ38">
        <f>IF(ROW()-3&gt;MAX($OI$4:$OI$40),"",INDEX($DK$4:$DK$40,MATCH(ROW()-3,$OI$4:$OI$40,0)))</f>
        <v/>
      </c>
      <c r="OK38">
        <f>IF(COUNTIF('Buyer Groups'!DG91:EA91,0)+COUNTIF('Buyer Groups'!EC91:EN91,0)&gt;0,0,1)</f>
        <v/>
      </c>
      <c r="OL38">
        <f>IF($DP$38="",FALSE,SUMPRODUCT(('Final Calculation Sheet'!$V$4:$V$40=$DP$38)*($OK$6:$OK$42=1))&gt;0)</f>
        <v/>
      </c>
      <c r="OM38">
        <f>$OM$37+--($OL38)</f>
        <v/>
      </c>
      <c r="ON38">
        <f>IF(ROW()-3&gt;MAX($OM$4:$OM$40),"",INDEX($DP$4:$DP$40,MATCH(ROW()-3,$OM$4:$OM$40,0)))</f>
        <v/>
      </c>
      <c r="OO38">
        <f>IF(COUNTIF('Buyer Groups'!DG91:EB91,0)+COUNTIF('Buyer Groups'!ED91:EN91,0)&gt;0,0,1)</f>
        <v/>
      </c>
      <c r="OP38">
        <f>IF($DU$38="",FALSE,SUMPRODUCT(('Final Calculation Sheet'!$W$4:$W$40=$DU$38)*($OO$6:$OO$42=1))&gt;0)</f>
        <v/>
      </c>
      <c r="OQ38">
        <f>$OQ$37+--($OP38)</f>
        <v/>
      </c>
      <c r="OR38">
        <f>IF(ROW()-3&gt;MAX($OQ$4:$OQ$40),"",INDEX($DU$4:$DU$40,MATCH(ROW()-3,$OQ$4:$OQ$40,0)))</f>
        <v/>
      </c>
      <c r="OS38">
        <f>IF(COUNTIF('Buyer Groups'!DG91:EC91,0)+COUNTIF('Buyer Groups'!EE91:EN91,0)&gt;0,0,1)</f>
        <v/>
      </c>
      <c r="OT38">
        <f>IF($DZ$38="",FALSE,SUMPRODUCT(('Final Calculation Sheet'!$X$4:$X$40=$DZ$38)*($OS$6:$OS$42=1))&gt;0)</f>
        <v/>
      </c>
      <c r="OU38">
        <f>$OU$37+--($OT38)</f>
        <v/>
      </c>
      <c r="OV38">
        <f>IF(ROW()-3&gt;MAX($OU$4:$OU$40),"",INDEX($DZ$4:$DZ$40,MATCH(ROW()-3,$OU$4:$OU$40,0)))</f>
        <v/>
      </c>
      <c r="OW38">
        <f>IF(COUNTIF('Buyer Groups'!DG91:ED91,0)+COUNTIF('Buyer Groups'!EF91:EN91,0)&gt;0,0,1)</f>
        <v/>
      </c>
      <c r="OX38">
        <f>IF($EE$38="",FALSE,SUMPRODUCT(('Final Calculation Sheet'!$Y$4:$Y$40=$EE$38)*($OW$6:$OW$42=1))&gt;0)</f>
        <v/>
      </c>
      <c r="OY38">
        <f>$OY$37+--($OX38)</f>
        <v/>
      </c>
      <c r="OZ38">
        <f>IF(ROW()-3&gt;MAX($OY$4:$OY$40),"",INDEX($EE$4:$EE$40,MATCH(ROW()-3,$OY$4:$OY$40,0)))</f>
        <v/>
      </c>
      <c r="PA38">
        <f>IF(COUNTIF('Buyer Groups'!DG91:EE91,0)+COUNTIF('Buyer Groups'!EG91:EN91,0)&gt;0,0,1)</f>
        <v/>
      </c>
      <c r="PB38">
        <f>IF($EJ$38="",FALSE,SUMPRODUCT(('Final Calculation Sheet'!$Z$4:$Z$40=$EJ$38)*($PA$6:$PA$42=1))&gt;0)</f>
        <v/>
      </c>
      <c r="PC38">
        <f>$PC$37+--($PB38)</f>
        <v/>
      </c>
      <c r="PD38">
        <f>IF(ROW()-3&gt;MAX($PC$4:$PC$40),"",INDEX($EJ$4:$EJ$40,MATCH(ROW()-3,$PC$4:$PC$40,0)))</f>
        <v/>
      </c>
      <c r="PE38">
        <f>IF(COUNTIF('Buyer Groups'!DG91:EF91,0)+COUNTIF('Buyer Groups'!EH91:EN91,0)&gt;0,0,1)</f>
        <v/>
      </c>
      <c r="PF38">
        <f>IF($EO$38="",FALSE,SUMPRODUCT(('Final Calculation Sheet'!$AA$4:$AA$40=$EO$38)*($PE$6:$PE$42=1))&gt;0)</f>
        <v/>
      </c>
      <c r="PG38">
        <f>$PG$37+--($PF38)</f>
        <v/>
      </c>
      <c r="PH38">
        <f>IF(ROW()-3&gt;MAX($PG$4:$PG$40),"",INDEX($EO$4:$EO$40,MATCH(ROW()-3,$PG$4:$PG$40,0)))</f>
        <v/>
      </c>
      <c r="PI38">
        <f>IF(COUNTIF('Buyer Groups'!DG91:EG91,0)+COUNTIF('Buyer Groups'!EI91:EN91,0)&gt;0,0,1)</f>
        <v/>
      </c>
      <c r="PJ38">
        <f>IF($ET$38="",FALSE,SUMPRODUCT(('Final Calculation Sheet'!$AB$4:$AB$40=$ET$38)*($PI$6:$PI$42=1))&gt;0)</f>
        <v/>
      </c>
      <c r="PK38">
        <f>$PK$37+--($PJ38)</f>
        <v/>
      </c>
      <c r="PL38">
        <f>IF(ROW()-3&gt;MAX($PK$4:$PK$40),"",INDEX($ET$4:$ET$40,MATCH(ROW()-3,$PK$4:$PK$40,0)))</f>
        <v/>
      </c>
      <c r="PM38">
        <f>IF(COUNTIF('Buyer Groups'!DG91:EH91,0)+COUNTIF('Buyer Groups'!EJ91:EN91,0)&gt;0,0,1)</f>
        <v/>
      </c>
      <c r="PN38">
        <f>IF($EY$38="",FALSE,SUMPRODUCT(('Final Calculation Sheet'!$AC$4:$AC$40=$EY$38)*($PM$6:$PM$42=1))&gt;0)</f>
        <v/>
      </c>
      <c r="PO38">
        <f>$PO$37+--($PN38)</f>
        <v/>
      </c>
      <c r="PP38">
        <f>IF(ROW()-3&gt;MAX($PO$4:$PO$40),"",INDEX($EY$4:$EY$40,MATCH(ROW()-3,$PO$4:$PO$40,0)))</f>
        <v/>
      </c>
      <c r="PQ38">
        <f>IF(COUNTIF('Buyer Groups'!DG91:EI91,0)+COUNTIF('Buyer Groups'!EK91:EN91,0)&gt;0,0,1)</f>
        <v/>
      </c>
      <c r="PR38">
        <f>IF($FD$38="",FALSE,SUMPRODUCT(('Final Calculation Sheet'!$AD$4:$AD$40=$FD$38)*($PQ$6:$PQ$42=1))&gt;0)</f>
        <v/>
      </c>
      <c r="PS38">
        <f>$PS$37+--($PR38)</f>
        <v/>
      </c>
      <c r="PT38">
        <f>IF(ROW()-3&gt;MAX($PS$4:$PS$40),"",INDEX($FD$4:$FD$40,MATCH(ROW()-3,$PS$4:$PS$40,0)))</f>
        <v/>
      </c>
      <c r="PU38">
        <f>IF(COUNTIF('Buyer Groups'!DG91:EJ91,0)+COUNTIF('Buyer Groups'!EL91:EN91,0)&gt;0,0,1)</f>
        <v/>
      </c>
      <c r="PV38">
        <f>IF($FX$38="",FALSE,SUMPRODUCT((IF('Final Calculation Sheet'!$AD$4:$AD$40&lt;=5,"SETTLED","OUTSTANDING")=$FX$38)*($PU$6:$PU$42=1))&gt;0)</f>
        <v/>
      </c>
      <c r="PW38">
        <f>$PW$37+--($PV38)</f>
        <v/>
      </c>
      <c r="PX38">
        <f>IF(ROW()-3&gt;MAX($PW$4:$PW$40),"",INDEX($FX$4:$FX$40,MATCH(ROW()-3,$PW$4:$PW$40,0)))</f>
        <v/>
      </c>
      <c r="PY38">
        <f>IF(COUNTIF('Buyer Groups'!DG91:EK91,0)+COUNTIF('Buyer Groups'!EM91:EN91,0)&gt;0,0,1)</f>
        <v/>
      </c>
      <c r="PZ38">
        <f>IF($FI$38="",FALSE,SUMPRODUCT(('Final Calculation Sheet'!$AF$4:$AF$40=$FI$38)*($PY$6:$PY$42=1))&gt;0)</f>
        <v/>
      </c>
      <c r="QA38">
        <f>$QA$37+--($PZ38)</f>
        <v/>
      </c>
      <c r="QB38">
        <f>IF(ROW()-3&gt;MAX($QA$4:$QA$40),"",INDEX($FI$4:$FI$40,MATCH(ROW()-3,$QA$4:$QA$40,0)))</f>
        <v/>
      </c>
      <c r="QC38">
        <f>IF(COUNTIF('Buyer Groups'!DG91:EL91,0)+COUNTIF('Buyer Groups'!EN91:EN91,0)&gt;0,0,1)</f>
        <v/>
      </c>
      <c r="QD38">
        <f>IF($FN$38="",FALSE,SUMPRODUCT(('Final Calculation Sheet'!$AG$4:$AG$40=$FN$38)*($QC$6:$QC$42=1))&gt;0)</f>
        <v/>
      </c>
      <c r="QE38">
        <f>$QE$37+--($QD38)</f>
        <v/>
      </c>
      <c r="QF38">
        <f>IF(ROW()-3&gt;MAX($QE$4:$QE$40),"",INDEX($FN$4:$FN$40,MATCH(ROW()-3,$QE$4:$QE$40,0)))</f>
        <v/>
      </c>
      <c r="QG38">
        <f>IF(COUNTIF('Buyer Groups'!DG91:EM91,0)&gt;0,0,1)</f>
        <v/>
      </c>
      <c r="QH38">
        <f>IF($FS$38="",FALSE,SUMPRODUCT(('Final Calculation Sheet'!$AH$4:$AH$40=$FS$38)*($QG$6:$QG$42=1))&gt;0)</f>
        <v/>
      </c>
      <c r="QI38">
        <f>$QI$37+--($QH38)</f>
        <v/>
      </c>
      <c r="QJ38">
        <f>IF(ROW()-3&gt;MAX($QI$4:$QI$40),"",INDEX($FS$4:$FS$40,MATCH(ROW()-3,$QI$4:$QI$40,0)))</f>
        <v/>
      </c>
      <c r="QK38" t="str">
        <f>IF('Final Calculation Sheet'!$AH$38="","",'Final Calculation Sheet'!$AH$38)</f>
      </c>
      <c r="QL38" t="str">
        <f>IF(QK38="","",COUNTIFS(QK$4:QK$40,"&lt;"&amp;QK38,QK$4:QK$40,"&lt;&gt;"&amp;"")+COUNTIF(QK$4:QK38,QK38))</f>
      </c>
      <c r="QM38" t="str">
        <f>IF(ROW()-3&gt;COUNTIF(QK$4:QK$40,"&lt;&gt;"&amp;""),"",INDEX(QK$4:QK$40,MATCH(ROW()-3,QL$4:QL$40,0)))</f>
      </c>
      <c r="QN38" t="str">
        <f>=QN37+F(AND(QM38&lt;&gt;"",COUNTIF(QM$4:QM38,QM38)=1),1,0)</f>
      </c>
      <c r="QO38" t="str">
        <f>IF(ROW()-3&gt;MAX(QN$4:QN$40),"",INDEX(QM$4:QM$40,MATCH(ROW()-3,QN$4:QN$40,0)))</f>
      </c>
      <c r="QP38" t="str">
        <f>IF(COUNTIF('Final Calculation Sheet'!$AM38:$BS38,0)&gt;0,0,1)</f>
      </c>
      <c r="QQ38" t="str">
        <f>IF($AI$38="",FALSE,SUMPRODUCT(('Final Calculation Sheet'!$A$4:$A$40=$AI$38)*($QP$4:$QP$40=1))&gt;0)</f>
      </c>
      <c r="QR38" t="str">
        <f>=$QR37+--($QQ38)</f>
      </c>
      <c r="QS38" t="str">
        <f>IF(ROW()-3&gt;MAX($QR$4:$QR$40),"",INDEX($AI$4:$AI$40,MATCH(ROW()-3,$QR$4:$QR$40,0)))</f>
      </c>
      <c r="QT38" t="str">
        <f>IF(COUNTIF('Final Calculation Sheet'!$AL38:$AL38,0)+COUNTIF('Final Calculation Sheet'!$AN38:$BS38,0)&gt;0,0,1)</f>
      </c>
      <c r="QU38" t="str">
        <f>IF($Y$38="",FALSE,SUMPRODUCT(('Final Calculation Sheet'!$B$4:$B$40=$Y$38)*($QT$4:$QT$40=1))&gt;0)</f>
      </c>
      <c r="QV38" t="str">
        <f>=$QV37+--($QU38)</f>
      </c>
      <c r="QW38" t="str">
        <f>IF(ROW()-3&gt;MAX($QV$4:$QV$40),"",INDEX($Y$4:$Y$40,MATCH(ROW()-3,$QV$4:$QV$40,0)))</f>
      </c>
      <c r="QX38" t="str">
        <f>IF(COUNTIF('Final Calculation Sheet'!$AL38:$AM38,0)+COUNTIF('Final Calculation Sheet'!$AO38:$BS38,0)&gt;0,0,1)</f>
      </c>
      <c r="QY38" t="str">
        <f>IF($AS$38="",FALSE,SUMPRODUCT(('Final Calculation Sheet'!$C$4:$C$40=$AS$38)*($QX$4:$QX$40=1))&gt;0)</f>
      </c>
      <c r="QZ38" t="str">
        <f>=$QZ37+--($QY38)</f>
      </c>
      <c r="RA38" t="str">
        <f>IF(ROW()-3&gt;MAX($QZ$4:$QZ$40),"",INDEX($AS$4:$AS$40,MATCH(ROW()-3,$QZ$4:$QZ$40,0)))</f>
      </c>
      <c r="RB38" t="str">
        <f>IF(COUNTIF('Final Calculation Sheet'!$AL38:$AN38,0)+COUNTIF('Final Calculation Sheet'!$AP38:$BS38,0)&gt;0,0,1)</f>
      </c>
      <c r="RC38" t="str">
        <f>IF($AD$38="",FALSE,SUMPRODUCT(('Final Calculation Sheet'!$D$4:$D$40=$AD$38)*($RB$4:$RB$40=1))&gt;0)</f>
      </c>
      <c r="RD38" t="str">
        <f>=$RD37+--($RC38)</f>
      </c>
      <c r="RE38" t="str">
        <f>IF(ROW()-3&gt;MAX($RD$4:$RD$40),"",INDEX($AD$4:$AD$40,MATCH(ROW()-3,$RD$4:$RD$40,0)))</f>
      </c>
      <c r="RF38" t="str">
        <f>IF(COUNTIF('Final Calculation Sheet'!$AL38:$AO38,0)+COUNTIF('Final Calculation Sheet'!$AQ38:$BS38,0)&gt;0,0,1)</f>
      </c>
      <c r="RG38" t="str">
        <f>IF($AN$38="",FALSE,SUMPRODUCT(('Final Calculation Sheet'!$E$4:$E$40=$AN$38)*($RF$4:$RF$40=1))&gt;0)</f>
      </c>
      <c r="RH38" t="str">
        <f>=$RH37+--($RG38)</f>
      </c>
      <c r="RI38" t="str">
        <f>IF(ROW()-3&gt;MAX($RH$4:$RH$40),"",INDEX($AN$4:$AN$40,MATCH(ROW()-3,$RH$4:$RH$40,0)))</f>
      </c>
      <c r="RJ38" t="str">
        <f>IF(COUNTIF('Final Calculation Sheet'!$AL38:$AP38,0)+COUNTIF('Final Calculation Sheet'!$AR38:$BS38,0)&gt;0,0,1)</f>
      </c>
      <c r="RK38" t="str">
        <f>IF($O$38="",FALSE,SUMPRODUCT(('Final Calculation Sheet'!$F$4:$F$40=$O$38)*($RJ$4:$RJ$40=1))&gt;0)</f>
      </c>
      <c r="RL38" t="str">
        <f>=$RL37+--($RK38)</f>
      </c>
      <c r="RM38" t="str">
        <f>IF(ROW()-3&gt;MAX($RL$4:$RL$40),"",INDEX($O$4:$O$40,MATCH(ROW()-3,$RL$4:$RL$40,0)))</f>
      </c>
      <c r="RN38" t="str">
        <f>IF(COUNTIF('Final Calculation Sheet'!$AL38:$AQ38,0)+COUNTIF('Final Calculation Sheet'!$AS38:$BS38,0)&gt;0,0,1)</f>
      </c>
      <c r="RO38" t="str">
        <f>IF($T$38="",FALSE,SUMPRODUCT(('Final Calculation Sheet'!$G$4:$G$40=$T$38)*($RN$4:$RN$40=1))&gt;0)</f>
      </c>
      <c r="RP38" t="str">
        <f>=$RP37+--($RO38)</f>
      </c>
      <c r="RQ38" t="str">
        <f>IF(ROW()-3&gt;MAX($RP$4:$RP$40),"",INDEX($T$4:$T$40,MATCH(ROW()-3,$RP$4:$RP$40,0)))</f>
      </c>
      <c r="RR38" t="str">
        <f>IF(COUNTIF('Final Calculation Sheet'!$AL38:$AR38,0)+COUNTIF('Final Calculation Sheet'!$AT38:$BS38,0)&gt;0,0,1)</f>
      </c>
      <c r="RS38" t="str">
        <f>IF($AX$38="",FALSE,SUMPRODUCT(('Final Calculation Sheet'!$H$4:$H$40=$AX$38)*($RR$4:$RR$40=1))&gt;0)</f>
      </c>
      <c r="RT38" t="str">
        <f>=$RT37+--($RS38)</f>
      </c>
      <c r="RU38" t="str">
        <f>IF(ROW()-3&gt;MAX($RT$4:$RT$40),"",INDEX($AX$4:$AX$40,MATCH(ROW()-3,$RT$4:$RT$40,0)))</f>
      </c>
      <c r="RV38" t="str">
        <f>IF(COUNTIF('Final Calculation Sheet'!$AL38:$AS38,0)+COUNTIF('Final Calculation Sheet'!$AU38:$BS38,0)&gt;0,0,1)</f>
      </c>
      <c r="RW38" t="str">
        <f>IF($BC$38="",FALSE,SUMPRODUCT(('Final Calculation Sheet'!$I$4:$I$40=$BC$38)*($RV$4:$RV$40=1))&gt;0)</f>
      </c>
      <c r="RX38" t="str">
        <f>=$RX37+--($RW38)</f>
      </c>
      <c r="RY38" t="str">
        <f>IF(ROW()-3&gt;MAX($RX$4:$RX$40),"",INDEX($BC$4:$BC$40,MATCH(ROW()-3,$RX$4:$RX$40,0)))</f>
      </c>
      <c r="RZ38" t="str">
        <f>IF(COUNTIF('Final Calculation Sheet'!$AL38:$AT38,0)+COUNTIF('Final Calculation Sheet'!$AV38:$BS38,0)&gt;0,0,1)</f>
      </c>
      <c r="SA38" t="str">
        <f>IF($BH$38="",FALSE,SUMPRODUCT(('Final Calculation Sheet'!$J$4:$J$40=$BH$38)*($RZ$4:$RZ$40=1))&gt;0)</f>
      </c>
      <c r="SB38" t="str">
        <f>=$SB37+--($SA38)</f>
      </c>
      <c r="SC38" t="str">
        <f>IF(ROW()-3&gt;MAX($SB$4:$SB$40),"",INDEX($BH$4:$BH$40,MATCH(ROW()-3,$SB$4:$SB$40,0)))</f>
      </c>
      <c r="SD38" t="str">
        <f>IF(COUNTIF('Final Calculation Sheet'!$AL38:$AU38,0)+COUNTIF('Final Calculation Sheet'!$AW38:$BS38,0)&gt;0,0,1)</f>
      </c>
      <c r="SE38" t="str">
        <f>IF($BM$38="",FALSE,SUMPRODUCT(('Final Calculation Sheet'!$K$4:$K$40=$BM$38)*($SD$4:$SD$40=1))&gt;0)</f>
      </c>
      <c r="SF38" t="str">
        <f>=$SF37+--($SE38)</f>
      </c>
      <c r="SG38" t="str">
        <f>IF(ROW()-3&gt;MAX($SF$4:$SF$40),"",INDEX($BM$4:$BM$40,MATCH(ROW()-3,$SF$4:$SF$40,0)))</f>
      </c>
      <c r="SH38" t="str">
        <f>IF(COUNTIF('Final Calculation Sheet'!$AL38:$AV38,0)+COUNTIF('Final Calculation Sheet'!$AX38:$BS38,0)&gt;0,0,1)</f>
      </c>
      <c r="SI38" t="str">
        <f>IF($BR$38="",FALSE,SUMPRODUCT(('Final Calculation Sheet'!$L$4:$L$40=$BR$38)*($SH$4:$SH$40=1))&gt;0)</f>
      </c>
      <c r="SJ38" t="str">
        <f>=$SJ37+--($SI38)</f>
      </c>
      <c r="SK38" t="str">
        <f>IF(ROW()-3&gt;MAX($SJ$4:$SJ$40),"",INDEX($BR$4:$BR$40,MATCH(ROW()-3,$SJ$4:$SJ$40,0)))</f>
      </c>
      <c r="SL38" t="str">
        <f>IF(COUNTIF('Final Calculation Sheet'!$AL38:$AW38,0)+COUNTIF('Final Calculation Sheet'!$AY38:$BS38,0)&gt;0,0,1)</f>
      </c>
      <c r="SM38" t="str">
        <f>IF($BW$38="",FALSE,SUMPRODUCT(('Final Calculation Sheet'!$M$4:$M$40=$BW$38)*($SL$4:$SL$40=1))&gt;0)</f>
      </c>
      <c r="SN38" t="str">
        <f>=$SN37+--($SM38)</f>
      </c>
      <c r="SO38" t="str">
        <f>IF(ROW()-3&gt;MAX($SN$4:$SN$40),"",INDEX($BW$4:$BW$40,MATCH(ROW()-3,$SN$4:$SN$40,0)))</f>
      </c>
      <c r="SP38" t="str">
        <f>IF(COUNTIF('Final Calculation Sheet'!$AL38:$AX38,0)+COUNTIF('Final Calculation Sheet'!$AZ38:$BS38,0)&gt;0,0,1)</f>
      </c>
      <c r="SQ38" t="str">
        <f>IF($CB$38="",FALSE,SUMPRODUCT(('Final Calculation Sheet'!$N$4:$N$40=$CB$38)*($SP$4:$SP$40=1))&gt;0)</f>
      </c>
      <c r="SR38" t="str">
        <f>=$SR37+--($SQ38)</f>
      </c>
      <c r="SS38" t="str">
        <f>IF(ROW()-3&gt;MAX($SR$4:$SR$40),"",INDEX($CB$4:$CB$40,MATCH(ROW()-3,$SR$4:$SR$40,0)))</f>
      </c>
      <c r="ST38" t="str">
        <f>IF(COUNTIF('Final Calculation Sheet'!$AL38:$AY38,0)+COUNTIF('Final Calculation Sheet'!$BA38:$BS38,0)&gt;0,0,1)</f>
      </c>
      <c r="SU38" t="str">
        <f>IF($CG$38="",FALSE,SUMPRODUCT(('Final Calculation Sheet'!$O$4:$O$40=$CG$38)*($ST$4:$ST$40=1))&gt;0)</f>
      </c>
      <c r="SV38" t="str">
        <f>=$SV37+--($SU38)</f>
      </c>
      <c r="SW38" t="str">
        <f>IF(ROW()-3&gt;MAX($SV$4:$SV$40),"",INDEX($CG$4:$CG$40,MATCH(ROW()-3,$SV$4:$SV$40,0)))</f>
      </c>
      <c r="SX38" t="str">
        <f>IF(COUNTIF('Final Calculation Sheet'!$AL38:$AZ38,0)+COUNTIF('Final Calculation Sheet'!$BB38:$BS38,0)&gt;0,0,1)</f>
      </c>
      <c r="SY38" t="str">
        <f>IF($CL$38="",FALSE,SUMPRODUCT(('Final Calculation Sheet'!$P$4:$P$40=$CL$38)*($SX$4:$SX$40=1))&gt;0)</f>
      </c>
      <c r="SZ38" t="str">
        <f>=$SZ37+--($SY38)</f>
      </c>
      <c r="TA38" t="str">
        <f>IF(ROW()-3&gt;MAX($SZ$4:$SZ$40),"",INDEX($CL$4:$CL$40,MATCH(ROW()-3,$SZ$4:$SZ$40,0)))</f>
      </c>
      <c r="TB38" t="str">
        <f>IF(COUNTIF('Final Calculation Sheet'!$AL38:$BA38,0)+COUNTIF('Final Calculation Sheet'!$BC38:$BS38,0)&gt;0,0,1)</f>
      </c>
      <c r="TC38" t="str">
        <f>IF($CQ$38="",FALSE,SUMPRODUCT(('Final Calculation Sheet'!$Q$4:$Q$40=$CQ$38)*($TB$4:$TB$40=1))&gt;0)</f>
      </c>
      <c r="TD38" t="str">
        <f>=$TD37+--($TC38)</f>
      </c>
      <c r="TE38" t="str">
        <f>IF(ROW()-3&gt;MAX($TD$4:$TD$40),"",INDEX($CQ$4:$CQ$40,MATCH(ROW()-3,$TD$4:$TD$40,0)))</f>
      </c>
      <c r="TF38" t="str">
        <f>IF(COUNTIF('Final Calculation Sheet'!$AL38:$BB38,0)+COUNTIF('Final Calculation Sheet'!$BD38:$BS38,0)&gt;0,0,1)</f>
      </c>
      <c r="TG38" t="str">
        <f>IF($CV$38="",FALSE,SUMPRODUCT(('Final Calculation Sheet'!$R$4:$R$40=$CV$38)*($TF$4:$TF$40=1))&gt;0)</f>
      </c>
      <c r="TH38" t="str">
        <f>=$TH37+--($TG38)</f>
      </c>
      <c r="TI38" t="str">
        <f>IF(ROW()-3&gt;MAX($TH$4:$TH$40),"",INDEX($CV$4:$CV$40,MATCH(ROW()-3,$TH$4:$TH$40,0)))</f>
      </c>
      <c r="TJ38" t="str">
        <f>IF(COUNTIF('Final Calculation Sheet'!$AL38:$BC38,0)+COUNTIF('Final Calculation Sheet'!$BE38:$BS38,0)&gt;0,0,1)</f>
      </c>
      <c r="TK38" t="str">
        <f>IF($DA$38="",FALSE,SUMPRODUCT(('Final Calculation Sheet'!$S$4:$S$40=$DA$38)*($TJ$4:$TJ$40=1))&gt;0)</f>
      </c>
      <c r="TL38" t="str">
        <f>=$TL37+--($TK38)</f>
      </c>
      <c r="TM38" t="str">
        <f>IF(ROW()-3&gt;MAX($TL$4:$TL$40),"",INDEX($DA$4:$DA$40,MATCH(ROW()-3,$TL$4:$TL$40,0)))</f>
      </c>
      <c r="TN38" t="str">
        <f>IF(COUNTIF('Final Calculation Sheet'!$AL38:$BD38,0)+COUNTIF('Final Calculation Sheet'!$BF38:$BS38,0)&gt;0,0,1)</f>
      </c>
      <c r="TO38" t="str">
        <f>IF($DF$38="",FALSE,SUMPRODUCT(('Final Calculation Sheet'!$T$4:$T$40=$DF$38)*($TN$4:$TN$40=1))&gt;0)</f>
      </c>
      <c r="TP38" t="str">
        <f>=$TP37+--($TO38)</f>
      </c>
      <c r="TQ38" t="str">
        <f>IF(ROW()-3&gt;MAX($TP$4:$TP$40),"",INDEX($DF$4:$DF$40,MATCH(ROW()-3,$TP$4:$TP$40,0)))</f>
      </c>
      <c r="TR38" t="str">
        <f>IF(COUNTIF('Final Calculation Sheet'!$AL38:$BE38,0)+COUNTIF('Final Calculation Sheet'!$BG38:$BS38,0)&gt;0,0,1)</f>
      </c>
      <c r="TS38" t="str">
        <f>IF($DK$38="",FALSE,SUMPRODUCT(('Final Calculation Sheet'!$U$4:$U$40=$DK$38)*($TR$4:$TR$40=1))&gt;0)</f>
      </c>
      <c r="TT38" t="str">
        <f>=$TT37+--($TS38)</f>
      </c>
      <c r="TU38" t="str">
        <f>IF(ROW()-3&gt;MAX($TT$4:$TT$40),"",INDEX($DK$4:$DK$40,MATCH(ROW()-3,$TT$4:$TT$40,0)))</f>
      </c>
      <c r="TV38" t="str">
        <f>IF(COUNTIF('Final Calculation Sheet'!$AL38:$BF38,0)+COUNTIF('Final Calculation Sheet'!$BH38:$BS38,0)&gt;0,0,1)</f>
      </c>
      <c r="TW38" t="str">
        <f>IF($DP$38="",FALSE,SUMPRODUCT(('Final Calculation Sheet'!$V$4:$V$40=$DP$38)*($TV$4:$TV$40=1))&gt;0)</f>
      </c>
      <c r="TX38" t="str">
        <f>=$TX37+--($TW38)</f>
      </c>
      <c r="TY38" t="str">
        <f>IF(ROW()-3&gt;MAX($TX$4:$TX$40),"",INDEX($DP$4:$DP$40,MATCH(ROW()-3,$TX$4:$TX$40,0)))</f>
      </c>
      <c r="TZ38" t="str">
        <f>IF(COUNTIF('Final Calculation Sheet'!$AL38:$BG38,0)+COUNTIF('Final Calculation Sheet'!$BI38:$BS38,0)&gt;0,0,1)</f>
      </c>
      <c r="UA38" t="str">
        <f>IF($DU$38="",FALSE,SUMPRODUCT(('Final Calculation Sheet'!$W$4:$W$40=$DU$38)*($TZ$4:$TZ$40=1))&gt;0)</f>
      </c>
      <c r="UB38" t="str">
        <f>=$UB37+--($UA38)</f>
      </c>
      <c r="UC38" t="str">
        <f>IF(ROW()-3&gt;MAX($UB$4:$UB$40),"",INDEX($DU$4:$DU$40,MATCH(ROW()-3,$UB$4:$UB$40,0)))</f>
      </c>
      <c r="UD38" t="str">
        <f>IF(COUNTIF('Final Calculation Sheet'!$AL38:$BH38,0)+COUNTIF('Final Calculation Sheet'!$BJ38:$BS38,0)&gt;0,0,1)</f>
      </c>
      <c r="UE38" t="str">
        <f>IF($DZ$38="",FALSE,SUMPRODUCT(('Final Calculation Sheet'!$X$4:$X$40=$DZ$38)*($UD$4:$UD$40=1))&gt;0)</f>
      </c>
      <c r="UF38" t="str">
        <f>=$UF37+--($UE38)</f>
      </c>
      <c r="UG38" t="str">
        <f>IF(ROW()-3&gt;MAX($UF$4:$UF$40),"",INDEX($DZ$4:$DZ$40,MATCH(ROW()-3,$UF$4:$UF$40,0)))</f>
      </c>
      <c r="UH38" t="str">
        <f>IF(COUNTIF('Final Calculation Sheet'!$AL38:$BI38,0)+COUNTIF('Final Calculation Sheet'!$BK38:$BS38,0)&gt;0,0,1)</f>
      </c>
      <c r="UI38" t="str">
        <f>IF($EE$38="",FALSE,SUMPRODUCT(('Final Calculation Sheet'!$Y$4:$Y$40=$EE$38)*($UH$4:$UH$40=1))&gt;0)</f>
      </c>
      <c r="UJ38" t="str">
        <f>=$UJ37+--($UI38)</f>
      </c>
      <c r="UK38" t="str">
        <f>IF(ROW()-3&gt;MAX($UJ$4:$UJ$40),"",INDEX($EE$4:$EE$40,MATCH(ROW()-3,$UJ$4:$UJ$40,0)))</f>
      </c>
      <c r="UL38" t="str">
        <f>IF(COUNTIF('Final Calculation Sheet'!$AL38:$BJ38,0)+COUNTIF('Final Calculation Sheet'!$BL38:$BS38,0)&gt;0,0,1)</f>
      </c>
      <c r="UM38" t="str">
        <f>IF($EJ$38="",FALSE,SUMPRODUCT(('Final Calculation Sheet'!$Z$4:$Z$40=$EJ$38)*($UL$4:$UL$40=1))&gt;0)</f>
      </c>
      <c r="UN38" t="str">
        <f>=$UN37+--($UM38)</f>
      </c>
      <c r="UO38" t="str">
        <f>IF(ROW()-3&gt;MAX($UN$4:$UN$40),"",INDEX($EJ$4:$EJ$40,MATCH(ROW()-3,$UN$4:$UN$40,0)))</f>
      </c>
      <c r="UP38" t="str">
        <f>IF(COUNTIF('Final Calculation Sheet'!$AL38:$BK38,0)+COUNTIF('Final Calculation Sheet'!$BM38:$BS38,0)&gt;0,0,1)</f>
      </c>
      <c r="UQ38" t="str">
        <f>IF($EO$38="",FALSE,SUMPRODUCT(('Final Calculation Sheet'!$AA$4:$AA$40=$EO$38)*($UP$4:$UP$40=1))&gt;0)</f>
      </c>
      <c r="UR38" t="str">
        <f>=$UR37+--($UQ38)</f>
      </c>
      <c r="US38" t="str">
        <f>IF(ROW()-3&gt;MAX($UR$4:$UR$40),"",INDEX($EO$4:$EO$40,MATCH(ROW()-3,$UR$4:$UR$40,0)))</f>
      </c>
      <c r="UT38" t="str">
        <f>IF(COUNTIF('Final Calculation Sheet'!$AL38:$BL38,0)+COUNTIF('Final Calculation Sheet'!$BN38:$BS38,0)&gt;0,0,1)</f>
      </c>
      <c r="UU38" t="str">
        <f>IF($ET$38="",FALSE,SUMPRODUCT(('Final Calculation Sheet'!$AB$4:$AB$40=$ET$38)*($UT$4:$UT$40=1))&gt;0)</f>
      </c>
      <c r="UV38" t="str">
        <f>=$UV37+--($UU38)</f>
      </c>
      <c r="UW38" t="str">
        <f>IF(ROW()-3&gt;MAX($UV$4:$UV$40),"",INDEX($ET$4:$ET$40,MATCH(ROW()-3,$UV$4:$UV$40,0)))</f>
      </c>
      <c r="UX38" t="str">
        <f>IF(COUNTIF('Final Calculation Sheet'!$AL38:$BM38,0)+COUNTIF('Final Calculation Sheet'!$BO38:$BS38,0)&gt;0,0,1)</f>
      </c>
      <c r="UY38" t="str">
        <f>IF($EY$38="",FALSE,SUMPRODUCT(('Final Calculation Sheet'!$AC$4:$AC$40=$EY$38)*($UX$4:$UX$40=1))&gt;0)</f>
      </c>
      <c r="UZ38" t="str">
        <f>=$UZ37+--($UY38)</f>
      </c>
      <c r="VA38" t="str">
        <f>IF(ROW()-3&gt;MAX($UZ$4:$UZ$40),"",INDEX($EY$4:$EY$40,MATCH(ROW()-3,$UZ$4:$UZ$40,0)))</f>
      </c>
      <c r="VB38" t="str">
        <f>IF(COUNTIF('Final Calculation Sheet'!$AL38:$BN38,0)+COUNTIF('Final Calculation Sheet'!$BP38:$BS38,0)&gt;0,0,1)</f>
      </c>
      <c r="VC38" t="str">
        <f>IF($FD$38="",FALSE,SUMPRODUCT(('Final Calculation Sheet'!$AD$4:$AD$40=$FD$38)*($VB$4:$VB$40=1))&gt;0)</f>
      </c>
      <c r="VD38" t="str">
        <f>=$VD37+--($VC38)</f>
      </c>
      <c r="VE38" t="str">
        <f>IF(ROW()-3&gt;MAX($VD$4:$VD$40),"",INDEX($FD$4:$FD$40,MATCH(ROW()-3,$VD$4:$VD$40,0)))</f>
      </c>
      <c r="VF38" t="str">
        <f>IF(COUNTIF('Final Calculation Sheet'!$AL38:$BO38,0)+COUNTIF('Final Calculation Sheet'!$BQ38:$BS38,0)&gt;0,0,1)</f>
      </c>
      <c r="VG38" t="str">
        <f>IF($FI$38="",FALSE,SUMPRODUCT(('Final Calculation Sheet'!$AE$4:$AE$40=$FI$38)*($VF$4:$VF$40=1))&gt;0)</f>
      </c>
      <c r="VH38" t="str">
        <f>=$VH37+--($VG38)</f>
      </c>
      <c r="VI38" t="str">
        <f>IF(ROW()-3&gt;MAX($VH$4:$VH$40),"",INDEX($FI$4:$FI$40,MATCH(ROW()-3,$VH$4:$VH$40,0)))</f>
      </c>
      <c r="VJ38" t="str">
        <f>IF(COUNTIF('Final Calculation Sheet'!$AL38:$BP38,0)+COUNTIF('Final Calculation Sheet'!$BR38:$BS38,0)&gt;0,0,1)</f>
      </c>
      <c r="VK38" t="str">
        <f>IF($FN$38="",FALSE,SUMPRODUCT(('Final Calculation Sheet'!$AF$4:$AF$40=$FN$38)*($VJ$4:$VJ$40=1))&gt;0)</f>
      </c>
      <c r="VL38" t="str">
        <f>=$VL37+--($VK38)</f>
      </c>
      <c r="VM38" t="str">
        <f>IF(ROW()-3&gt;MAX($VL$4:$VL$40),"",INDEX($FN$4:$FN$40,MATCH(ROW()-3,$VL$4:$VL$40,0)))</f>
      </c>
      <c r="VN38" t="str">
        <f>IF(COUNTIF('Final Calculation Sheet'!$AL38:$BQ38,0)+COUNTIF('Final Calculation Sheet'!$BS38:$BS38,0)&gt;0,0,1)</f>
      </c>
      <c r="VO38" t="str">
        <f>IF($FS$38="",FALSE,SUMPRODUCT(('Final Calculation Sheet'!$AG$4:$AG$40=$FS$38)*($VN$4:$VN$40=1))&gt;0)</f>
      </c>
      <c r="VP38" t="str">
        <f>=$VP37+--($VO38)</f>
      </c>
      <c r="VQ38" t="str">
        <f>IF(ROW()-3&gt;MAX($VP$4:$VP$40),"",INDEX($FS$4:$FS$40,MATCH(ROW()-3,$VP$4:$VP$40,0)))</f>
      </c>
      <c r="VR38" t="str">
        <f>IF(COUNTIF('Final Calculation Sheet'!$AL38:$BR38,0)&gt;0,0,1)</f>
      </c>
      <c r="VS38" t="str">
        <f>IF($QO$38="",FALSE,SUMPRODUCT(('Final Calculation Sheet'!$AH$4:$AH$40=$QO$38)*($VR$4:$VR$40=1))&gt;0)</f>
      </c>
      <c r="VT38" t="str">
        <f>=$VT37+--($VS38)</f>
      </c>
      <c r="VU38" t="str">
        <f>IF(ROW()-3&gt;MAX($VT$4:$VT$40),"",INDEX($QO$4:$QO$40,MATCH(ROW()-3,$VT$4:$VT$40,0)))</f>
      </c>
    </row>
    <row r="39">
      <c r="A39">
        <f>IF(IFERROR('Final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IF(IFERROR('Final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s="55">
        <f>IF('Final Calculation Sheet'!$C$39="","",'Final Calculation Sheet'!$C$39)</f>
        <v/>
      </c>
      <c r="AP39">
        <f>IF(AO39="","",COUNTIFS(AO$4:AO$40,"&lt;"&amp;AO39,AO$4:AO$40,"&lt;&gt;"&amp;"")+COUNTIF(AO$4:AO39,AO39))</f>
        <v/>
      </c>
      <c r="AQ39" s="55">
        <f>IF(ROW()-3&gt;COUNTIF(AO$4:AO$40,"&lt;&gt;"&amp;""),"",INDEX(AO$4:AO$40,MATCH(ROW()-3,AP$4:AP$40,0)))</f>
        <v/>
      </c>
      <c r="AR39">
        <f>AR38+IF(AND(AQ39&lt;&gt;"",COUNTIF(AQ$4:AQ39,AQ39)=1),1,0)</f>
        <v/>
      </c>
      <c r="AS39">
        <f>IF(ROW()-3&gt;MAX(AR$4:AR$40),"",INDEX(AQ$4:AQ$40,MATCH(ROW()-3,AR$4:AR$40,0)))</f>
        <v/>
      </c>
      <c r="AT39" s="55">
        <f>IF('Final Calculation Sheet'!$H$39="","",'Final Calculation Sheet'!$H$39)</f>
        <v/>
      </c>
      <c r="AU39">
        <f>IF(AT39="","",COUNTIFS(AT$4:AT$40,"&lt;"&amp;AT39,AT$4:AT$40,"&lt;&gt;"&amp;"")+COUNTIF(AT$4:AT39,AT39))</f>
        <v/>
      </c>
      <c r="AV39" s="55">
        <f>IF(ROW()-3&gt;COUNTIF(AT$4:AT$40,"&lt;&gt;"&amp;""),"",INDEX(AT$4:AT$40,MATCH(ROW()-3,AU$4:AU$40,0)))</f>
        <v/>
      </c>
      <c r="AW39">
        <f>AW38+IF(AND(AV39&lt;&gt;"",COUNTIF(AV$4:AV39,AV39)=1),1,0)</f>
        <v/>
      </c>
      <c r="AX39" s="55">
        <f>IF(ROW()-3&gt;MAX(AW$4:AW$40),"",INDEX(AV$4:AV$40,MATCH(ROW()-3,AW$4:AW$40,0)))</f>
        <v/>
      </c>
      <c r="AY39" s="55">
        <f>IF('Final Calculation Sheet'!$I$39="","",'Final Calculation Sheet'!$I$39)</f>
        <v/>
      </c>
      <c r="AZ39">
        <f>IF(AY39="","",COUNTIFS(AY$4:AY$40,"&lt;"&amp;AY39,AY$4:AY$40,"&lt;&gt;"&amp;"")+COUNTIF(AY$4:AY39,AY39))</f>
        <v/>
      </c>
      <c r="BA39" s="55">
        <f>IF(ROW()-3&gt;COUNTIF(AY$4:AY$40,"&lt;&gt;"&amp;""),"",INDEX(AY$4:AY$40,MATCH(ROW()-3,AZ$4:AZ$40,0)))</f>
        <v/>
      </c>
      <c r="BB39">
        <f>BB38+IF(AND(BA39&lt;&gt;"",COUNTIF(BA$4:BA39,BA39)=1),1,0)</f>
        <v/>
      </c>
      <c r="BC39" s="55">
        <f>IF(ROW()-3&gt;MAX(BB$4:BB$40),"",INDEX(BA$4:BA$40,MATCH(ROW()-3,BB$4:BB$40,0)))</f>
        <v/>
      </c>
      <c r="BD39" s="55">
        <f>IF('Final Calculation Sheet'!$J$39="","",'Final Calculation Sheet'!$J$39)</f>
        <v/>
      </c>
      <c r="BE39">
        <f>IF(BD39="","",COUNTIFS(BD$4:BD$40,"&lt;"&amp;BD39,BD$4:BD$40,"&lt;&gt;"&amp;"")+COUNTIF(BD$4:BD39,BD39))</f>
        <v/>
      </c>
      <c r="BF39" s="55">
        <f>IF(ROW()-3&gt;COUNTIF(BD$4:BD$40,"&lt;&gt;"&amp;""),"",INDEX(BD$4:BD$40,MATCH(ROW()-3,BE$4:BE$40,0)))</f>
        <v/>
      </c>
      <c r="BG39">
        <f>BG38+IF(AND(BF39&lt;&gt;"",COUNTIF(BF$4:BF39,BF39)=1),1,0)</f>
        <v/>
      </c>
      <c r="BH39" s="55">
        <f>IF(ROW()-3&gt;MAX(BG$4:BG$40),"",INDEX(BF$4:BF$40,MATCH(ROW()-3,BG$4:BG$40,0)))</f>
        <v/>
      </c>
      <c r="BI39" s="55">
        <f>IF('Final Calculation Sheet'!$K$39="","",'Final Calculation Sheet'!$K$39)</f>
        <v/>
      </c>
      <c r="BJ39">
        <f>IF(BI39="","",COUNTIFS(BI$4:BI$40,"&lt;"&amp;BI39,BI$4:BI$40,"&lt;&gt;"&amp;"")+COUNTIF(BI$4:BI39,BI39))</f>
        <v/>
      </c>
      <c r="BK39" s="55">
        <f>IF(ROW()-3&gt;COUNTIF(BI$4:BI$40,"&lt;&gt;"&amp;""),"",INDEX(BI$4:BI$40,MATCH(ROW()-3,BJ$4:BJ$40,0)))</f>
        <v/>
      </c>
      <c r="BL39">
        <f>BL38+IF(AND(BK39&lt;&gt;"",COUNTIF(BK$4:BK39,BK39)=1),1,0)</f>
        <v/>
      </c>
      <c r="BM39" s="55">
        <f>IF(ROW()-3&gt;MAX(BL$4:BL$40),"",INDEX(BK$4:BK$40,MATCH(ROW()-3,BL$4:BL$40,0)))</f>
        <v/>
      </c>
      <c r="BN39" s="55">
        <f>IF('Final Calculation Sheet'!$L$39="","",'Final Calculation Sheet'!$L$39)</f>
        <v/>
      </c>
      <c r="BO39">
        <f>IF(BN39="","",COUNTIFS(BN$4:BN$40,"&lt;"&amp;BN39,BN$4:BN$40,"&lt;&gt;"&amp;"")+COUNTIF(BN$4:BN39,BN39))</f>
        <v/>
      </c>
      <c r="BP39" s="55">
        <f>IF(ROW()-3&gt;COUNTIF(BN$4:BN$40,"&lt;&gt;"&amp;""),"",INDEX(BN$4:BN$40,MATCH(ROW()-3,BO$4:BO$40,0)))</f>
        <v/>
      </c>
      <c r="BQ39">
        <f>BQ38+IF(AND(BP39&lt;&gt;"",COUNTIF(BP$4:BP39,BP39)=1),1,0)</f>
        <v/>
      </c>
      <c r="BR39" s="55">
        <f>IF(ROW()-3&gt;MAX(BQ$4:BQ$40),"",INDEX(BP$4:BP$40,MATCH(ROW()-3,BQ$4:BQ$40,0)))</f>
        <v/>
      </c>
      <c r="BS39" s="55">
        <f>IF('Final Calculation Sheet'!$M$39="","",'Final Calculation Sheet'!$M$39)</f>
        <v/>
      </c>
      <c r="BT39">
        <f>IF(BS39="","",COUNTIFS(BS$4:BS$40,"&lt;"&amp;BS39,BS$4:BS$40,"&lt;&gt;"&amp;"")+COUNTIF(BS$4:BS39,BS39))</f>
        <v/>
      </c>
      <c r="BU39" s="55">
        <f>IF(ROW()-3&gt;COUNTIF(BS$4:BS$40,"&lt;&gt;"&amp;""),"",INDEX(BS$4:BS$40,MATCH(ROW()-3,BT$4:BT$40,0)))</f>
        <v/>
      </c>
      <c r="BV39">
        <f>BV38+IF(AND(BU39&lt;&gt;"",COUNTIF(BU$4:BU39,BU39)=1),1,0)</f>
        <v/>
      </c>
      <c r="BW39" s="55">
        <f>IF(ROW()-3&gt;MAX(BV$4:BV$40),"",INDEX(BU$4:BU$40,MATCH(ROW()-3,BV$4:BV$40,0)))</f>
        <v/>
      </c>
      <c r="BX39" s="138">
        <f>IF('Final Calculation Sheet'!$N$39="","",'Final Calculation Sheet'!$N$39)</f>
        <v/>
      </c>
      <c r="BY39">
        <f>IF(BX39="","",COUNTIFS(BX$4:BX$40,"&lt;"&amp;BX39,BX$4:BX$40,"&lt;&gt;"&amp;"")+COUNTIF(BX$4:BX39,BX39))</f>
        <v/>
      </c>
      <c r="BZ39" s="138">
        <f>IF(ROW()-3&gt;COUNTIF(BX$4:BX$40,"&lt;&gt;"&amp;""),"",INDEX(BX$4:BX$40,MATCH(ROW()-3,BY$4:BY$40,0)))</f>
        <v/>
      </c>
      <c r="CA39">
        <f>CA38+IF(AND(BZ39&lt;&gt;"",COUNTIF(BZ$4:BZ39,BZ39)=1),1,0)</f>
        <v/>
      </c>
      <c r="CB39" s="138">
        <f>IF(ROW()-3&gt;MAX(CA$4:CA$40),"",INDEX(BZ$4:BZ$40,MATCH(ROW()-3,CA$4:CA$40,0)))</f>
        <v/>
      </c>
      <c r="CC39" s="55">
        <f>IF('Final Calculation Sheet'!$O$39="","",'Final Calculation Sheet'!$O$39)</f>
        <v/>
      </c>
      <c r="CD39">
        <f>IF(CC39="","",COUNTIFS(CC$4:CC$40,"&lt;"&amp;CC39,CC$4:CC$40,"&lt;&gt;"&amp;"")+COUNTIF(CC$4:CC39,CC39))</f>
        <v/>
      </c>
      <c r="CE39" s="55">
        <f>IF(ROW()-3&gt;COUNTIF(CC$4:CC$40,"&lt;&gt;"&amp;""),"",INDEX(CC$4:CC$40,MATCH(ROW()-3,CD$4:CD$40,0)))</f>
        <v/>
      </c>
      <c r="CF39">
        <f>CF38+IF(AND(CE39&lt;&gt;"",COUNTIF(CE$4:CE39,CE39)=1),1,0)</f>
        <v/>
      </c>
      <c r="CG39" s="55">
        <f>IF(ROW()-3&gt;MAX(CF$4:CF$40),"",INDEX(CE$4:CE$40,MATCH(ROW()-3,CF$4:CF$40,0)))</f>
        <v/>
      </c>
      <c r="CH39" s="55">
        <f>IF('Final Calculation Sheet'!$P$39="","",'Final Calculation Sheet'!$P$39)</f>
        <v/>
      </c>
      <c r="CI39">
        <f>IF(CH39="","",COUNTIFS(CH$4:CH$40,"&lt;"&amp;CH39,CH$4:CH$40,"&lt;&gt;"&amp;"")+COUNTIF(CH$4:CH39,CH39))</f>
        <v/>
      </c>
      <c r="CJ39" s="55">
        <f>IF(ROW()-3&gt;COUNTIF(CH$4:CH$40,"&lt;&gt;"&amp;""),"",INDEX(CH$4:CH$40,MATCH(ROW()-3,CI$4:CI$40,0)))</f>
        <v/>
      </c>
      <c r="CK39">
        <f>CK38+IF(AND(CJ39&lt;&gt;"",COUNTIF(CJ$4:CJ39,CJ39)=1),1,0)</f>
        <v/>
      </c>
      <c r="CL39" s="55">
        <f>IF(ROW()-3&gt;MAX(CK$4:CK$40),"",INDEX(CJ$4:CJ$40,MATCH(ROW()-3,CK$4:CK$40,0)))</f>
        <v/>
      </c>
      <c r="CM39" s="139">
        <f>IF('Final Calculation Sheet'!$Q$39="","",'Final Calculation Sheet'!$Q$39)</f>
        <v/>
      </c>
      <c r="CN39">
        <f>IF(CM39="","",COUNTIFS(CM$4:CM$40,"&lt;"&amp;CM39,CM$4:CM$40,"&lt;&gt;"&amp;"")+COUNTIF(CM$4:CM39,CM39))</f>
        <v/>
      </c>
      <c r="CO39" s="139">
        <f>IF(ROW()-3&gt;COUNTIF(CM$4:CM$40,"&lt;&gt;"&amp;""),"",INDEX(CM$4:CM$40,MATCH(ROW()-3,CN$4:CN$40,0)))</f>
        <v/>
      </c>
      <c r="CP39">
        <f>CP38+IF(AND(CO39&lt;&gt;"",COUNTIF(CO$4:CO39,CO39)=1),1,0)</f>
        <v/>
      </c>
      <c r="CQ39">
        <f>IF(ROW()-3&gt;MAX(CP$4:CP$40),"",INDEX(CO$4:CO$40,MATCH(ROW()-3,CP$4:CP$40,0)))</f>
        <v/>
      </c>
      <c r="CR39" s="55">
        <f>IF('Final Calculation Sheet'!$R$39="","",'Final Calculation Sheet'!$R$39)</f>
        <v/>
      </c>
      <c r="CS39">
        <f>IF(CR39="","",COUNTIFS(CR$4:CR$40,"&lt;"&amp;CR39,CR$4:CR$40,"&lt;&gt;"&amp;"")+COUNTIF(CR$4:CR39,CR39))</f>
        <v/>
      </c>
      <c r="CT39" s="55">
        <f>IF(ROW()-3&gt;COUNTIF(CR$4:CR$40,"&lt;&gt;"&amp;""),"",INDEX(CR$4:CR$40,MATCH(ROW()-3,CS$4:CS$40,0)))</f>
        <v/>
      </c>
      <c r="CU39">
        <f>CU38+IF(AND(CT39&lt;&gt;"",COUNTIF(CT$4:CT39,CT39)=1),1,0)</f>
        <v/>
      </c>
      <c r="CV39">
        <f>IF(ROW()-3&gt;MAX(CU$4:CU$40),"",INDEX(CT$4:CT$40,MATCH(ROW()-3,CU$4:CU$40,0)))</f>
        <v/>
      </c>
      <c r="CW39" s="55">
        <f>IF('Final Calculation Sheet'!$S$39="","",'Final Calculation Sheet'!$S$39)</f>
        <v/>
      </c>
      <c r="CX39">
        <f>IF(CW39="","",COUNTIFS(CW$4:CW$40,"&lt;"&amp;CW39,CW$4:CW$40,"&lt;&gt;"&amp;"")+COUNTIF(CW$4:CW39,CW39))</f>
        <v/>
      </c>
      <c r="CY39" s="55">
        <f>IF(ROW()-3&gt;COUNTIF(CW$4:CW$40,"&lt;&gt;"&amp;""),"",INDEX(CW$4:CW$40,MATCH(ROW()-3,CX$4:CX$40,0)))</f>
        <v/>
      </c>
      <c r="CZ39">
        <f>CZ38+IF(AND(CY39&lt;&gt;"",COUNTIF(CY$4:CY39,CY39)=1),1,0)</f>
        <v/>
      </c>
      <c r="DA39" s="55">
        <f>IF(ROW()-3&gt;MAX(CZ$4:CZ$40),"",INDEX(CY$4:CY$40,MATCH(ROW()-3,CZ$4:CZ$40,0)))</f>
        <v/>
      </c>
      <c r="DB39" s="55">
        <f>IF('Final Calculation Sheet'!$T$39="","",'Final Calculation Sheet'!$T$39)</f>
        <v/>
      </c>
      <c r="DC39">
        <f>IF(DB39="","",COUNTIFS(DB$4:DB$40,"&lt;"&amp;DB39,DB$4:DB$40,"&lt;&gt;"&amp;"")+COUNTIF(DB$4:DB39,DB39))</f>
        <v/>
      </c>
      <c r="DD39" s="55">
        <f>IF(ROW()-3&gt;COUNTIF(DB$4:DB$40,"&lt;&gt;"&amp;""),"",INDEX(DB$4:DB$40,MATCH(ROW()-3,DC$4:DC$40,0)))</f>
        <v/>
      </c>
      <c r="DE39">
        <f>DE38+IF(AND(DD39&lt;&gt;"",COUNTIF(DD$4:DD39,DD39)=1),1,0)</f>
        <v/>
      </c>
      <c r="DF39" s="55">
        <f>IF(ROW()-3&gt;MAX(DE$4:DE$40),"",INDEX(DD$4:DD$40,MATCH(ROW()-3,DE$4:DE$40,0)))</f>
        <v/>
      </c>
      <c r="DG39" s="140">
        <f>IF('Final Calculation Sheet'!$U$39="","",'Final Calculation Sheet'!$U$39)</f>
        <v/>
      </c>
      <c r="DH39">
        <f>IF(DG39="","",COUNTIFS(DG$4:DG$40,"&lt;"&amp;DG39,DG$4:DG$40,"&lt;&gt;"&amp;"")+COUNTIF(DG$4:DG39,DG39))</f>
        <v/>
      </c>
      <c r="DI39" s="140">
        <f>IF(ROW()-3&gt;COUNTIF(DG$4:DG$40,"&lt;&gt;"&amp;""),"",INDEX(DG$4:DG$40,MATCH(ROW()-3,DH$4:DH$40,0)))</f>
        <v/>
      </c>
      <c r="DJ39">
        <f>DJ38+IF(AND(DI39&lt;&gt;"",COUNTIF(DI$4:DI39,DI39)=1),1,0)</f>
        <v/>
      </c>
      <c r="DK39" s="140">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s="55">
        <f>IF('Final Calculation Sheet'!$W$39="","",'Final Calculation Sheet'!$W$39)</f>
        <v/>
      </c>
      <c r="DR39">
        <f>IF(DQ39="","",COUNTIFS(DQ$4:DQ$40,"&lt;"&amp;DQ39,DQ$4:DQ$40,"&lt;&gt;"&amp;"")+COUNTIF(DQ$4:DQ39,DQ39))</f>
        <v/>
      </c>
      <c r="DS39" s="55">
        <f>IF(ROW()-3&gt;COUNTIF(DQ$4:DQ$40,"&lt;&gt;"&amp;""),"",INDEX(DQ$4:DQ$40,MATCH(ROW()-3,DR$4:DR$40,0)))</f>
        <v/>
      </c>
      <c r="DT39">
        <f>DT38+IF(AND(DS39&lt;&gt;"",COUNTIF(DS$4:DS39,DS39)=1),1,0)</f>
        <v/>
      </c>
      <c r="DU39" s="55">
        <f>IF(ROW()-3&gt;MAX(DT$4:DT$40),"",INDEX(DS$4:DS$40,MATCH(ROW()-3,DT$4:DT$40,0)))</f>
        <v/>
      </c>
      <c r="DV39" s="55">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s="55">
        <f>IF('Final Calculation Sheet'!$Z$39="","",'Final Calculation Sheet'!$Z$39)</f>
        <v/>
      </c>
      <c r="EG39">
        <f>IF(EF39="","",COUNTIFS(EF$4:EF$40,"&lt;"&amp;EF39,EF$4:EF$40,"&lt;&gt;"&amp;"")+COUNTIF(EF$4:EF39,EF39))</f>
        <v/>
      </c>
      <c r="EH39" s="55">
        <f>IF(ROW()-3&gt;COUNTIF(EF$4:EF$40,"&lt;&gt;"&amp;""),"",INDEX(EF$4:EF$40,MATCH(ROW()-3,EG$4:EG$40,0)))</f>
        <v/>
      </c>
      <c r="EI39">
        <f>EI38+IF(AND(EH39&lt;&gt;"",COUNTIF(EH$4:EH39,EH39)=1),1,0)</f>
        <v/>
      </c>
      <c r="EJ39">
        <f>IF(ROW()-3&gt;MAX(EI$4:EI$40),"",INDEX(EH$4:EH$40,MATCH(ROW()-3,EI$4:EI$40,0)))</f>
        <v/>
      </c>
      <c r="EK39" s="55">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s="55">
        <f>IF('Final Calculation Sheet'!$AC$39="","",'Final Calculation Sheet'!$AC$39)</f>
        <v/>
      </c>
      <c r="EV39">
        <f>IF(EU39="","",COUNTIFS(EU$4:EU$40,"&lt;"&amp;EU39,EU$4:EU$40,"&lt;&gt;"&amp;"")+COUNTIF(EU$4:EU39,EU39))</f>
        <v/>
      </c>
      <c r="EW39" s="55">
        <f>IF(ROW()-3&gt;COUNTIF(EU$4:EU$40,"&lt;&gt;"&amp;""),"",INDEX(EU$4:EU$40,MATCH(ROW()-3,EV$4:EV$40,0)))</f>
        <v/>
      </c>
      <c r="EX39">
        <f>EX38+IF(AND(EW39&lt;&gt;"",COUNTIF(EW$4:EW39,EW39)=1),1,0)</f>
        <v/>
      </c>
      <c r="EY39" s="55">
        <f>IF(ROW()-3&gt;MAX(EX$4:EX$40),"",INDEX(EW$4:EW$40,MATCH(ROW()-3,EX$4:EX$40,0)))</f>
        <v/>
      </c>
      <c r="EZ39" s="55">
        <f>IF('Final Calculation Sheet'!$AD$39="","",'Final Calculation Sheet'!$AD$39)</f>
        <v/>
      </c>
      <c r="FA39">
        <f>IF(EZ39="","",COUNTIFS(EZ$4:EZ$40,"&lt;"&amp;EZ39,EZ$4:EZ$40,"&lt;&gt;"&amp;"")+COUNTIF(EZ$4:EZ39,EZ39))</f>
        <v/>
      </c>
      <c r="FB39" s="55">
        <f>IF(ROW()-3&gt;COUNTIF(EZ$4:EZ$40,"&lt;&gt;"&amp;""),"",INDEX(EZ$4:EZ$40,MATCH(ROW()-3,FA$4:FA$40,0)))</f>
        <v/>
      </c>
      <c r="FC39">
        <f>FC38+IF(AND(FB39&lt;&gt;"",COUNTIF(FB$4:FB39,FB39)=1),1,0)</f>
        <v/>
      </c>
      <c r="FD39">
        <f>IF(ROW()-3&gt;MAX(FC$4:FC$40),"",INDEX(FB$4:FB$40,MATCH(ROW()-3,FC$4:FC$40,0)))</f>
        <v/>
      </c>
      <c r="FE39">
        <f>IF('Final Calculation Sheet'!$AF$39="","",'Final Calculation Sheet'!$AF$39)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Sheet'!$AG$39="","",'Final Calculation Sheet'!$AG$39)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Sheet'!$AH$39="","",'Final Calculation Sheet'!$AH$39)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c r="FY39">
        <f>IF(COUNTIF('Live Search'!BM$38:BO$38,0)+COUNTIF('Live Search'!BQ$38:CU$38,0)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39">
        <f>IF($Y$39="",FALSE,SUMPRODUCT(('Final Calculation Sheet'!$B$4:$B$40=$Y$39)*($FY$6:$FY$42=1))&gt;0)</f>
        <v/>
      </c>
      <c r="GA39">
        <f>$GA$38+--($FZ$39)</f>
        <v/>
      </c>
      <c r="GB39">
        <f>IF(ROW()-3&gt;MAX($GA$4:$GA$40),"",INDEX($Y$4:$Y$40,MATCH(ROW()-3,$GA$4:$GA$40,0)))</f>
        <v/>
      </c>
      <c r="GC39">
        <f>IF(COUNTIF('Live Search'!BM$38:BM$38,0)+COUNTIF('Live Search'!BO$38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D39">
        <f>IF($O$39="",FALSE,SUMPRODUCT(('Final Calculation Sheet'!$F$4:$F$40=$O$39)*($GC$6:$GC$42=1))&gt;0)</f>
        <v/>
      </c>
      <c r="GE39">
        <f>$GE$38+--($GD39)</f>
        <v/>
      </c>
      <c r="GF39">
        <f>IF(ROW()-3&gt;MAX($GE$4:$GE$40),"",INDEX($O$4:$O$40,MATCH(ROW()-3,$GE$4:$GE$40,0)))</f>
        <v/>
      </c>
      <c r="GG39">
        <f>IF(COUNTIF('Live Search'!BM$38:BN$38,0)+COUNTIF('Live Search'!BP$38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H39">
        <f>IF($T$39="",FALSE,SUMPRODUCT(('Final Calculation Sheet'!$G$4:$G$40=$T$39)*($GG$6:$GG$42=1))&gt;0)</f>
        <v/>
      </c>
      <c r="GI39">
        <f>$GI$38+--($GH39)</f>
        <v/>
      </c>
      <c r="GJ39">
        <f>IF(ROW()-3&gt;MAX($GI$4:$GI$40),"",INDEX($T$4:$T$40,MATCH(ROW()-3,$GI$4:$GI$40,0)))</f>
        <v/>
      </c>
      <c r="GK39">
        <f>IF(COUNTIF('Live Search'!BM$38:BP$38,0)+COUNTIF('Live Search'!BR$38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L39">
        <f>IF($AD$39="",FALSE,SUMPRODUCT(('Final Calculation Sheet'!$D$4:$D$40=$AD$39)*($GK$6:$GK$42=1))&gt;0)</f>
        <v/>
      </c>
      <c r="GM39">
        <f>$GM$38+--($GL39)</f>
        <v/>
      </c>
      <c r="GN39">
        <f>IF(ROW()-3&gt;MAX($GM$4:$GM$40),"",INDEX($AD$4:$AD$40,MATCH(ROW()-3,$GM$4:$GM$40,0)))</f>
        <v/>
      </c>
      <c r="GO39">
        <f>IF(COUNTIF('Live Search'!BM$38:BQ$38,0)+COUNTIF('Live Search'!BS$38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P39">
        <f>IF($AI$39="",FALSE,SUMPRODUCT(('Final Calculation Sheet'!$A$4:$A$40=$AI$39)*($GO$6:$GO$42=1))&gt;0)</f>
        <v/>
      </c>
      <c r="GQ39">
        <f>$GQ$38+--($GP39)</f>
        <v/>
      </c>
      <c r="GR39">
        <f>IF(ROW()-3&gt;MAX($GQ$4:$GQ$40),"",INDEX($AI$4:$AI$40,MATCH(ROW()-3,$GQ$4:$GQ$40,0)))</f>
        <v/>
      </c>
      <c r="GS39">
        <f>IF(COUNTIF('Live Search'!BM$38:BR$38,0)+COUNTIF('Live Search'!BT$38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T39">
        <f>IF($AN$39="",FALSE,SUMPRODUCT(('Final Calculation Sheet'!$E$4:$E$40=$AN$39)*($GS$6:$GS$42=1))&gt;0)</f>
        <v/>
      </c>
      <c r="GU39">
        <f>$GU$38+--($GT39)</f>
        <v/>
      </c>
      <c r="GV39">
        <f>IF(ROW()-3&gt;MAX($GU$4:$GU$40),"",INDEX($AN$4:$AN$40,MATCH(ROW()-3,$GU$4:$GU$40,0)))</f>
        <v/>
      </c>
      <c r="GW39">
        <f>IF(COUNTIF('Live Search'!BM$38:BS$38,0)+COUNTIF('Live Search'!BU$38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GX39">
        <f>IF($AS$39="",FALSE,SUMPRODUCT(('Final Calculation Sheet'!$C$4:$C$40=$AS$39)*($GW$6:$GW$42=1))&gt;0)</f>
        <v/>
      </c>
      <c r="GY39">
        <f>$GY$38+--($GX39)</f>
        <v/>
      </c>
      <c r="GZ39">
        <f>IF(ROW()-3&gt;MAX($GY$4:$GY$40),"",INDEX($AS$4:$AS$40,MATCH(ROW()-3,$GY$4:$GY$40,0)))</f>
        <v/>
      </c>
      <c r="HA39">
        <f>IF(COUNTIF('Live Search'!BM$38:BT$38,0)+COUNTIF('Live Search'!BV$38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B39">
        <f>IF($AX$39="",FALSE,SUMPRODUCT(('Final Calculation Sheet'!$H$4:$H$40=$AX$39)*($HA$6:$HA$42=1))&gt;0)</f>
        <v/>
      </c>
      <c r="HC39">
        <f>$HC$38+--($HB39)</f>
        <v/>
      </c>
      <c r="HD39">
        <f>IF(ROW()-3&gt;MAX($HC$4:$HC$40),"",INDEX($AX$4:$AX$40,MATCH(ROW()-3,$HC$4:$HC$40,0)))</f>
        <v/>
      </c>
      <c r="HE39">
        <f>IF(COUNTIF('Live Search'!BM$38:BU$38,0)+COUNTIF('Live Search'!BW$38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F39">
        <f>IF($BC$39="",FALSE,SUMPRODUCT(('Final Calculation Sheet'!$I$4:$I$40=$BC$39)*($HE$6:$HE$42=1))&gt;0)</f>
        <v/>
      </c>
      <c r="HG39">
        <f>$HG$38+--($HF39)</f>
        <v/>
      </c>
      <c r="HH39">
        <f>IF(ROW()-3&gt;MAX($HG$4:$HG$40),"",INDEX($BC$4:$BC$40,MATCH(ROW()-3,$HG$4:$HG$40,0)))</f>
        <v/>
      </c>
      <c r="HI39">
        <f>IF(COUNTIF('Live Search'!BM$38:BV$38,0)+COUNTIF('Live Search'!BX$38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J39">
        <f>IF($BH$39="",FALSE,SUMPRODUCT(('Final Calculation Sheet'!$J$4:$J$40=$BH$39)*($HI$6:$HI$42=1))&gt;0)</f>
        <v/>
      </c>
      <c r="HK39">
        <f>$HK$38+--($HJ39)</f>
        <v/>
      </c>
      <c r="HL39">
        <f>IF(ROW()-3&gt;MAX($HK$4:$HK$40),"",INDEX($BH$4:$BH$40,MATCH(ROW()-3,$HK$4:$HK$40,0)))</f>
        <v/>
      </c>
      <c r="HM39">
        <f>IF(COUNTIF('Live Search'!BM$38:BW$38,0)+COUNTIF('Live Search'!BY$38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N39">
        <f>IF($BM$39="",FALSE,SUMPRODUCT(('Final Calculation Sheet'!$K$4:$K$40=$BM$39)*($HM$6:$HM$42=1))&gt;0)</f>
        <v/>
      </c>
      <c r="HO39">
        <f>$HO$38+--($HN39)</f>
        <v/>
      </c>
      <c r="HP39">
        <f>IF(ROW()-3&gt;MAX($HO$4:$HO$40),"",INDEX($BM$4:$BM$40,MATCH(ROW()-3,$HO$4:$HO$40,0)))</f>
        <v/>
      </c>
      <c r="HQ39">
        <f>IF(COUNTIF('Live Search'!BM$38:BX$38,0)+COUNTIF('Live Search'!BZ$38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R39">
        <f>IF($BR$39="",FALSE,SUMPRODUCT(('Final Calculation Sheet'!$L$4:$L$40=$BR$39)*($HQ$6:$HQ$42=1))&gt;0)</f>
        <v/>
      </c>
      <c r="HS39">
        <f>$HS$38+--($HR39)</f>
        <v/>
      </c>
      <c r="HT39">
        <f>IF(ROW()-3&gt;MAX($HS$4:$HS$40),"",INDEX($BR$4:$BR$40,MATCH(ROW()-3,$HS$4:$HS$40,0)))</f>
        <v/>
      </c>
      <c r="HU39">
        <f>IF(COUNTIF('Live Search'!BM$38:BY$38,0)+COUNTIF('Live Search'!CA$38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V39">
        <f>IF($BW$39="",FALSE,SUMPRODUCT(('Final Calculation Sheet'!$M$4:$M$40=$BW$39)*($HU$6:$HU$42=1))&gt;0)</f>
        <v/>
      </c>
      <c r="HW39">
        <f>$HW$38+--($HV39)</f>
        <v/>
      </c>
      <c r="HX39">
        <f>IF(ROW()-3&gt;MAX($HW$4:$HW$40),"",INDEX($BW$4:$BW$40,MATCH(ROW()-3,$HW$4:$HW$40,0)))</f>
        <v/>
      </c>
      <c r="HY39">
        <f>IF(COUNTIF('Live Search'!BM$38:BZ$38,0)+COUNTIF('Live Search'!CB$38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HZ39">
        <f>IF($CB$39="",FALSE,SUMPRODUCT(('Final Calculation Sheet'!$N$4:$N$40=$CB$39)*($HY$6:$HY$42=1))&gt;0)</f>
        <v/>
      </c>
      <c r="IA39">
        <f>$IA$38+--($HZ39)</f>
        <v/>
      </c>
      <c r="IB39">
        <f>IF(ROW()-3&gt;MAX($IA$4:$IA$40),"",INDEX($CB$4:$CB$40,MATCH(ROW()-3,$IA$4:$IA$40,0)))</f>
        <v/>
      </c>
      <c r="IC39">
        <f>IF(COUNTIF('Live Search'!BM$38:CA$38,0)+COUNTIF('Live Search'!CC$38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D39">
        <f>IF($CG$39="",FALSE,SUMPRODUCT(('Final Calculation Sheet'!$O$4:$O$40=$CG$39)*($IC$6:$IC$42=1))&gt;0)</f>
        <v/>
      </c>
      <c r="IE39">
        <f>$IE$38+--($ID39)</f>
        <v/>
      </c>
      <c r="IF39">
        <f>IF(ROW()-3&gt;MAX($IE$4:$IE$40),"",INDEX($CG$4:$CG$40,MATCH(ROW()-3,$IE$4:$IE$40,0)))</f>
        <v/>
      </c>
      <c r="IG39">
        <f>IF(COUNTIF('Live Search'!BM$38:CB$38,0)+COUNTIF('Live Search'!CD$38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H39">
        <f>IF($CL$39="",FALSE,SUMPRODUCT(('Final Calculation Sheet'!$P$4:$P$40=$CL$39)*($IG$6:$IG$42=1))&gt;0)</f>
        <v/>
      </c>
      <c r="II39">
        <f>$II$38+--($IH39)</f>
        <v/>
      </c>
      <c r="IJ39">
        <f>IF(ROW()-3&gt;MAX($II$4:$II$40),"",INDEX($CL$4:$CL$40,MATCH(ROW()-3,$II$4:$II$40,0)))</f>
        <v/>
      </c>
      <c r="IK39">
        <f>IF(COUNTIF('Live Search'!BM$38:CC$38,0)+COUNTIF('Live Search'!CE$38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L39">
        <f>IF($CQ$39="",FALSE,SUMPRODUCT(('Final Calculation Sheet'!$Q$4:$Q$40=$CQ$39)*($IK$6:$IK$42=1))&gt;0)</f>
        <v/>
      </c>
      <c r="IM39">
        <f>$IM$38+--($IL39)</f>
        <v/>
      </c>
      <c r="IN39">
        <f>IF(ROW()-3&gt;MAX($IM$4:$IM$40),"",INDEX($CQ$4:$CQ$40,MATCH(ROW()-3,$IM$4:$IM$40,0)))</f>
        <v/>
      </c>
      <c r="IO39">
        <f>IF(COUNTIF('Live Search'!BM$38:CD$38,0)+COUNTIF('Live Search'!CF$38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P39">
        <f>IF($CV$39="",FALSE,SUMPRODUCT(('Final Calculation Sheet'!$R$4:$R$40=$CV$39)*($IO$6:$IO$42=1))&gt;0)</f>
        <v/>
      </c>
      <c r="IQ39">
        <f>$IQ$38+--($IP39)</f>
        <v/>
      </c>
      <c r="IR39">
        <f>IF(ROW()-3&gt;MAX($IQ$4:$IQ$40),"",INDEX($CV$4:$CV$40,MATCH(ROW()-3,$IQ$4:$IQ$40,0)))</f>
        <v/>
      </c>
      <c r="IS39">
        <f>IF(COUNTIF('Live Search'!BM$38:CE$38,0)+COUNTIF('Live Search'!CG$38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T39">
        <f>IF($DA$39="",FALSE,SUMPRODUCT(('Final Calculation Sheet'!$S$4:$S$40=$DA$39)*($IS$6:$IS$42=1))&gt;0)</f>
        <v/>
      </c>
      <c r="IU39">
        <f>$IU$38+--($IT39)</f>
        <v/>
      </c>
      <c r="IV39">
        <f>IF(ROW()-3&gt;MAX($IU$4:$IU$40),"",INDEX($DA$4:$DA$40,MATCH(ROW()-3,$IU$4:$IU$40,0)))</f>
        <v/>
      </c>
      <c r="IW39">
        <f>IF(COUNTIF('Live Search'!BM$38:CF$38,0)+COUNTIF('Live Search'!CH$38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IX39">
        <f>IF($DF$39="",FALSE,SUMPRODUCT(('Final Calculation Sheet'!$T$4:$T$40=$DF$39)*($IW$6:$IW$42=1))&gt;0)</f>
        <v/>
      </c>
      <c r="IY39">
        <f>$IY$38+--($IX39)</f>
        <v/>
      </c>
      <c r="IZ39">
        <f>IF(ROW()-3&gt;MAX($IY$4:$IY$40),"",INDEX($DF$4:$DF$40,MATCH(ROW()-3,$IY$4:$IY$40,0)))</f>
        <v/>
      </c>
      <c r="JA39">
        <f>IF(COUNTIF('Live Search'!BM$38:CG$38,0)+COUNTIF('Live Search'!CI$38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B39">
        <f>IF($DK$39="",FALSE,SUMPRODUCT(('Final Calculation Sheet'!$U$4:$U$40=$DK$39)*($JA$6:$JA$42=1))&gt;0)</f>
        <v/>
      </c>
      <c r="JC39">
        <f>$JC$38+--($JB39)</f>
        <v/>
      </c>
      <c r="JD39">
        <f>IF(ROW()-3&gt;MAX($JC$4:$JC$40),"",INDEX($DK$4:$DK$40,MATCH(ROW()-3,$JC$4:$JC$40,0)))</f>
        <v/>
      </c>
      <c r="JE39">
        <f>IF(COUNTIF('Live Search'!BM$38:CH$38,0)+COUNTIF('Live Search'!CJ$38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F39">
        <f>IF($DP$39="",FALSE,SUMPRODUCT(('Final Calculation Sheet'!$V$4:$V$40=$DP$39)*($JE$6:$JE$42=1))&gt;0)</f>
        <v/>
      </c>
      <c r="JG39">
        <f>$JG$38+--($JF39)</f>
        <v/>
      </c>
      <c r="JH39">
        <f>IF(ROW()-3&gt;MAX($JG$4:$JG$40),"",INDEX($DP$4:$DP$40,MATCH(ROW()-3,$JG$4:$JG$40,0)))</f>
        <v/>
      </c>
      <c r="JI39">
        <f>IF(COUNTIF('Live Search'!BM$38:CI$38,0)+COUNTIF('Live Search'!CK$38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J39">
        <f>IF($DU$39="",FALSE,SUMPRODUCT(('Final Calculation Sheet'!$W$4:$W$40=$DU$39)*($JI$6:$JI$42=1))&gt;0)</f>
        <v/>
      </c>
      <c r="JK39">
        <f>$JK$38+--($JJ39)</f>
        <v/>
      </c>
      <c r="JL39">
        <f>IF(ROW()-3&gt;MAX($JK$4:$JK$40),"",INDEX($DU$4:$DU$40,MATCH(ROW()-3,$JK$4:$JK$40,0)))</f>
        <v/>
      </c>
      <c r="JM39">
        <f>IF(COUNTIF('Live Search'!BM$38:CJ$38,0)+COUNTIF('Live Search'!CL$38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N39">
        <f>IF($DZ$39="",FALSE,SUMPRODUCT(('Final Calculation Sheet'!$X$4:$X$40=$DZ$39)*($JM$6:$JM$42=1))&gt;0)</f>
        <v/>
      </c>
      <c r="JO39">
        <f>$JO$38+--($JN39)</f>
        <v/>
      </c>
      <c r="JP39">
        <f>IF(ROW()-3&gt;MAX($JO$4:$JO$40),"",INDEX($DZ$4:$DZ$40,MATCH(ROW()-3,$JO$4:$JO$40,0)))</f>
        <v/>
      </c>
      <c r="JQ39">
        <f>IF(COUNTIF('Live Search'!BM$38:CK$38,0)+COUNTIF('Live Search'!C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R39">
        <f>IF($EE$39="",FALSE,SUMPRODUCT(('Final Calculation Sheet'!$Y$4:$Y$40=$EE$39)*($JQ$6:$JQ$42=1))&gt;0)</f>
        <v/>
      </c>
      <c r="JS39">
        <f>$JS$38+--($JR39)</f>
        <v/>
      </c>
      <c r="JT39">
        <f>IF(ROW()-3&gt;MAX($JS$4:$JS$40),"",INDEX($EE$4:$EE$40,MATCH(ROW()-3,$JS$4:$JS$40,0)))</f>
        <v/>
      </c>
      <c r="JU39">
        <f>IF(COUNTIF('Live Search'!BM$38:CL$38,0)+COUNTIF('Live Search'!CN$38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V39">
        <f>IF($EJ$39="",FALSE,SUMPRODUCT(('Final Calculation Sheet'!$Z$4:$Z$40=$EJ$39)*($JU$6:$JU$42=1))&gt;0)</f>
        <v/>
      </c>
      <c r="JW39">
        <f>$JW$38+--($JV39)</f>
        <v/>
      </c>
      <c r="JX39">
        <f>IF(ROW()-3&gt;MAX($JW$4:$JW$40),"",INDEX($EJ$4:$EJ$40,MATCH(ROW()-3,$JW$4:$JW$40,0)))</f>
        <v/>
      </c>
      <c r="JY39">
        <f>IF(COUNTIF('Live Search'!BM$38:CM$38,0)+COUNTIF('Live Search'!CO$38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JZ39">
        <f>IF($EO$39="",FALSE,SUMPRODUCT(('Final Calculation Sheet'!$AA$4:$AA$40=$EO$39)*($JY$6:$JY$42=1))&gt;0)</f>
        <v/>
      </c>
      <c r="KA39">
        <f>$KA$38+--($JZ39)</f>
        <v/>
      </c>
      <c r="KB39">
        <f>IF(ROW()-3&gt;MAX($KA$4:$KA$40),"",INDEX($EO$4:$EO$40,MATCH(ROW()-3,$KA$4:$KA$40,0)))</f>
        <v/>
      </c>
      <c r="KC39">
        <f>IF(COUNTIF('Live Search'!BM$38:CN$38,0)+COUNTIF('Live Search'!CP$38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D39">
        <f>IF($ET$39="",FALSE,SUMPRODUCT(('Final Calculation Sheet'!$AB$4:$AB$40=$ET$39)*($KC$6:$KC$42=1))&gt;0)</f>
        <v/>
      </c>
      <c r="KE39">
        <f>$KE$38+--($KD39)</f>
        <v/>
      </c>
      <c r="KF39">
        <f>IF(ROW()-3&gt;MAX($KE$4:$KE$40),"",INDEX($ET$4:$ET$40,MATCH(ROW()-3,$KE$4:$KE$40,0)))</f>
        <v/>
      </c>
      <c r="KG39">
        <f>IF(COUNTIF('Live Search'!BM$38:CO$38,0)+COUNTIF('Live Search'!CQ$38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H39">
        <f>IF($EY$39="",FALSE,SUMPRODUCT(('Final Calculation Sheet'!$AC$4:$AC$40=$EY$39)*($KG$6:$KG$42=1))&gt;0)</f>
        <v/>
      </c>
      <c r="KI39">
        <f>$KI$38+--($KH39)</f>
        <v/>
      </c>
      <c r="KJ39">
        <f>IF(ROW()-3&gt;MAX($KI$4:$KI$40),"",INDEX($EY$4:$EY$40,MATCH(ROW()-3,$KI$4:$KI$40,0)))</f>
        <v/>
      </c>
      <c r="KK39">
        <f>IF(COUNTIF('Live Search'!BM$38:CP$38,0)+COUNTIF('Live Search'!CR$38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L39">
        <f>IF($FD$39="",FALSE,SUMPRODUCT(('Final Calculation Sheet'!$AD$4:$AD$40=$FD$39)*($KK$6:$KK$42=1))&gt;0)</f>
        <v/>
      </c>
      <c r="KM39">
        <f>$KM$38+--($KL39)</f>
        <v/>
      </c>
      <c r="KN39">
        <f>IF(ROW()-3&gt;MAX($KM$4:$KM$40),"",INDEX($FD$4:$FD$40,MATCH(ROW()-3,$KM$4:$KM$40,0)))</f>
        <v/>
      </c>
      <c r="KO39">
        <f>IF(COUNTIF('Live Search'!BM$38:CT$38,0)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P39">
        <f>IF($FX$39="",FALSE,SUMPRODUCT((IF('Final Calculation Sheet'!$AD$4:$AD$40&lt;=5,"SETTLED","OUTSTANDING")=$FX$39)*($KO$6:$KO$42=1))&gt;0)</f>
        <v/>
      </c>
      <c r="KQ39">
        <f>$KQ$38+--($KP39)</f>
        <v/>
      </c>
      <c r="KR39">
        <f>IF(ROW()-3&gt;MAX($KQ$4:$KQ$40),"",INDEX($FX$4:$FX$40,MATCH(ROW()-3,$KQ$4:$KQ$40,0)))</f>
        <v/>
      </c>
      <c r="KS39">
        <f>IF(COUNTIF('Live Search'!BM$38:CQ$38,0)+COUNTIF('Live Search'!CS$38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T39">
        <f>IF($FI$39="",FALSE,SUMPRODUCT(('Final Calculation Sheet'!$AF$4:$AF$40=$FI$39)*($KS$6:$KS$42=1))&gt;0)</f>
        <v/>
      </c>
      <c r="KU39">
        <f>$KU$38+--($KT39)</f>
        <v/>
      </c>
      <c r="KV39">
        <f>IF(ROW()-3&gt;MAX($KU$4:$KU$40),"",INDEX($FI$4:$FI$40,MATCH(ROW()-3,$KU$4:$KU$40,0)))</f>
        <v/>
      </c>
      <c r="KW39">
        <f>IF(COUNTIF('Live Search'!BM$38:CR$38,0)+COUNTIF('Live Search'!CT$38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KX39">
        <f>IF($FN$39="",FALSE,SUMPRODUCT(('Final Calculation Sheet'!$AG$4:$AG$40=$FN$39)*($KW$6:$KW$42=1))&gt;0)</f>
        <v/>
      </c>
      <c r="KY39">
        <f>$KY$38+--($KX39)</f>
        <v/>
      </c>
      <c r="KZ39">
        <f>IF(ROW()-3&gt;MAX($KY$4:$KY$40),"",INDEX($FN$4:$FN$40,MATCH(ROW()-3,$KY$4:$KY$40,0)))</f>
        <v/>
      </c>
      <c r="LA39">
        <f>IF(COUNTIF('Live Search'!BM$38:CS$38,0)+COUNTIF('Live Search'!CU$38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LB39">
        <f>IF($FS$39="",FALSE,SUMPRODUCT(('Final Calculation Sheet'!$AH$4:$AH$40=$FS$39)*($LA$6:$LA$42=1))&gt;0)</f>
        <v/>
      </c>
      <c r="LC39">
        <f>$LC$38+--($LB39)</f>
        <v/>
      </c>
      <c r="LD39">
        <f>IF(ROW()-3&gt;MAX($LC$4:$LC$40),"",INDEX($FS$4:$FS$40,MATCH(ROW()-3,$LC$4:$LC$40,0)))</f>
        <v/>
      </c>
      <c r="LE39">
        <f>IF(COUNTIF('Buyer Groups'!DH92:EN92,0)&gt;0,0,1)</f>
        <v/>
      </c>
      <c r="LF39">
        <f>IF($O$39="",FALSE,SUMPRODUCT(('Final Calculation Sheet'!$F$4:$F$40=$O$39)*($LE$6:$LE$42=1))&gt;0)</f>
        <v/>
      </c>
      <c r="LG39">
        <f>$LG$38+--($LF39)</f>
        <v/>
      </c>
      <c r="LH39">
        <f>IF(ROW()-3&gt;MAX($LG$4:$LG$40),"",INDEX($O$4:$O$40,MATCH(ROW()-3,$LG$4:$LG$40,0)))</f>
        <v/>
      </c>
      <c r="LI39">
        <f>IF(COUNTIF('Buyer Groups'!DG92:DG92,0)+COUNTIF('Buyer Groups'!DI92:EN92,0)&gt;0,0,1)</f>
        <v/>
      </c>
      <c r="LJ39">
        <f>IF($T$39="",FALSE,SUMPRODUCT(('Final Calculation Sheet'!$G$4:$G$40=$T$39)*($LI$6:$LI$42=1))&gt;0)</f>
        <v/>
      </c>
      <c r="LK39">
        <f>$LK$38+--($LJ39)</f>
        <v/>
      </c>
      <c r="LL39">
        <f>IF(ROW()-3&gt;MAX($LK$4:$LK$40),"",INDEX($T$4:$T$40,MATCH(ROW()-3,$LK$4:$LK$40,0)))</f>
        <v/>
      </c>
      <c r="LM39">
        <f>IF(COUNTIF('Buyer Groups'!DG92:DH92,0)+COUNTIF('Buyer Groups'!DJ92:EN92,0)&gt;0,0,1)</f>
        <v/>
      </c>
      <c r="LN39">
        <f>IF($Y$39="",FALSE,SUMPRODUCT(('Final Calculation Sheet'!$B$4:$B$40=$Y$39)*($LM$6:$LM$42=1))&gt;0)</f>
        <v/>
      </c>
      <c r="LO39">
        <f>$LO$38+--($LN39)</f>
        <v/>
      </c>
      <c r="LP39">
        <f>IF(ROW()-3&gt;MAX($LO$4:$LO$40),"",INDEX($Y$4:$Y$40,MATCH(ROW()-3,$LO$4:$LO$40,0)))</f>
        <v/>
      </c>
      <c r="LQ39">
        <f>IF(COUNTIF('Buyer Groups'!DG92:DI92,0)+COUNTIF('Buyer Groups'!DK92:EN92,0)&gt;0,0,1)</f>
        <v/>
      </c>
      <c r="LR39">
        <f>IF($AD$39="",FALSE,SUMPRODUCT(('Final Calculation Sheet'!$D$4:$D$40=$AD$39)*($LQ$6:$LQ$42=1))&gt;0)</f>
        <v/>
      </c>
      <c r="LS39">
        <f>$LS$38+--($LR39)</f>
        <v/>
      </c>
      <c r="LT39">
        <f>IF(ROW()-3&gt;MAX($LS$4:$LS$40),"",INDEX($AD$4:$AD$40,MATCH(ROW()-3,$LS$4:$LS$40,0)))</f>
        <v/>
      </c>
      <c r="LU39">
        <f>IF(COUNTIF('Buyer Groups'!DG92:DJ92,0)+COUNTIF('Buyer Groups'!DL92:EN92,0)&gt;0,0,1)</f>
        <v/>
      </c>
      <c r="LV39">
        <f>IF($AI$39="",FALSE,SUMPRODUCT(('Final Calculation Sheet'!$A$4:$A$40=$AI$39)*($LU$6:$LU$42=1))&gt;0)</f>
        <v/>
      </c>
      <c r="LW39">
        <f>$LW$38+--($LV39)</f>
        <v/>
      </c>
      <c r="LX39">
        <f>IF(ROW()-3&gt;MAX($LW$4:$LW$40),"",INDEX($AI$4:$AI$40,MATCH(ROW()-3,$LW$4:$LW$40,0)))</f>
        <v/>
      </c>
      <c r="LY39">
        <f>IF(COUNTIF('Buyer Groups'!DG92:DK92,0)+COUNTIF('Buyer Groups'!DM92:EN92,0)&gt;0,0,1)</f>
        <v/>
      </c>
      <c r="LZ39">
        <f>IF($AN$39="",FALSE,SUMPRODUCT(('Final Calculation Sheet'!$E$4:$E$40=$AN$39)*($LY$6:$LY$42=1))&gt;0)</f>
        <v/>
      </c>
      <c r="MA39">
        <f>$MA$38+--($LZ39)</f>
        <v/>
      </c>
      <c r="MB39">
        <f>IF(ROW()-3&gt;MAX($MA$4:$MA$40),"",INDEX($AN$4:$AN$40,MATCH(ROW()-3,$MA$4:$MA$40,0)))</f>
        <v/>
      </c>
      <c r="MC39">
        <f>IF(COUNTIF('Buyer Groups'!DG92:DL92,0)+COUNTIF('Buyer Groups'!DN92:EN92,0)&gt;0,0,1)</f>
        <v/>
      </c>
      <c r="MD39">
        <f>IF($AS$39="",FALSE,SUMPRODUCT(('Final Calculation Sheet'!$C$4:$C$40=$AS$39)*($MC$6:$MC$42=1))&gt;0)</f>
        <v/>
      </c>
      <c r="ME39">
        <f>$ME$38+--($MD39)</f>
        <v/>
      </c>
      <c r="MF39">
        <f>IF(ROW()-3&gt;MAX($ME$4:$ME$40),"",INDEX($AS$4:$AS$40,MATCH(ROW()-3,$ME$4:$ME$40,0)))</f>
        <v/>
      </c>
      <c r="MG39">
        <f>IF(COUNTIF('Buyer Groups'!DG92:DM92,0)+COUNTIF('Buyer Groups'!DO92:EN92,0)&gt;0,0,1)</f>
        <v/>
      </c>
      <c r="MH39">
        <f>IF($AX$39="",FALSE,SUMPRODUCT(('Final Calculation Sheet'!$H$4:$H$40=$AX$39)*($MG$6:$MG$42=1))&gt;0)</f>
        <v/>
      </c>
      <c r="MI39">
        <f>$MI$38+--($MH39)</f>
        <v/>
      </c>
      <c r="MJ39">
        <f>IF(ROW()-3&gt;MAX($MI$4:$MI$40),"",INDEX($AX$4:$AX$40,MATCH(ROW()-3,$MI$4:$MI$40,0)))</f>
        <v/>
      </c>
      <c r="MK39">
        <f>IF(COUNTIF('Buyer Groups'!DG92:DN92,0)+COUNTIF('Buyer Groups'!DP92:EN92,0)&gt;0,0,1)</f>
        <v/>
      </c>
      <c r="ML39">
        <f>IF($BC$39="",FALSE,SUMPRODUCT(('Final Calculation Sheet'!$I$4:$I$40=$BC$39)*($MK$6:$MK$42=1))&gt;0)</f>
        <v/>
      </c>
      <c r="MM39">
        <f>$MM$38+--($ML39)</f>
        <v/>
      </c>
      <c r="MN39">
        <f>IF(ROW()-3&gt;MAX($MM$4:$MM$40),"",INDEX($BC$4:$BC$40,MATCH(ROW()-3,$MM$4:$MM$40,0)))</f>
        <v/>
      </c>
      <c r="MO39">
        <f>IF(COUNTIF('Buyer Groups'!DG92:DO92,0)+COUNTIF('Buyer Groups'!DQ92:EN92,0)&gt;0,0,1)</f>
        <v/>
      </c>
      <c r="MP39">
        <f>IF($BH$39="",FALSE,SUMPRODUCT(('Final Calculation Sheet'!$J$4:$J$40=$BH$39)*($MO$6:$MO$42=1))&gt;0)</f>
        <v/>
      </c>
      <c r="MQ39">
        <f>$MQ$38+--($MP39)</f>
        <v/>
      </c>
      <c r="MR39">
        <f>IF(ROW()-3&gt;MAX($MQ$4:$MQ$40),"",INDEX($BH$4:$BH$40,MATCH(ROW()-3,$MQ$4:$MQ$40,0)))</f>
        <v/>
      </c>
      <c r="MS39">
        <f>IF(COUNTIF('Buyer Groups'!DG92:DP92,0)+COUNTIF('Buyer Groups'!DR92:EN92,0)&gt;0,0,1)</f>
        <v/>
      </c>
      <c r="MT39">
        <f>IF($BM$39="",FALSE,SUMPRODUCT(('Final Calculation Sheet'!$K$4:$K$40=$BM$39)*($MS$6:$MS$42=1))&gt;0)</f>
        <v/>
      </c>
      <c r="MU39">
        <f>$MU$38+--($MT39)</f>
        <v/>
      </c>
      <c r="MV39">
        <f>IF(ROW()-3&gt;MAX($MU$4:$MU$40),"",INDEX($BM$4:$BM$40,MATCH(ROW()-3,$MU$4:$MU$40,0)))</f>
        <v/>
      </c>
      <c r="MW39">
        <f>IF(COUNTIF('Buyer Groups'!DG92:DQ92,0)+COUNTIF('Buyer Groups'!DS92:EN92,0)&gt;0,0,1)</f>
        <v/>
      </c>
      <c r="MX39">
        <f>IF($BR$39="",FALSE,SUMPRODUCT(('Final Calculation Sheet'!$L$4:$L$40=$BR$39)*($MW$6:$MW$42=1))&gt;0)</f>
        <v/>
      </c>
      <c r="MY39">
        <f>$MY$38+--($MX39)</f>
        <v/>
      </c>
      <c r="MZ39">
        <f>IF(ROW()-3&gt;MAX($MY$4:$MY$40),"",INDEX($BR$4:$BR$40,MATCH(ROW()-3,$MY$4:$MY$40,0)))</f>
        <v/>
      </c>
      <c r="NA39">
        <f>IF(COUNTIF('Buyer Groups'!DG92:DR92,0)+COUNTIF('Buyer Groups'!DT92:EN92,0)&gt;0,0,1)</f>
        <v/>
      </c>
      <c r="NB39">
        <f>IF($BW$39="",FALSE,SUMPRODUCT(('Final Calculation Sheet'!$M$4:$M$40=$BW$39)*($NA$6:$NA$42=1))&gt;0)</f>
        <v/>
      </c>
      <c r="NC39">
        <f>$NC$38+--($NB39)</f>
        <v/>
      </c>
      <c r="ND39">
        <f>IF(ROW()-3&gt;MAX($NC$4:$NC$40),"",INDEX($BW$4:$BW$40,MATCH(ROW()-3,$NC$4:$NC$40,0)))</f>
        <v/>
      </c>
      <c r="NE39">
        <f>IF(COUNTIF('Buyer Groups'!DG92:DS92,0)+COUNTIF('Buyer Groups'!DU92:EN92,0)&gt;0,0,1)</f>
        <v/>
      </c>
      <c r="NF39">
        <f>IF($CB$39="",FALSE,SUMPRODUCT(('Final Calculation Sheet'!$N$4:$N$40=$CB$39)*($NE$6:$NE$42=1))&gt;0)</f>
        <v/>
      </c>
      <c r="NG39">
        <f>$NG$38+--($NF39)</f>
        <v/>
      </c>
      <c r="NH39">
        <f>IF(ROW()-3&gt;MAX($NG$4:$NG$40),"",INDEX($CB$4:$CB$40,MATCH(ROW()-3,$NG$4:$NG$40,0)))</f>
        <v/>
      </c>
      <c r="NI39">
        <f>IF(COUNTIF('Buyer Groups'!DG92:DT92,0)+COUNTIF('Buyer Groups'!DV92:EN92,0)&gt;0,0,1)</f>
        <v/>
      </c>
      <c r="NJ39">
        <f>IF($CG$39="",FALSE,SUMPRODUCT(('Final Calculation Sheet'!$O$4:$O$40=$CG$39)*($NI$6:$NI$42=1))&gt;0)</f>
        <v/>
      </c>
      <c r="NK39">
        <f>$NK$38+--($NJ39)</f>
        <v/>
      </c>
      <c r="NL39">
        <f>IF(ROW()-3&gt;MAX($NK$4:$NK$40),"",INDEX($CG$4:$CG$40,MATCH(ROW()-3,$NK$4:$NK$40,0)))</f>
        <v/>
      </c>
      <c r="NM39">
        <f>IF(COUNTIF('Buyer Groups'!DG92:DU92,0)+COUNTIF('Buyer Groups'!DW92:EN92,0)&gt;0,0,1)</f>
        <v/>
      </c>
      <c r="NN39">
        <f>IF($CL$39="",FALSE,SUMPRODUCT(('Final Calculation Sheet'!$P$4:$P$40=$CL$39)*($NM$6:$NM$42=1))&gt;0)</f>
        <v/>
      </c>
      <c r="NO39">
        <f>$NO$38+--($NN39)</f>
        <v/>
      </c>
      <c r="NP39">
        <f>IF(ROW()-3&gt;MAX($NO$4:$NO$40),"",INDEX($CL$4:$CL$40,MATCH(ROW()-3,$NO$4:$NO$40,0)))</f>
        <v/>
      </c>
      <c r="NQ39">
        <f>IF(COUNTIF('Buyer Groups'!DG92:DV92,0)+COUNTIF('Buyer Groups'!DX92:EN92,0)&gt;0,0,1)</f>
        <v/>
      </c>
      <c r="NR39">
        <f>IF($CQ$39="",FALSE,SUMPRODUCT(('Final Calculation Sheet'!$Q$4:$Q$40=$CQ$39)*($NQ$6:$NQ$42=1))&gt;0)</f>
        <v/>
      </c>
      <c r="NS39">
        <f>$NS$38+--($NR39)</f>
        <v/>
      </c>
      <c r="NT39">
        <f>IF(ROW()-3&gt;MAX($NS$4:$NS$40),"",INDEX($CQ$4:$CQ$40,MATCH(ROW()-3,$NS$4:$NS$40,0)))</f>
        <v/>
      </c>
      <c r="NU39">
        <f>IF(COUNTIF('Buyer Groups'!DG92:DW92,0)+COUNTIF('Buyer Groups'!DY92:EN92,0)&gt;0,0,1)</f>
        <v/>
      </c>
      <c r="NV39">
        <f>IF($CV$39="",FALSE,SUMPRODUCT(('Final Calculation Sheet'!$R$4:$R$40=$CV$39)*($NU$6:$NU$42=1))&gt;0)</f>
        <v/>
      </c>
      <c r="NW39">
        <f>$NW$38+--($NV39)</f>
        <v/>
      </c>
      <c r="NX39">
        <f>IF(ROW()-3&gt;MAX($NW$4:$NW$40),"",INDEX($CV$4:$CV$40,MATCH(ROW()-3,$NW$4:$NW$40,0)))</f>
        <v/>
      </c>
      <c r="NY39">
        <f>IF(COUNTIF('Buyer Groups'!DG92:DX92,0)+COUNTIF('Buyer Groups'!DZ92:EN92,0)&gt;0,0,1)</f>
        <v/>
      </c>
      <c r="NZ39">
        <f>IF($DA$39="",FALSE,SUMPRODUCT(('Final Calculation Sheet'!$S$4:$S$40=$DA$39)*($NY$6:$NY$42=1))&gt;0)</f>
        <v/>
      </c>
      <c r="OA39">
        <f>$OA$38+--($NZ39)</f>
        <v/>
      </c>
      <c r="OB39">
        <f>IF(ROW()-3&gt;MAX($OA$4:$OA$40),"",INDEX($DA$4:$DA$40,MATCH(ROW()-3,$OA$4:$OA$40,0)))</f>
        <v/>
      </c>
      <c r="OC39">
        <f>IF(COUNTIF('Buyer Groups'!DG92:DY92,0)+COUNTIF('Buyer Groups'!EA92:EN92,0)&gt;0,0,1)</f>
        <v/>
      </c>
      <c r="OD39">
        <f>IF($DF$39="",FALSE,SUMPRODUCT(('Final Calculation Sheet'!$T$4:$T$40=$DF$39)*($OC$6:$OC$42=1))&gt;0)</f>
        <v/>
      </c>
      <c r="OE39">
        <f>$OE$38+--($OD39)</f>
        <v/>
      </c>
      <c r="OF39">
        <f>IF(ROW()-3&gt;MAX($OE$4:$OE$40),"",INDEX($DF$4:$DF$40,MATCH(ROW()-3,$OE$4:$OE$40,0)))</f>
        <v/>
      </c>
      <c r="OG39">
        <f>IF(COUNTIF('Buyer Groups'!DG92:DZ92,0)+COUNTIF('Buyer Groups'!EB92:EN92,0)&gt;0,0,1)</f>
        <v/>
      </c>
      <c r="OH39">
        <f>IF($DK$39="",FALSE,SUMPRODUCT(('Final Calculation Sheet'!$U$4:$U$40=$DK$39)*($OG$6:$OG$42=1))&gt;0)</f>
        <v/>
      </c>
      <c r="OI39">
        <f>$OI$38+--($OH39)</f>
        <v/>
      </c>
      <c r="OJ39">
        <f>IF(ROW()-3&gt;MAX($OI$4:$OI$40),"",INDEX($DK$4:$DK$40,MATCH(ROW()-3,$OI$4:$OI$40,0)))</f>
        <v/>
      </c>
      <c r="OK39">
        <f>IF(COUNTIF('Buyer Groups'!DG92:EA92,0)+COUNTIF('Buyer Groups'!EC92:EN92,0)&gt;0,0,1)</f>
        <v/>
      </c>
      <c r="OL39">
        <f>IF($DP$39="",FALSE,SUMPRODUCT(('Final Calculation Sheet'!$V$4:$V$40=$DP$39)*($OK$6:$OK$42=1))&gt;0)</f>
        <v/>
      </c>
      <c r="OM39">
        <f>$OM$38+--($OL39)</f>
        <v/>
      </c>
      <c r="ON39">
        <f>IF(ROW()-3&gt;MAX($OM$4:$OM$40),"",INDEX($DP$4:$DP$40,MATCH(ROW()-3,$OM$4:$OM$40,0)))</f>
        <v/>
      </c>
      <c r="OO39">
        <f>IF(COUNTIF('Buyer Groups'!DG92:EB92,0)+COUNTIF('Buyer Groups'!ED92:EN92,0)&gt;0,0,1)</f>
        <v/>
      </c>
      <c r="OP39">
        <f>IF($DU$39="",FALSE,SUMPRODUCT(('Final Calculation Sheet'!$W$4:$W$40=$DU$39)*($OO$6:$OO$42=1))&gt;0)</f>
        <v/>
      </c>
      <c r="OQ39">
        <f>$OQ$38+--($OP39)</f>
        <v/>
      </c>
      <c r="OR39">
        <f>IF(ROW()-3&gt;MAX($OQ$4:$OQ$40),"",INDEX($DU$4:$DU$40,MATCH(ROW()-3,$OQ$4:$OQ$40,0)))</f>
        <v/>
      </c>
      <c r="OS39">
        <f>IF(COUNTIF('Buyer Groups'!DG92:EC92,0)+COUNTIF('Buyer Groups'!EE92:EN92,0)&gt;0,0,1)</f>
        <v/>
      </c>
      <c r="OT39">
        <f>IF($DZ$39="",FALSE,SUMPRODUCT(('Final Calculation Sheet'!$X$4:$X$40=$DZ$39)*($OS$6:$OS$42=1))&gt;0)</f>
        <v/>
      </c>
      <c r="OU39">
        <f>$OU$38+--($OT39)</f>
        <v/>
      </c>
      <c r="OV39">
        <f>IF(ROW()-3&gt;MAX($OU$4:$OU$40),"",INDEX($DZ$4:$DZ$40,MATCH(ROW()-3,$OU$4:$OU$40,0)))</f>
        <v/>
      </c>
      <c r="OW39">
        <f>IF(COUNTIF('Buyer Groups'!DG92:ED92,0)+COUNTIF('Buyer Groups'!EF92:EN92,0)&gt;0,0,1)</f>
        <v/>
      </c>
      <c r="OX39">
        <f>IF($EE$39="",FALSE,SUMPRODUCT(('Final Calculation Sheet'!$Y$4:$Y$40=$EE$39)*($OW$6:$OW$42=1))&gt;0)</f>
        <v/>
      </c>
      <c r="OY39">
        <f>$OY$38+--($OX39)</f>
        <v/>
      </c>
      <c r="OZ39">
        <f>IF(ROW()-3&gt;MAX($OY$4:$OY$40),"",INDEX($EE$4:$EE$40,MATCH(ROW()-3,$OY$4:$OY$40,0)))</f>
        <v/>
      </c>
      <c r="PA39">
        <f>IF(COUNTIF('Buyer Groups'!DG92:EE92,0)+COUNTIF('Buyer Groups'!EG92:EN92,0)&gt;0,0,1)</f>
        <v/>
      </c>
      <c r="PB39">
        <f>IF($EJ$39="",FALSE,SUMPRODUCT(('Final Calculation Sheet'!$Z$4:$Z$40=$EJ$39)*($PA$6:$PA$42=1))&gt;0)</f>
        <v/>
      </c>
      <c r="PC39">
        <f>$PC$38+--($PB39)</f>
        <v/>
      </c>
      <c r="PD39">
        <f>IF(ROW()-3&gt;MAX($PC$4:$PC$40),"",INDEX($EJ$4:$EJ$40,MATCH(ROW()-3,$PC$4:$PC$40,0)))</f>
        <v/>
      </c>
      <c r="PE39">
        <f>IF(COUNTIF('Buyer Groups'!DG92:EF92,0)+COUNTIF('Buyer Groups'!EH92:EN92,0)&gt;0,0,1)</f>
        <v/>
      </c>
      <c r="PF39">
        <f>IF($EO$39="",FALSE,SUMPRODUCT(('Final Calculation Sheet'!$AA$4:$AA$40=$EO$39)*($PE$6:$PE$42=1))&gt;0)</f>
        <v/>
      </c>
      <c r="PG39">
        <f>$PG$38+--($PF39)</f>
        <v/>
      </c>
      <c r="PH39">
        <f>IF(ROW()-3&gt;MAX($PG$4:$PG$40),"",INDEX($EO$4:$EO$40,MATCH(ROW()-3,$PG$4:$PG$40,0)))</f>
        <v/>
      </c>
      <c r="PI39">
        <f>IF(COUNTIF('Buyer Groups'!DG92:EG92,0)+COUNTIF('Buyer Groups'!EI92:EN92,0)&gt;0,0,1)</f>
        <v/>
      </c>
      <c r="PJ39">
        <f>IF($ET$39="",FALSE,SUMPRODUCT(('Final Calculation Sheet'!$AB$4:$AB$40=$ET$39)*($PI$6:$PI$42=1))&gt;0)</f>
        <v/>
      </c>
      <c r="PK39">
        <f>$PK$38+--($PJ39)</f>
        <v/>
      </c>
      <c r="PL39">
        <f>IF(ROW()-3&gt;MAX($PK$4:$PK$40),"",INDEX($ET$4:$ET$40,MATCH(ROW()-3,$PK$4:$PK$40,0)))</f>
        <v/>
      </c>
      <c r="PM39">
        <f>IF(COUNTIF('Buyer Groups'!DG92:EH92,0)+COUNTIF('Buyer Groups'!EJ92:EN92,0)&gt;0,0,1)</f>
        <v/>
      </c>
      <c r="PN39">
        <f>IF($EY$39="",FALSE,SUMPRODUCT(('Final Calculation Sheet'!$AC$4:$AC$40=$EY$39)*($PM$6:$PM$42=1))&gt;0)</f>
        <v/>
      </c>
      <c r="PO39">
        <f>$PO$38+--($PN39)</f>
        <v/>
      </c>
      <c r="PP39">
        <f>IF(ROW()-3&gt;MAX($PO$4:$PO$40),"",INDEX($EY$4:$EY$40,MATCH(ROW()-3,$PO$4:$PO$40,0)))</f>
        <v/>
      </c>
      <c r="PQ39">
        <f>IF(COUNTIF('Buyer Groups'!DG92:EI92,0)+COUNTIF('Buyer Groups'!EK92:EN92,0)&gt;0,0,1)</f>
        <v/>
      </c>
      <c r="PR39">
        <f>IF($FD$39="",FALSE,SUMPRODUCT(('Final Calculation Sheet'!$AD$4:$AD$40=$FD$39)*($PQ$6:$PQ$42=1))&gt;0)</f>
        <v/>
      </c>
      <c r="PS39">
        <f>$PS$38+--($PR39)</f>
        <v/>
      </c>
      <c r="PT39">
        <f>IF(ROW()-3&gt;MAX($PS$4:$PS$40),"",INDEX($FD$4:$FD$40,MATCH(ROW()-3,$PS$4:$PS$40,0)))</f>
        <v/>
      </c>
      <c r="PU39">
        <f>IF(COUNTIF('Buyer Groups'!DG92:EJ92,0)+COUNTIF('Buyer Groups'!EL92:EN92,0)&gt;0,0,1)</f>
        <v/>
      </c>
      <c r="PV39">
        <f>IF($FX$39="",FALSE,SUMPRODUCT((IF('Final Calculation Sheet'!$AD$4:$AD$40&lt;=5,"SETTLED","OUTSTANDING")=$FX$39)*($PU$6:$PU$42=1))&gt;0)</f>
        <v/>
      </c>
      <c r="PW39">
        <f>$PW$38+--($PV39)</f>
        <v/>
      </c>
      <c r="PX39">
        <f>IF(ROW()-3&gt;MAX($PW$4:$PW$40),"",INDEX($FX$4:$FX$40,MATCH(ROW()-3,$PW$4:$PW$40,0)))</f>
        <v/>
      </c>
      <c r="PY39">
        <f>IF(COUNTIF('Buyer Groups'!DG92:EK92,0)+COUNTIF('Buyer Groups'!EM92:EN92,0)&gt;0,0,1)</f>
        <v/>
      </c>
      <c r="PZ39">
        <f>IF($FI$39="",FALSE,SUMPRODUCT(('Final Calculation Sheet'!$AF$4:$AF$40=$FI$39)*($PY$6:$PY$42=1))&gt;0)</f>
        <v/>
      </c>
      <c r="QA39">
        <f>$QA$38+--($PZ39)</f>
        <v/>
      </c>
      <c r="QB39">
        <f>IF(ROW()-3&gt;MAX($QA$4:$QA$40),"",INDEX($FI$4:$FI$40,MATCH(ROW()-3,$QA$4:$QA$40,0)))</f>
        <v/>
      </c>
      <c r="QC39">
        <f>IF(COUNTIF('Buyer Groups'!DG92:EL92,0)+COUNTIF('Buyer Groups'!EN92:EN92,0)&gt;0,0,1)</f>
        <v/>
      </c>
      <c r="QD39">
        <f>IF($FN$39="",FALSE,SUMPRODUCT(('Final Calculation Sheet'!$AG$4:$AG$40=$FN$39)*($QC$6:$QC$42=1))&gt;0)</f>
        <v/>
      </c>
      <c r="QE39">
        <f>$QE$38+--($QD39)</f>
        <v/>
      </c>
      <c r="QF39">
        <f>IF(ROW()-3&gt;MAX($QE$4:$QE$40),"",INDEX($FN$4:$FN$40,MATCH(ROW()-3,$QE$4:$QE$40,0)))</f>
        <v/>
      </c>
      <c r="QG39">
        <f>IF(COUNTIF('Buyer Groups'!DG92:EM92,0)&gt;0,0,1)</f>
        <v/>
      </c>
      <c r="QH39">
        <f>IF($FS$39="",FALSE,SUMPRODUCT(('Final Calculation Sheet'!$AH$4:$AH$40=$FS$39)*($QG$6:$QG$42=1))&gt;0)</f>
        <v/>
      </c>
      <c r="QI39">
        <f>$QI$38+--($QH39)</f>
        <v/>
      </c>
      <c r="QJ39">
        <f>IF(ROW()-3&gt;MAX($QI$4:$QI$40),"",INDEX($FS$4:$FS$40,MATCH(ROW()-3,$QI$4:$QI$40,0)))</f>
        <v/>
      </c>
      <c r="QK39" t="str">
        <f>IF('Final Calculation Sheet'!$AH$39="","",'Final Calculation Sheet'!$AH$39)</f>
      </c>
      <c r="QL39" t="str">
        <f>IF(QK39="","",COUNTIFS(QK$4:QK$40,"&lt;"&amp;QK39,QK$4:QK$40,"&lt;&gt;"&amp;"")+COUNTIF(QK$4:QK39,QK39))</f>
      </c>
      <c r="QM39" t="str">
        <f>IF(ROW()-3&gt;COUNTIF(QK$4:QK$40,"&lt;&gt;"&amp;""),"",INDEX(QK$4:QK$40,MATCH(ROW()-3,QL$4:QL$40,0)))</f>
      </c>
      <c r="QN39" t="str">
        <f>=QN38+F(AND(QM39&lt;&gt;"",COUNTIF(QM$4:QM39,QM39)=1),1,0)</f>
      </c>
      <c r="QO39" t="str">
        <f>IF(ROW()-3&gt;MAX(QN$4:QN$40),"",INDEX(QM$4:QM$40,MATCH(ROW()-3,QN$4:QN$40,0)))</f>
      </c>
      <c r="QP39" t="str">
        <f>IF(COUNTIF('Final Calculation Sheet'!$AM39:$BS39,0)&gt;0,0,1)</f>
      </c>
      <c r="QQ39" t="str">
        <f>IF($AI$39="",FALSE,SUMPRODUCT(('Final Calculation Sheet'!$A$4:$A$40=$AI$39)*($QP$4:$QP$40=1))&gt;0)</f>
      </c>
      <c r="QR39" t="str">
        <f>=$QR38+--($QQ39)</f>
      </c>
      <c r="QS39" t="str">
        <f>IF(ROW()-3&gt;MAX($QR$4:$QR$40),"",INDEX($AI$4:$AI$40,MATCH(ROW()-3,$QR$4:$QR$40,0)))</f>
      </c>
      <c r="QT39" t="str">
        <f>IF(COUNTIF('Final Calculation Sheet'!$AL39:$AL39,0)+COUNTIF('Final Calculation Sheet'!$AN39:$BS39,0)&gt;0,0,1)</f>
      </c>
      <c r="QU39" t="str">
        <f>IF($Y$39="",FALSE,SUMPRODUCT(('Final Calculation Sheet'!$B$4:$B$40=$Y$39)*($QT$4:$QT$40=1))&gt;0)</f>
      </c>
      <c r="QV39" t="str">
        <f>=$QV38+--($QU39)</f>
      </c>
      <c r="QW39" t="str">
        <f>IF(ROW()-3&gt;MAX($QV$4:$QV$40),"",INDEX($Y$4:$Y$40,MATCH(ROW()-3,$QV$4:$QV$40,0)))</f>
      </c>
      <c r="QX39" t="str">
        <f>IF(COUNTIF('Final Calculation Sheet'!$AL39:$AM39,0)+COUNTIF('Final Calculation Sheet'!$AO39:$BS39,0)&gt;0,0,1)</f>
      </c>
      <c r="QY39" t="str">
        <f>IF($AS$39="",FALSE,SUMPRODUCT(('Final Calculation Sheet'!$C$4:$C$40=$AS$39)*($QX$4:$QX$40=1))&gt;0)</f>
      </c>
      <c r="QZ39" t="str">
        <f>=$QZ38+--($QY39)</f>
      </c>
      <c r="RA39" t="str">
        <f>IF(ROW()-3&gt;MAX($QZ$4:$QZ$40),"",INDEX($AS$4:$AS$40,MATCH(ROW()-3,$QZ$4:$QZ$40,0)))</f>
      </c>
      <c r="RB39" t="str">
        <f>IF(COUNTIF('Final Calculation Sheet'!$AL39:$AN39,0)+COUNTIF('Final Calculation Sheet'!$AP39:$BS39,0)&gt;0,0,1)</f>
      </c>
      <c r="RC39" t="str">
        <f>IF($AD$39="",FALSE,SUMPRODUCT(('Final Calculation Sheet'!$D$4:$D$40=$AD$39)*($RB$4:$RB$40=1))&gt;0)</f>
      </c>
      <c r="RD39" t="str">
        <f>=$RD38+--($RC39)</f>
      </c>
      <c r="RE39" t="str">
        <f>IF(ROW()-3&gt;MAX($RD$4:$RD$40),"",INDEX($AD$4:$AD$40,MATCH(ROW()-3,$RD$4:$RD$40,0)))</f>
      </c>
      <c r="RF39" t="str">
        <f>IF(COUNTIF('Final Calculation Sheet'!$AL39:$AO39,0)+COUNTIF('Final Calculation Sheet'!$AQ39:$BS39,0)&gt;0,0,1)</f>
      </c>
      <c r="RG39" t="str">
        <f>IF($AN$39="",FALSE,SUMPRODUCT(('Final Calculation Sheet'!$E$4:$E$40=$AN$39)*($RF$4:$RF$40=1))&gt;0)</f>
      </c>
      <c r="RH39" t="str">
        <f>=$RH38+--($RG39)</f>
      </c>
      <c r="RI39" t="str">
        <f>IF(ROW()-3&gt;MAX($RH$4:$RH$40),"",INDEX($AN$4:$AN$40,MATCH(ROW()-3,$RH$4:$RH$40,0)))</f>
      </c>
      <c r="RJ39" t="str">
        <f>IF(COUNTIF('Final Calculation Sheet'!$AL39:$AP39,0)+COUNTIF('Final Calculation Sheet'!$AR39:$BS39,0)&gt;0,0,1)</f>
      </c>
      <c r="RK39" t="str">
        <f>IF($O$39="",FALSE,SUMPRODUCT(('Final Calculation Sheet'!$F$4:$F$40=$O$39)*($RJ$4:$RJ$40=1))&gt;0)</f>
      </c>
      <c r="RL39" t="str">
        <f>=$RL38+--($RK39)</f>
      </c>
      <c r="RM39" t="str">
        <f>IF(ROW()-3&gt;MAX($RL$4:$RL$40),"",INDEX($O$4:$O$40,MATCH(ROW()-3,$RL$4:$RL$40,0)))</f>
      </c>
      <c r="RN39" t="str">
        <f>IF(COUNTIF('Final Calculation Sheet'!$AL39:$AQ39,0)+COUNTIF('Final Calculation Sheet'!$AS39:$BS39,0)&gt;0,0,1)</f>
      </c>
      <c r="RO39" t="str">
        <f>IF($T$39="",FALSE,SUMPRODUCT(('Final Calculation Sheet'!$G$4:$G$40=$T$39)*($RN$4:$RN$40=1))&gt;0)</f>
      </c>
      <c r="RP39" t="str">
        <f>=$RP38+--($RO39)</f>
      </c>
      <c r="RQ39" t="str">
        <f>IF(ROW()-3&gt;MAX($RP$4:$RP$40),"",INDEX($T$4:$T$40,MATCH(ROW()-3,$RP$4:$RP$40,0)))</f>
      </c>
      <c r="RR39" t="str">
        <f>IF(COUNTIF('Final Calculation Sheet'!$AL39:$AR39,0)+COUNTIF('Final Calculation Sheet'!$AT39:$BS39,0)&gt;0,0,1)</f>
      </c>
      <c r="RS39" t="str">
        <f>IF($AX$39="",FALSE,SUMPRODUCT(('Final Calculation Sheet'!$H$4:$H$40=$AX$39)*($RR$4:$RR$40=1))&gt;0)</f>
      </c>
      <c r="RT39" t="str">
        <f>=$RT38+--($RS39)</f>
      </c>
      <c r="RU39" t="str">
        <f>IF(ROW()-3&gt;MAX($RT$4:$RT$40),"",INDEX($AX$4:$AX$40,MATCH(ROW()-3,$RT$4:$RT$40,0)))</f>
      </c>
      <c r="RV39" t="str">
        <f>IF(COUNTIF('Final Calculation Sheet'!$AL39:$AS39,0)+COUNTIF('Final Calculation Sheet'!$AU39:$BS39,0)&gt;0,0,1)</f>
      </c>
      <c r="RW39" t="str">
        <f>IF($BC$39="",FALSE,SUMPRODUCT(('Final Calculation Sheet'!$I$4:$I$40=$BC$39)*($RV$4:$RV$40=1))&gt;0)</f>
      </c>
      <c r="RX39" t="str">
        <f>=$RX38+--($RW39)</f>
      </c>
      <c r="RY39" t="str">
        <f>IF(ROW()-3&gt;MAX($RX$4:$RX$40),"",INDEX($BC$4:$BC$40,MATCH(ROW()-3,$RX$4:$RX$40,0)))</f>
      </c>
      <c r="RZ39" t="str">
        <f>IF(COUNTIF('Final Calculation Sheet'!$AL39:$AT39,0)+COUNTIF('Final Calculation Sheet'!$AV39:$BS39,0)&gt;0,0,1)</f>
      </c>
      <c r="SA39" t="str">
        <f>IF($BH$39="",FALSE,SUMPRODUCT(('Final Calculation Sheet'!$J$4:$J$40=$BH$39)*($RZ$4:$RZ$40=1))&gt;0)</f>
      </c>
      <c r="SB39" t="str">
        <f>=$SB38+--($SA39)</f>
      </c>
      <c r="SC39" t="str">
        <f>IF(ROW()-3&gt;MAX($SB$4:$SB$40),"",INDEX($BH$4:$BH$40,MATCH(ROW()-3,$SB$4:$SB$40,0)))</f>
      </c>
      <c r="SD39" t="str">
        <f>IF(COUNTIF('Final Calculation Sheet'!$AL39:$AU39,0)+COUNTIF('Final Calculation Sheet'!$AW39:$BS39,0)&gt;0,0,1)</f>
      </c>
      <c r="SE39" t="str">
        <f>IF($BM$39="",FALSE,SUMPRODUCT(('Final Calculation Sheet'!$K$4:$K$40=$BM$39)*($SD$4:$SD$40=1))&gt;0)</f>
      </c>
      <c r="SF39" t="str">
        <f>=$SF38+--($SE39)</f>
      </c>
      <c r="SG39" t="str">
        <f>IF(ROW()-3&gt;MAX($SF$4:$SF$40),"",INDEX($BM$4:$BM$40,MATCH(ROW()-3,$SF$4:$SF$40,0)))</f>
      </c>
      <c r="SH39" t="str">
        <f>IF(COUNTIF('Final Calculation Sheet'!$AL39:$AV39,0)+COUNTIF('Final Calculation Sheet'!$AX39:$BS39,0)&gt;0,0,1)</f>
      </c>
      <c r="SI39" t="str">
        <f>IF($BR$39="",FALSE,SUMPRODUCT(('Final Calculation Sheet'!$L$4:$L$40=$BR$39)*($SH$4:$SH$40=1))&gt;0)</f>
      </c>
      <c r="SJ39" t="str">
        <f>=$SJ38+--($SI39)</f>
      </c>
      <c r="SK39" t="str">
        <f>IF(ROW()-3&gt;MAX($SJ$4:$SJ$40),"",INDEX($BR$4:$BR$40,MATCH(ROW()-3,$SJ$4:$SJ$40,0)))</f>
      </c>
      <c r="SL39" t="str">
        <f>IF(COUNTIF('Final Calculation Sheet'!$AL39:$AW39,0)+COUNTIF('Final Calculation Sheet'!$AY39:$BS39,0)&gt;0,0,1)</f>
      </c>
      <c r="SM39" t="str">
        <f>IF($BW$39="",FALSE,SUMPRODUCT(('Final Calculation Sheet'!$M$4:$M$40=$BW$39)*($SL$4:$SL$40=1))&gt;0)</f>
      </c>
      <c r="SN39" t="str">
        <f>=$SN38+--($SM39)</f>
      </c>
      <c r="SO39" t="str">
        <f>IF(ROW()-3&gt;MAX($SN$4:$SN$40),"",INDEX($BW$4:$BW$40,MATCH(ROW()-3,$SN$4:$SN$40,0)))</f>
      </c>
      <c r="SP39" t="str">
        <f>IF(COUNTIF('Final Calculation Sheet'!$AL39:$AX39,0)+COUNTIF('Final Calculation Sheet'!$AZ39:$BS39,0)&gt;0,0,1)</f>
      </c>
      <c r="SQ39" t="str">
        <f>IF($CB$39="",FALSE,SUMPRODUCT(('Final Calculation Sheet'!$N$4:$N$40=$CB$39)*($SP$4:$SP$40=1))&gt;0)</f>
      </c>
      <c r="SR39" t="str">
        <f>=$SR38+--($SQ39)</f>
      </c>
      <c r="SS39" t="str">
        <f>IF(ROW()-3&gt;MAX($SR$4:$SR$40),"",INDEX($CB$4:$CB$40,MATCH(ROW()-3,$SR$4:$SR$40,0)))</f>
      </c>
      <c r="ST39" t="str">
        <f>IF(COUNTIF('Final Calculation Sheet'!$AL39:$AY39,0)+COUNTIF('Final Calculation Sheet'!$BA39:$BS39,0)&gt;0,0,1)</f>
      </c>
      <c r="SU39" t="str">
        <f>IF($CG$39="",FALSE,SUMPRODUCT(('Final Calculation Sheet'!$O$4:$O$40=$CG$39)*($ST$4:$ST$40=1))&gt;0)</f>
      </c>
      <c r="SV39" t="str">
        <f>=$SV38+--($SU39)</f>
      </c>
      <c r="SW39" t="str">
        <f>IF(ROW()-3&gt;MAX($SV$4:$SV$40),"",INDEX($CG$4:$CG$40,MATCH(ROW()-3,$SV$4:$SV$40,0)))</f>
      </c>
      <c r="SX39" t="str">
        <f>IF(COUNTIF('Final Calculation Sheet'!$AL39:$AZ39,0)+COUNTIF('Final Calculation Sheet'!$BB39:$BS39,0)&gt;0,0,1)</f>
      </c>
      <c r="SY39" t="str">
        <f>IF($CL$39="",FALSE,SUMPRODUCT(('Final Calculation Sheet'!$P$4:$P$40=$CL$39)*($SX$4:$SX$40=1))&gt;0)</f>
      </c>
      <c r="SZ39" t="str">
        <f>=$SZ38+--($SY39)</f>
      </c>
      <c r="TA39" t="str">
        <f>IF(ROW()-3&gt;MAX($SZ$4:$SZ$40),"",INDEX($CL$4:$CL$40,MATCH(ROW()-3,$SZ$4:$SZ$40,0)))</f>
      </c>
      <c r="TB39" t="str">
        <f>IF(COUNTIF('Final Calculation Sheet'!$AL39:$BA39,0)+COUNTIF('Final Calculation Sheet'!$BC39:$BS39,0)&gt;0,0,1)</f>
      </c>
      <c r="TC39" t="str">
        <f>IF($CQ$39="",FALSE,SUMPRODUCT(('Final Calculation Sheet'!$Q$4:$Q$40=$CQ$39)*($TB$4:$TB$40=1))&gt;0)</f>
      </c>
      <c r="TD39" t="str">
        <f>=$TD38+--($TC39)</f>
      </c>
      <c r="TE39" t="str">
        <f>IF(ROW()-3&gt;MAX($TD$4:$TD$40),"",INDEX($CQ$4:$CQ$40,MATCH(ROW()-3,$TD$4:$TD$40,0)))</f>
      </c>
      <c r="TF39" t="str">
        <f>IF(COUNTIF('Final Calculation Sheet'!$AL39:$BB39,0)+COUNTIF('Final Calculation Sheet'!$BD39:$BS39,0)&gt;0,0,1)</f>
      </c>
      <c r="TG39" t="str">
        <f>IF($CV$39="",FALSE,SUMPRODUCT(('Final Calculation Sheet'!$R$4:$R$40=$CV$39)*($TF$4:$TF$40=1))&gt;0)</f>
      </c>
      <c r="TH39" t="str">
        <f>=$TH38+--($TG39)</f>
      </c>
      <c r="TI39" t="str">
        <f>IF(ROW()-3&gt;MAX($TH$4:$TH$40),"",INDEX($CV$4:$CV$40,MATCH(ROW()-3,$TH$4:$TH$40,0)))</f>
      </c>
      <c r="TJ39" t="str">
        <f>IF(COUNTIF('Final Calculation Sheet'!$AL39:$BC39,0)+COUNTIF('Final Calculation Sheet'!$BE39:$BS39,0)&gt;0,0,1)</f>
      </c>
      <c r="TK39" t="str">
        <f>IF($DA$39="",FALSE,SUMPRODUCT(('Final Calculation Sheet'!$S$4:$S$40=$DA$39)*($TJ$4:$TJ$40=1))&gt;0)</f>
      </c>
      <c r="TL39" t="str">
        <f>=$TL38+--($TK39)</f>
      </c>
      <c r="TM39" t="str">
        <f>IF(ROW()-3&gt;MAX($TL$4:$TL$40),"",INDEX($DA$4:$DA$40,MATCH(ROW()-3,$TL$4:$TL$40,0)))</f>
      </c>
      <c r="TN39" t="str">
        <f>IF(COUNTIF('Final Calculation Sheet'!$AL39:$BD39,0)+COUNTIF('Final Calculation Sheet'!$BF39:$BS39,0)&gt;0,0,1)</f>
      </c>
      <c r="TO39" t="str">
        <f>IF($DF$39="",FALSE,SUMPRODUCT(('Final Calculation Sheet'!$T$4:$T$40=$DF$39)*($TN$4:$TN$40=1))&gt;0)</f>
      </c>
      <c r="TP39" t="str">
        <f>=$TP38+--($TO39)</f>
      </c>
      <c r="TQ39" t="str">
        <f>IF(ROW()-3&gt;MAX($TP$4:$TP$40),"",INDEX($DF$4:$DF$40,MATCH(ROW()-3,$TP$4:$TP$40,0)))</f>
      </c>
      <c r="TR39" t="str">
        <f>IF(COUNTIF('Final Calculation Sheet'!$AL39:$BE39,0)+COUNTIF('Final Calculation Sheet'!$BG39:$BS39,0)&gt;0,0,1)</f>
      </c>
      <c r="TS39" t="str">
        <f>IF($DK$39="",FALSE,SUMPRODUCT(('Final Calculation Sheet'!$U$4:$U$40=$DK$39)*($TR$4:$TR$40=1))&gt;0)</f>
      </c>
      <c r="TT39" t="str">
        <f>=$TT38+--($TS39)</f>
      </c>
      <c r="TU39" t="str">
        <f>IF(ROW()-3&gt;MAX($TT$4:$TT$40),"",INDEX($DK$4:$DK$40,MATCH(ROW()-3,$TT$4:$TT$40,0)))</f>
      </c>
      <c r="TV39" t="str">
        <f>IF(COUNTIF('Final Calculation Sheet'!$AL39:$BF39,0)+COUNTIF('Final Calculation Sheet'!$BH39:$BS39,0)&gt;0,0,1)</f>
      </c>
      <c r="TW39" t="str">
        <f>IF($DP$39="",FALSE,SUMPRODUCT(('Final Calculation Sheet'!$V$4:$V$40=$DP$39)*($TV$4:$TV$40=1))&gt;0)</f>
      </c>
      <c r="TX39" t="str">
        <f>=$TX38+--($TW39)</f>
      </c>
      <c r="TY39" t="str">
        <f>IF(ROW()-3&gt;MAX($TX$4:$TX$40),"",INDEX($DP$4:$DP$40,MATCH(ROW()-3,$TX$4:$TX$40,0)))</f>
      </c>
      <c r="TZ39" t="str">
        <f>IF(COUNTIF('Final Calculation Sheet'!$AL39:$BG39,0)+COUNTIF('Final Calculation Sheet'!$BI39:$BS39,0)&gt;0,0,1)</f>
      </c>
      <c r="UA39" t="str">
        <f>IF($DU$39="",FALSE,SUMPRODUCT(('Final Calculation Sheet'!$W$4:$W$40=$DU$39)*($TZ$4:$TZ$40=1))&gt;0)</f>
      </c>
      <c r="UB39" t="str">
        <f>=$UB38+--($UA39)</f>
      </c>
      <c r="UC39" t="str">
        <f>IF(ROW()-3&gt;MAX($UB$4:$UB$40),"",INDEX($DU$4:$DU$40,MATCH(ROW()-3,$UB$4:$UB$40,0)))</f>
      </c>
      <c r="UD39" t="str">
        <f>IF(COUNTIF('Final Calculation Sheet'!$AL39:$BH39,0)+COUNTIF('Final Calculation Sheet'!$BJ39:$BS39,0)&gt;0,0,1)</f>
      </c>
      <c r="UE39" t="str">
        <f>IF($DZ$39="",FALSE,SUMPRODUCT(('Final Calculation Sheet'!$X$4:$X$40=$DZ$39)*($UD$4:$UD$40=1))&gt;0)</f>
      </c>
      <c r="UF39" t="str">
        <f>=$UF38+--($UE39)</f>
      </c>
      <c r="UG39" t="str">
        <f>IF(ROW()-3&gt;MAX($UF$4:$UF$40),"",INDEX($DZ$4:$DZ$40,MATCH(ROW()-3,$UF$4:$UF$40,0)))</f>
      </c>
      <c r="UH39" t="str">
        <f>IF(COUNTIF('Final Calculation Sheet'!$AL39:$BI39,0)+COUNTIF('Final Calculation Sheet'!$BK39:$BS39,0)&gt;0,0,1)</f>
      </c>
      <c r="UI39" t="str">
        <f>IF($EE$39="",FALSE,SUMPRODUCT(('Final Calculation Sheet'!$Y$4:$Y$40=$EE$39)*($UH$4:$UH$40=1))&gt;0)</f>
      </c>
      <c r="UJ39" t="str">
        <f>=$UJ38+--($UI39)</f>
      </c>
      <c r="UK39" t="str">
        <f>IF(ROW()-3&gt;MAX($UJ$4:$UJ$40),"",INDEX($EE$4:$EE$40,MATCH(ROW()-3,$UJ$4:$UJ$40,0)))</f>
      </c>
      <c r="UL39" t="str">
        <f>IF(COUNTIF('Final Calculation Sheet'!$AL39:$BJ39,0)+COUNTIF('Final Calculation Sheet'!$BL39:$BS39,0)&gt;0,0,1)</f>
      </c>
      <c r="UM39" t="str">
        <f>IF($EJ$39="",FALSE,SUMPRODUCT(('Final Calculation Sheet'!$Z$4:$Z$40=$EJ$39)*($UL$4:$UL$40=1))&gt;0)</f>
      </c>
      <c r="UN39" t="str">
        <f>=$UN38+--($UM39)</f>
      </c>
      <c r="UO39" t="str">
        <f>IF(ROW()-3&gt;MAX($UN$4:$UN$40),"",INDEX($EJ$4:$EJ$40,MATCH(ROW()-3,$UN$4:$UN$40,0)))</f>
      </c>
      <c r="UP39" t="str">
        <f>IF(COUNTIF('Final Calculation Sheet'!$AL39:$BK39,0)+COUNTIF('Final Calculation Sheet'!$BM39:$BS39,0)&gt;0,0,1)</f>
      </c>
      <c r="UQ39" t="str">
        <f>IF($EO$39="",FALSE,SUMPRODUCT(('Final Calculation Sheet'!$AA$4:$AA$40=$EO$39)*($UP$4:$UP$40=1))&gt;0)</f>
      </c>
      <c r="UR39" t="str">
        <f>=$UR38+--($UQ39)</f>
      </c>
      <c r="US39" t="str">
        <f>IF(ROW()-3&gt;MAX($UR$4:$UR$40),"",INDEX($EO$4:$EO$40,MATCH(ROW()-3,$UR$4:$UR$40,0)))</f>
      </c>
      <c r="UT39" t="str">
        <f>IF(COUNTIF('Final Calculation Sheet'!$AL39:$BL39,0)+COUNTIF('Final Calculation Sheet'!$BN39:$BS39,0)&gt;0,0,1)</f>
      </c>
      <c r="UU39" t="str">
        <f>IF($ET$39="",FALSE,SUMPRODUCT(('Final Calculation Sheet'!$AB$4:$AB$40=$ET$39)*($UT$4:$UT$40=1))&gt;0)</f>
      </c>
      <c r="UV39" t="str">
        <f>=$UV38+--($UU39)</f>
      </c>
      <c r="UW39" t="str">
        <f>IF(ROW()-3&gt;MAX($UV$4:$UV$40),"",INDEX($ET$4:$ET$40,MATCH(ROW()-3,$UV$4:$UV$40,0)))</f>
      </c>
      <c r="UX39" t="str">
        <f>IF(COUNTIF('Final Calculation Sheet'!$AL39:$BM39,0)+COUNTIF('Final Calculation Sheet'!$BO39:$BS39,0)&gt;0,0,1)</f>
      </c>
      <c r="UY39" t="str">
        <f>IF($EY$39="",FALSE,SUMPRODUCT(('Final Calculation Sheet'!$AC$4:$AC$40=$EY$39)*($UX$4:$UX$40=1))&gt;0)</f>
      </c>
      <c r="UZ39" t="str">
        <f>=$UZ38+--($UY39)</f>
      </c>
      <c r="VA39" t="str">
        <f>IF(ROW()-3&gt;MAX($UZ$4:$UZ$40),"",INDEX($EY$4:$EY$40,MATCH(ROW()-3,$UZ$4:$UZ$40,0)))</f>
      </c>
      <c r="VB39" t="str">
        <f>IF(COUNTIF('Final Calculation Sheet'!$AL39:$BN39,0)+COUNTIF('Final Calculation Sheet'!$BP39:$BS39,0)&gt;0,0,1)</f>
      </c>
      <c r="VC39" t="str">
        <f>IF($FD$39="",FALSE,SUMPRODUCT(('Final Calculation Sheet'!$AD$4:$AD$40=$FD$39)*($VB$4:$VB$40=1))&gt;0)</f>
      </c>
      <c r="VD39" t="str">
        <f>=$VD38+--($VC39)</f>
      </c>
      <c r="VE39" t="str">
        <f>IF(ROW()-3&gt;MAX($VD$4:$VD$40),"",INDEX($FD$4:$FD$40,MATCH(ROW()-3,$VD$4:$VD$40,0)))</f>
      </c>
      <c r="VF39" t="str">
        <f>IF(COUNTIF('Final Calculation Sheet'!$AL39:$BO39,0)+COUNTIF('Final Calculation Sheet'!$BQ39:$BS39,0)&gt;0,0,1)</f>
      </c>
      <c r="VG39" t="str">
        <f>IF($FI$39="",FALSE,SUMPRODUCT(('Final Calculation Sheet'!$AE$4:$AE$40=$FI$39)*($VF$4:$VF$40=1))&gt;0)</f>
      </c>
      <c r="VH39" t="str">
        <f>=$VH38+--($VG39)</f>
      </c>
      <c r="VI39" t="str">
        <f>IF(ROW()-3&gt;MAX($VH$4:$VH$40),"",INDEX($FI$4:$FI$40,MATCH(ROW()-3,$VH$4:$VH$40,0)))</f>
      </c>
      <c r="VJ39" t="str">
        <f>IF(COUNTIF('Final Calculation Sheet'!$AL39:$BP39,0)+COUNTIF('Final Calculation Sheet'!$BR39:$BS39,0)&gt;0,0,1)</f>
      </c>
      <c r="VK39" t="str">
        <f>IF($FN$39="",FALSE,SUMPRODUCT(('Final Calculation Sheet'!$AF$4:$AF$40=$FN$39)*($VJ$4:$VJ$40=1))&gt;0)</f>
      </c>
      <c r="VL39" t="str">
        <f>=$VL38+--($VK39)</f>
      </c>
      <c r="VM39" t="str">
        <f>IF(ROW()-3&gt;MAX($VL$4:$VL$40),"",INDEX($FN$4:$FN$40,MATCH(ROW()-3,$VL$4:$VL$40,0)))</f>
      </c>
      <c r="VN39" t="str">
        <f>IF(COUNTIF('Final Calculation Sheet'!$AL39:$BQ39,0)+COUNTIF('Final Calculation Sheet'!$BS39:$BS39,0)&gt;0,0,1)</f>
      </c>
      <c r="VO39" t="str">
        <f>IF($FS$39="",FALSE,SUMPRODUCT(('Final Calculation Sheet'!$AG$4:$AG$40=$FS$39)*($VN$4:$VN$40=1))&gt;0)</f>
      </c>
      <c r="VP39" t="str">
        <f>=$VP38+--($VO39)</f>
      </c>
      <c r="VQ39" t="str">
        <f>IF(ROW()-3&gt;MAX($VP$4:$VP$40),"",INDEX($FS$4:$FS$40,MATCH(ROW()-3,$VP$4:$VP$40,0)))</f>
      </c>
      <c r="VR39" t="str">
        <f>IF(COUNTIF('Final Calculation Sheet'!$AL39:$BR39,0)&gt;0,0,1)</f>
      </c>
      <c r="VS39" t="str">
        <f>IF($QO$39="",FALSE,SUMPRODUCT(('Final Calculation Sheet'!$AH$4:$AH$40=$QO$39)*($VR$4:$VR$40=1))&gt;0)</f>
      </c>
      <c r="VT39" t="str">
        <f>=$VT38+--($VS39)</f>
      </c>
      <c r="VU39" t="str">
        <f>IF(ROW()-3&gt;MAX($VT$4:$VT$40),"",INDEX($QO$4:$QO$40,MATCH(ROW()-3,$VT$4:$VT$40,0)))</f>
      </c>
    </row>
    <row r="40">
      <c r="A40">
        <f>IF(IFERROR('Final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IF(IFERROR('Final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s="55">
        <f>IF('Final Calculation Sheet'!$C$40="","",'Final Calculation Sheet'!$C$40)</f>
        <v/>
      </c>
      <c r="AP40">
        <f>IF(AO40="","",COUNTIFS(AO$4:AO$40,"&lt;"&amp;AO40,AO$4:AO$40,"&lt;&gt;"&amp;"")+COUNTIF(AO$4:AO40,AO40))</f>
        <v/>
      </c>
      <c r="AQ40" s="55">
        <f>IF(ROW()-3&gt;COUNTIF(AO$4:AO$40,"&lt;&gt;"&amp;""),"",INDEX(AO$4:AO$40,MATCH(ROW()-3,AP$4:AP$40,0)))</f>
        <v/>
      </c>
      <c r="AR40">
        <f>AR39+IF(AND(AQ40&lt;&gt;"",COUNTIF(AQ$4:AQ40,AQ40)=1),1,0)</f>
        <v/>
      </c>
      <c r="AS40">
        <f>IF(ROW()-3&gt;MAX(AR$4:AR$40),"",INDEX(AQ$4:AQ$40,MATCH(ROW()-3,AR$4:AR$40,0)))</f>
        <v/>
      </c>
      <c r="AT40" s="55">
        <f>IF('Final Calculation Sheet'!$H$40="","",'Final Calculation Sheet'!$H$40)</f>
        <v/>
      </c>
      <c r="AU40">
        <f>IF(AT40="","",COUNTIFS(AT$4:AT$40,"&lt;"&amp;AT40,AT$4:AT$40,"&lt;&gt;"&amp;"")+COUNTIF(AT$4:AT40,AT40))</f>
        <v/>
      </c>
      <c r="AV40" s="55">
        <f>IF(ROW()-3&gt;COUNTIF(AT$4:AT$40,"&lt;&gt;"&amp;""),"",INDEX(AT$4:AT$40,MATCH(ROW()-3,AU$4:AU$40,0)))</f>
        <v/>
      </c>
      <c r="AW40">
        <f>AW39+IF(AND(AV40&lt;&gt;"",COUNTIF(AV$4:AV40,AV40)=1),1,0)</f>
        <v/>
      </c>
      <c r="AX40" s="55">
        <f>IF(ROW()-3&gt;MAX(AW$4:AW$40),"",INDEX(AV$4:AV$40,MATCH(ROW()-3,AW$4:AW$40,0)))</f>
        <v/>
      </c>
      <c r="AY40" s="55">
        <f>IF('Final Calculation Sheet'!$I$40="","",'Final Calculation Sheet'!$I$40)</f>
        <v/>
      </c>
      <c r="AZ40">
        <f>IF(AY40="","",COUNTIFS(AY$4:AY$40,"&lt;"&amp;AY40,AY$4:AY$40,"&lt;&gt;"&amp;"")+COUNTIF(AY$4:AY40,AY40))</f>
        <v/>
      </c>
      <c r="BA40" s="55">
        <f>IF(ROW()-3&gt;COUNTIF(AY$4:AY$40,"&lt;&gt;"&amp;""),"",INDEX(AY$4:AY$40,MATCH(ROW()-3,AZ$4:AZ$40,0)))</f>
        <v/>
      </c>
      <c r="BB40">
        <f>BB39+IF(AND(BA40&lt;&gt;"",COUNTIF(BA$4:BA40,BA40)=1),1,0)</f>
        <v/>
      </c>
      <c r="BC40" s="55">
        <f>IF(ROW()-3&gt;MAX(BB$4:BB$40),"",INDEX(BA$4:BA$40,MATCH(ROW()-3,BB$4:BB$40,0)))</f>
        <v/>
      </c>
      <c r="BD40" s="55">
        <f>IF('Final Calculation Sheet'!$J$40="","",'Final Calculation Sheet'!$J$40)</f>
        <v/>
      </c>
      <c r="BE40">
        <f>IF(BD40="","",COUNTIFS(BD$4:BD$40,"&lt;"&amp;BD40,BD$4:BD$40,"&lt;&gt;"&amp;"")+COUNTIF(BD$4:BD40,BD40))</f>
        <v/>
      </c>
      <c r="BF40" s="55">
        <f>IF(ROW()-3&gt;COUNTIF(BD$4:BD$40,"&lt;&gt;"&amp;""),"",INDEX(BD$4:BD$40,MATCH(ROW()-3,BE$4:BE$40,0)))</f>
        <v/>
      </c>
      <c r="BG40">
        <f>BG39+IF(AND(BF40&lt;&gt;"",COUNTIF(BF$4:BF40,BF40)=1),1,0)</f>
        <v/>
      </c>
      <c r="BH40" s="55">
        <f>IF(ROW()-3&gt;MAX(BG$4:BG$40),"",INDEX(BF$4:BF$40,MATCH(ROW()-3,BG$4:BG$40,0)))</f>
        <v/>
      </c>
      <c r="BI40" s="55">
        <f>IF('Final Calculation Sheet'!$K$40="","",'Final Calculation Sheet'!$K$40)</f>
        <v/>
      </c>
      <c r="BJ40">
        <f>IF(BI40="","",COUNTIFS(BI$4:BI$40,"&lt;"&amp;BI40,BI$4:BI$40,"&lt;&gt;"&amp;"")+COUNTIF(BI$4:BI40,BI40))</f>
        <v/>
      </c>
      <c r="BK40" s="55">
        <f>IF(ROW()-3&gt;COUNTIF(BI$4:BI$40,"&lt;&gt;"&amp;""),"",INDEX(BI$4:BI$40,MATCH(ROW()-3,BJ$4:BJ$40,0)))</f>
        <v/>
      </c>
      <c r="BL40">
        <f>BL39+IF(AND(BK40&lt;&gt;"",COUNTIF(BK$4:BK40,BK40)=1),1,0)</f>
        <v/>
      </c>
      <c r="BM40">
        <f>IF(ROW()-3&gt;MAX(BL$4:BL$40),"",INDEX(BK$4:BK$40,MATCH(ROW()-3,BL$4:BL$40,0)))</f>
        <v/>
      </c>
      <c r="BN40" s="55">
        <f>IF('Final Calculation Sheet'!$L$40="","",'Final Calculation Sheet'!$L$40)</f>
        <v/>
      </c>
      <c r="BO40">
        <f>IF(BN40="","",COUNTIFS(BN$4:BN$40,"&lt;"&amp;BN40,BN$4:BN$40,"&lt;&gt;"&amp;"")+COUNTIF(BN$4:BN40,BN40))</f>
        <v/>
      </c>
      <c r="BP40" s="55">
        <f>IF(ROW()-3&gt;COUNTIF(BN$4:BN$40,"&lt;&gt;"&amp;""),"",INDEX(BN$4:BN$40,MATCH(ROW()-3,BO$4:BO$40,0)))</f>
        <v/>
      </c>
      <c r="BQ40">
        <f>BQ39+IF(AND(BP40&lt;&gt;"",COUNTIF(BP$4:BP40,BP40)=1),1,0)</f>
        <v/>
      </c>
      <c r="BR40" s="55">
        <f>IF(ROW()-3&gt;MAX(BQ$4:BQ$40),"",INDEX(BP$4:BP$40,MATCH(ROW()-3,BQ$4:BQ$40,0)))</f>
        <v/>
      </c>
      <c r="BS40" s="55">
        <f>IF('Final Calculation Sheet'!$M$40="","",'Final Calculation Sheet'!$M$40)</f>
        <v/>
      </c>
      <c r="BT40">
        <f>IF(BS40="","",COUNTIFS(BS$4:BS$40,"&lt;"&amp;BS40,BS$4:BS$40,"&lt;&gt;"&amp;"")+COUNTIF(BS$4:BS40,BS40))</f>
        <v/>
      </c>
      <c r="BU40" s="55">
        <f>IF(ROW()-3&gt;COUNTIF(BS$4:BS$40,"&lt;&gt;"&amp;""),"",INDEX(BS$4:BS$40,MATCH(ROW()-3,BT$4:BT$40,0)))</f>
        <v/>
      </c>
      <c r="BV40">
        <f>BV39+IF(AND(BU40&lt;&gt;"",COUNTIF(BU$4:BU40,BU40)=1),1,0)</f>
        <v/>
      </c>
      <c r="BW40" s="55">
        <f>IF(ROW()-3&gt;MAX(BV$4:BV$40),"",INDEX(BU$4:BU$40,MATCH(ROW()-3,BV$4:BV$40,0)))</f>
        <v/>
      </c>
      <c r="BX40" s="138">
        <f>IF('Final Calculation Sheet'!$N$40="","",'Final Calculation Sheet'!$N$40)</f>
        <v/>
      </c>
      <c r="BY40">
        <f>IF(BX40="","",COUNTIFS(BX$4:BX$40,"&lt;"&amp;BX40,BX$4:BX$40,"&lt;&gt;"&amp;"")+COUNTIF(BX$4:BX40,BX40))</f>
        <v/>
      </c>
      <c r="BZ40" s="138">
        <f>IF(ROW()-3&gt;COUNTIF(BX$4:BX$40,"&lt;&gt;"&amp;""),"",INDEX(BX$4:BX$40,MATCH(ROW()-3,BY$4:BY$40,0)))</f>
        <v/>
      </c>
      <c r="CA40">
        <f>CA39+IF(AND(BZ40&lt;&gt;"",COUNTIF(BZ$4:BZ40,BZ40)=1),1,0)</f>
        <v/>
      </c>
      <c r="CB40" s="138">
        <f>IF(ROW()-3&gt;MAX(CA$4:CA$40),"",INDEX(BZ$4:BZ$40,MATCH(ROW()-3,CA$4:CA$40,0)))</f>
        <v/>
      </c>
      <c r="CC40" s="55">
        <f>IF('Final Calculation Sheet'!$O$40="","",'Final Calculation Sheet'!$O$40)</f>
        <v/>
      </c>
      <c r="CD40">
        <f>IF(CC40="","",COUNTIFS(CC$4:CC$40,"&lt;"&amp;CC40,CC$4:CC$40,"&lt;&gt;"&amp;"")+COUNTIF(CC$4:CC40,CC40))</f>
        <v/>
      </c>
      <c r="CE40" s="55">
        <f>IF(ROW()-3&gt;COUNTIF(CC$4:CC$40,"&lt;&gt;"&amp;""),"",INDEX(CC$4:CC$40,MATCH(ROW()-3,CD$4:CD$40,0)))</f>
        <v/>
      </c>
      <c r="CF40">
        <f>CF39+IF(AND(CE40&lt;&gt;"",COUNTIF(CE$4:CE40,CE40)=1),1,0)</f>
        <v/>
      </c>
      <c r="CG40" s="55">
        <f>IF(ROW()-3&gt;MAX(CF$4:CF$40),"",INDEX(CE$4:CE$40,MATCH(ROW()-3,CF$4:CF$40,0)))</f>
        <v/>
      </c>
      <c r="CH40" s="55">
        <f>IF('Final Calculation Sheet'!$P$40="","",'Final Calculation Sheet'!$P$40)</f>
        <v/>
      </c>
      <c r="CI40">
        <f>IF(CH40="","",COUNTIFS(CH$4:CH$40,"&lt;"&amp;CH40,CH$4:CH$40,"&lt;&gt;"&amp;"")+COUNTIF(CH$4:CH40,CH40))</f>
        <v/>
      </c>
      <c r="CJ40" s="55">
        <f>IF(ROW()-3&gt;COUNTIF(CH$4:CH$40,"&lt;&gt;"&amp;""),"",INDEX(CH$4:CH$40,MATCH(ROW()-3,CI$4:CI$40,0)))</f>
        <v/>
      </c>
      <c r="CK40">
        <f>CK39+IF(AND(CJ40&lt;&gt;"",COUNTIF(CJ$4:CJ40,CJ40)=1),1,0)</f>
        <v/>
      </c>
      <c r="CL40">
        <f>IF(ROW()-3&gt;MAX(CK$4:CK$40),"",INDEX(CJ$4:CJ$40,MATCH(ROW()-3,CK$4:CK$40,0)))</f>
        <v/>
      </c>
      <c r="CM40" s="139">
        <f>IF('Final Calculation Sheet'!$Q$40="","",'Final Calculation Sheet'!$Q$40)</f>
        <v/>
      </c>
      <c r="CN40">
        <f>IF(CM40="","",COUNTIFS(CM$4:CM$40,"&lt;"&amp;CM40,CM$4:CM$40,"&lt;&gt;"&amp;"")+COUNTIF(CM$4:CM40,CM40))</f>
        <v/>
      </c>
      <c r="CO40" s="139">
        <f>IF(ROW()-3&gt;COUNTIF(CM$4:CM$40,"&lt;&gt;"&amp;""),"",INDEX(CM$4:CM$40,MATCH(ROW()-3,CN$4:CN$40,0)))</f>
        <v/>
      </c>
      <c r="CP40">
        <f>CP39+IF(AND(CO40&lt;&gt;"",COUNTIF(CO$4:CO40,CO40)=1),1,0)</f>
        <v/>
      </c>
      <c r="CQ40">
        <f>IF(ROW()-3&gt;MAX(CP$4:CP$40),"",INDEX(CO$4:CO$40,MATCH(ROW()-3,CP$4:CP$40,0)))</f>
        <v/>
      </c>
      <c r="CR40" s="55">
        <f>IF('Final Calculation Sheet'!$R$40="","",'Final Calculation Sheet'!$R$40)</f>
        <v/>
      </c>
      <c r="CS40">
        <f>IF(CR40="","",COUNTIFS(CR$4:CR$40,"&lt;"&amp;CR40,CR$4:CR$40,"&lt;&gt;"&amp;"")+COUNTIF(CR$4:CR40,CR40))</f>
        <v/>
      </c>
      <c r="CT40" s="55">
        <f>IF(ROW()-3&gt;COUNTIF(CR$4:CR$40,"&lt;&gt;"&amp;""),"",INDEX(CR$4:CR$40,MATCH(ROW()-3,CS$4:CS$40,0)))</f>
        <v/>
      </c>
      <c r="CU40">
        <f>CU39+IF(AND(CT40&lt;&gt;"",COUNTIF(CT$4:CT40,CT40)=1),1,0)</f>
        <v/>
      </c>
      <c r="CV40">
        <f>IF(ROW()-3&gt;MAX(CU$4:CU$40),"",INDEX(CT$4:CT$40,MATCH(ROW()-3,CU$4:CU$40,0)))</f>
        <v/>
      </c>
      <c r="CW40" s="55">
        <f>IF('Final Calculation Sheet'!$S$40="","",'Final Calculation Sheet'!$S$40)</f>
        <v/>
      </c>
      <c r="CX40">
        <f>IF(CW40="","",COUNTIFS(CW$4:CW$40,"&lt;"&amp;CW40,CW$4:CW$40,"&lt;&gt;"&amp;"")+COUNTIF(CW$4:CW40,CW40))</f>
        <v/>
      </c>
      <c r="CY40" s="55">
        <f>IF(ROW()-3&gt;COUNTIF(CW$4:CW$40,"&lt;&gt;"&amp;""),"",INDEX(CW$4:CW$40,MATCH(ROW()-3,CX$4:CX$40,0)))</f>
        <v/>
      </c>
      <c r="CZ40">
        <f>CZ39+IF(AND(CY40&lt;&gt;"",COUNTIF(CY$4:CY40,CY40)=1),1,0)</f>
        <v/>
      </c>
      <c r="DA40" s="55">
        <f>IF(ROW()-3&gt;MAX(CZ$4:CZ$40),"",INDEX(CY$4:CY$40,MATCH(ROW()-3,CZ$4:CZ$40,0)))</f>
        <v/>
      </c>
      <c r="DB40" s="55">
        <f>IF('Final Calculation Sheet'!$T$40="","",'Final Calculation Sheet'!$T$40)</f>
        <v/>
      </c>
      <c r="DC40">
        <f>IF(DB40="","",COUNTIFS(DB$4:DB$40,"&lt;"&amp;DB40,DB$4:DB$40,"&lt;&gt;"&amp;"")+COUNTIF(DB$4:DB40,DB40))</f>
        <v/>
      </c>
      <c r="DD40" s="55">
        <f>IF(ROW()-3&gt;COUNTIF(DB$4:DB$40,"&lt;&gt;"&amp;""),"",INDEX(DB$4:DB$40,MATCH(ROW()-3,DC$4:DC$40,0)))</f>
        <v/>
      </c>
      <c r="DE40">
        <f>DE39+IF(AND(DD40&lt;&gt;"",COUNTIF(DD$4:DD40,DD40)=1),1,0)</f>
        <v/>
      </c>
      <c r="DF40" s="55">
        <f>IF(ROW()-3&gt;MAX(DE$4:DE$40),"",INDEX(DD$4:DD$40,MATCH(ROW()-3,DE$4:DE$40,0)))</f>
        <v/>
      </c>
      <c r="DG40" s="140">
        <f>IF('Final Calculation Sheet'!$U$40="","",'Final Calculation Sheet'!$U$40)</f>
        <v/>
      </c>
      <c r="DH40">
        <f>IF(DG40="","",COUNTIFS(DG$4:DG$40,"&lt;"&amp;DG40,DG$4:DG$40,"&lt;&gt;"&amp;"")+COUNTIF(DG$4:DG40,DG40))</f>
        <v/>
      </c>
      <c r="DI40" s="140">
        <f>IF(ROW()-3&gt;COUNTIF(DG$4:DG$40,"&lt;&gt;"&amp;""),"",INDEX(DG$4:DG$40,MATCH(ROW()-3,DH$4:DH$40,0)))</f>
        <v/>
      </c>
      <c r="DJ40">
        <f>DJ39+IF(AND(DI40&lt;&gt;"",COUNTIF(DI$4:DI40,DI40)=1),1,0)</f>
        <v/>
      </c>
      <c r="DK40" s="1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s="55">
        <f>IF('Final Calculation Sheet'!$W$40="","",'Final Calculation Sheet'!$W$40)</f>
        <v/>
      </c>
      <c r="DR40">
        <f>IF(DQ40="","",COUNTIFS(DQ$4:DQ$40,"&lt;"&amp;DQ40,DQ$4:DQ$40,"&lt;&gt;"&amp;"")+COUNTIF(DQ$4:DQ40,DQ40))</f>
        <v/>
      </c>
      <c r="DS40" s="55">
        <f>IF(ROW()-3&gt;COUNTIF(DQ$4:DQ$40,"&lt;&gt;"&amp;""),"",INDEX(DQ$4:DQ$40,MATCH(ROW()-3,DR$4:DR$40,0)))</f>
        <v/>
      </c>
      <c r="DT40">
        <f>DT39+IF(AND(DS40&lt;&gt;"",COUNTIF(DS$4:DS40,DS40)=1),1,0)</f>
        <v/>
      </c>
      <c r="DU40" s="55">
        <f>IF(ROW()-3&gt;MAX(DT$4:DT$40),"",INDEX(DS$4:DS$40,MATCH(ROW()-3,DT$4:DT$40,0)))</f>
        <v/>
      </c>
      <c r="DV40" s="55">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s="55">
        <f>IF('Final Calculation Sheet'!$Z$40="","",'Final Calculation Sheet'!$Z$40)</f>
        <v/>
      </c>
      <c r="EG40">
        <f>IF(EF40="","",COUNTIFS(EF$4:EF$40,"&lt;"&amp;EF40,EF$4:EF$40,"&lt;&gt;"&amp;"")+COUNTIF(EF$4:EF40,EF40))</f>
        <v/>
      </c>
      <c r="EH40" s="55">
        <f>IF(ROW()-3&gt;COUNTIF(EF$4:EF$40,"&lt;&gt;"&amp;""),"",INDEX(EF$4:EF$40,MATCH(ROW()-3,EG$4:EG$40,0)))</f>
        <v/>
      </c>
      <c r="EI40">
        <f>EI39+IF(AND(EH40&lt;&gt;"",COUNTIF(EH$4:EH40,EH40)=1),1,0)</f>
        <v/>
      </c>
      <c r="EJ40">
        <f>IF(ROW()-3&gt;MAX(EI$4:EI$40),"",INDEX(EH$4:EH$40,MATCH(ROW()-3,EI$4:EI$40,0)))</f>
        <v/>
      </c>
      <c r="EK40" s="55">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s="55">
        <f>IF('Final Calculation Sheet'!$AC$40="","",'Final Calculation Sheet'!$AC$40)</f>
        <v/>
      </c>
      <c r="EV40">
        <f>IF(EU40="","",COUNTIFS(EU$4:EU$40,"&lt;"&amp;EU40,EU$4:EU$40,"&lt;&gt;"&amp;"")+COUNTIF(EU$4:EU40,EU40))</f>
        <v/>
      </c>
      <c r="EW40" s="55">
        <f>IF(ROW()-3&gt;COUNTIF(EU$4:EU$40,"&lt;&gt;"&amp;""),"",INDEX(EU$4:EU$40,MATCH(ROW()-3,EV$4:EV$40,0)))</f>
        <v/>
      </c>
      <c r="EX40">
        <f>EX39+IF(AND(EW40&lt;&gt;"",COUNTIF(EW$4:EW40,EW40)=1),1,0)</f>
        <v/>
      </c>
      <c r="EY40" s="55">
        <f>IF(ROW()-3&gt;MAX(EX$4:EX$40),"",INDEX(EW$4:EW$40,MATCH(ROW()-3,EX$4:EX$40,0)))</f>
        <v/>
      </c>
      <c r="EZ40" s="55">
        <f>IF('Final Calculation Sheet'!$AD$40="","",'Final Calculation Sheet'!$AD$40)</f>
        <v/>
      </c>
      <c r="FA40">
        <f>IF(EZ40="","",COUNTIFS(EZ$4:EZ$40,"&lt;"&amp;EZ40,EZ$4:EZ$40,"&lt;&gt;"&amp;"")+COUNTIF(EZ$4:EZ40,EZ40))</f>
        <v/>
      </c>
      <c r="FB40" s="55">
        <f>IF(ROW()-3&gt;COUNTIF(EZ$4:EZ$40,"&lt;&gt;"&amp;""),"",INDEX(EZ$4:EZ$40,MATCH(ROW()-3,FA$4:FA$40,0)))</f>
        <v/>
      </c>
      <c r="FC40">
        <f>FC39+IF(AND(FB40&lt;&gt;"",COUNTIF(FB$4:FB40,FB40)=1),1,0)</f>
        <v/>
      </c>
      <c r="FD40">
        <f>IF(ROW()-3&gt;MAX(FC$4:FC$40),"",INDEX(FB$4:FB$40,MATCH(ROW()-3,FC$4:FC$40,0)))</f>
        <v/>
      </c>
      <c r="FE40">
        <f>IF('Final Calculation Sheet'!$AF$40="","",'Final Calculation Sheet'!$AF$40)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Sheet'!$AG$40="","",'Final Calculation Sheet'!$AG$40)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Sheet'!$AH$40="","",'Final Calculation Sheet'!$AH$40)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c r="FY40">
        <f>IF(COUNTIF('Live Search'!BM$39:BO$39,0)+COUNTIF('Live Search'!BQ$39:CU$39,0)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FZ40">
        <f>IF($Y$40="",FALSE,SUMPRODUCT(('Final Calculation Sheet'!$B$4:$B$40=$Y$40)*($FY$6:$FY$42=1))&gt;0)</f>
        <v/>
      </c>
      <c r="GA40">
        <f>$GA$39+--($FZ$40)</f>
        <v/>
      </c>
      <c r="GB40">
        <f>IF(ROW()-3&gt;MAX($GA$4:$GA$40),"",INDEX($Y$4:$Y$40,MATCH(ROW()-3,$GA$4:$GA$40,0)))</f>
        <v/>
      </c>
      <c r="GC40">
        <f>IF(COUNTIF('Live Search'!BM$39:BM$39,0)+COUNTIF('Live Search'!BO$39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D40">
        <f>IF($O$40="",FALSE,SUMPRODUCT(('Final Calculation Sheet'!$F$4:$F$40=$O$40)*($GC$6:$GC$42=1))&gt;0)</f>
        <v/>
      </c>
      <c r="GE40">
        <f>$GE$39+--($GD40)</f>
        <v/>
      </c>
      <c r="GF40">
        <f>IF(ROW()-3&gt;MAX($GE$4:$GE$40),"",INDEX($O$4:$O$40,MATCH(ROW()-3,$GE$4:$GE$40,0)))</f>
        <v/>
      </c>
      <c r="GG40">
        <f>IF(COUNTIF('Live Search'!BM$39:BN$39,0)+COUNTIF('Live Search'!BP$39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H40">
        <f>IF($T$40="",FALSE,SUMPRODUCT(('Final Calculation Sheet'!$G$4:$G$40=$T$40)*($GG$6:$GG$42=1))&gt;0)</f>
        <v/>
      </c>
      <c r="GI40">
        <f>$GI$39+--($GH40)</f>
        <v/>
      </c>
      <c r="GJ40">
        <f>IF(ROW()-3&gt;MAX($GI$4:$GI$40),"",INDEX($T$4:$T$40,MATCH(ROW()-3,$GI$4:$GI$40,0)))</f>
        <v/>
      </c>
      <c r="GK40">
        <f>IF(COUNTIF('Live Search'!BM$39:BP$39,0)+COUNTIF('Live Search'!BR$39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L40">
        <f>IF($AD$40="",FALSE,SUMPRODUCT(('Final Calculation Sheet'!$D$4:$D$40=$AD$40)*($GK$6:$GK$42=1))&gt;0)</f>
        <v/>
      </c>
      <c r="GM40">
        <f>$GM$39+--($GL40)</f>
        <v/>
      </c>
      <c r="GN40">
        <f>IF(ROW()-3&gt;MAX($GM$4:$GM$40),"",INDEX($AD$4:$AD$40,MATCH(ROW()-3,$GM$4:$GM$40,0)))</f>
        <v/>
      </c>
      <c r="GO40">
        <f>IF(COUNTIF('Live Search'!BM$39:BQ$39,0)+COUNTIF('Live Search'!BS$39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P40">
        <f>IF($AI$40="",FALSE,SUMPRODUCT(('Final Calculation Sheet'!$A$4:$A$40=$AI$40)*($GO$6:$GO$42=1))&gt;0)</f>
        <v/>
      </c>
      <c r="GQ40">
        <f>$GQ$39+--($GP40)</f>
        <v/>
      </c>
      <c r="GR40">
        <f>IF(ROW()-3&gt;MAX($GQ$4:$GQ$40),"",INDEX($AI$4:$AI$40,MATCH(ROW()-3,$GQ$4:$GQ$40,0)))</f>
        <v/>
      </c>
      <c r="GS40">
        <f>IF(COUNTIF('Live Search'!BM$39:BR$39,0)+COUNTIF('Live Search'!BT$39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T40">
        <f>IF($AN$40="",FALSE,SUMPRODUCT(('Final Calculation Sheet'!$E$4:$E$40=$AN$40)*($GS$6:$GS$42=1))&gt;0)</f>
        <v/>
      </c>
      <c r="GU40">
        <f>$GU$39+--($GT40)</f>
        <v/>
      </c>
      <c r="GV40">
        <f>IF(ROW()-3&gt;MAX($GU$4:$GU$40),"",INDEX($AN$4:$AN$40,MATCH(ROW()-3,$GU$4:$GU$40,0)))</f>
        <v/>
      </c>
      <c r="GW40">
        <f>IF(COUNTIF('Live Search'!BM$39:BS$39,0)+COUNTIF('Live Search'!BU$39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GX40">
        <f>IF($AS$40="",FALSE,SUMPRODUCT(('Final Calculation Sheet'!$C$4:$C$40=$AS$40)*($GW$6:$GW$42=1))&gt;0)</f>
        <v/>
      </c>
      <c r="GY40">
        <f>$GY$39+--($GX40)</f>
        <v/>
      </c>
      <c r="GZ40">
        <f>IF(ROW()-3&gt;MAX($GY$4:$GY$40),"",INDEX($AS$4:$AS$40,MATCH(ROW()-3,$GY$4:$GY$40,0)))</f>
        <v/>
      </c>
      <c r="HA40">
        <f>IF(COUNTIF('Live Search'!BM$39:BT$39,0)+COUNTIF('Live Search'!BV$39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B40">
        <f>IF($AX$40="",FALSE,SUMPRODUCT(('Final Calculation Sheet'!$H$4:$H$40=$AX$40)*($HA$6:$HA$42=1))&gt;0)</f>
        <v/>
      </c>
      <c r="HC40">
        <f>$HC$39+--($HB40)</f>
        <v/>
      </c>
      <c r="HD40">
        <f>IF(ROW()-3&gt;MAX($HC$4:$HC$40),"",INDEX($AX$4:$AX$40,MATCH(ROW()-3,$HC$4:$HC$40,0)))</f>
        <v/>
      </c>
      <c r="HE40">
        <f>IF(COUNTIF('Live Search'!BM$39:BU$39,0)+COUNTIF('Live Search'!BW$39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F40">
        <f>IF($BC$40="",FALSE,SUMPRODUCT(('Final Calculation Sheet'!$I$4:$I$40=$BC$40)*($HE$6:$HE$42=1))&gt;0)</f>
        <v/>
      </c>
      <c r="HG40">
        <f>$HG$39+--($HF40)</f>
        <v/>
      </c>
      <c r="HH40">
        <f>IF(ROW()-3&gt;MAX($HG$4:$HG$40),"",INDEX($BC$4:$BC$40,MATCH(ROW()-3,$HG$4:$HG$40,0)))</f>
        <v/>
      </c>
      <c r="HI40">
        <f>IF(COUNTIF('Live Search'!BM$39:BV$39,0)+COUNTIF('Live Search'!BX$39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J40">
        <f>IF($BH$40="",FALSE,SUMPRODUCT(('Final Calculation Sheet'!$J$4:$J$40=$BH$40)*($HI$6:$HI$42=1))&gt;0)</f>
        <v/>
      </c>
      <c r="HK40">
        <f>$HK$39+--($HJ40)</f>
        <v/>
      </c>
      <c r="HL40">
        <f>IF(ROW()-3&gt;MAX($HK$4:$HK$40),"",INDEX($BH$4:$BH$40,MATCH(ROW()-3,$HK$4:$HK$40,0)))</f>
        <v/>
      </c>
      <c r="HM40">
        <f>IF(COUNTIF('Live Search'!BM$39:BW$39,0)+COUNTIF('Live Search'!BY$39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N40">
        <f>IF($BM$40="",FALSE,SUMPRODUCT(('Final Calculation Sheet'!$K$4:$K$40=$BM$40)*($HM$6:$HM$42=1))&gt;0)</f>
        <v/>
      </c>
      <c r="HO40">
        <f>$HO$39+--($HN40)</f>
        <v/>
      </c>
      <c r="HP40">
        <f>IF(ROW()-3&gt;MAX($HO$4:$HO$40),"",INDEX($BM$4:$BM$40,MATCH(ROW()-3,$HO$4:$HO$40,0)))</f>
        <v/>
      </c>
      <c r="HQ40">
        <f>IF(COUNTIF('Live Search'!BM$39:BX$39,0)+COUNTIF('Live Search'!BZ$39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R40">
        <f>IF($BR$40="",FALSE,SUMPRODUCT(('Final Calculation Sheet'!$L$4:$L$40=$BR$40)*($HQ$6:$HQ$42=1))&gt;0)</f>
        <v/>
      </c>
      <c r="HS40">
        <f>$HS$39+--($HR40)</f>
        <v/>
      </c>
      <c r="HT40">
        <f>IF(ROW()-3&gt;MAX($HS$4:$HS$40),"",INDEX($BR$4:$BR$40,MATCH(ROW()-3,$HS$4:$HS$40,0)))</f>
        <v/>
      </c>
      <c r="HU40">
        <f>IF(COUNTIF('Live Search'!BM$39:BY$39,0)+COUNTIF('Live Search'!CA$39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V40">
        <f>IF($BW$40="",FALSE,SUMPRODUCT(('Final Calculation Sheet'!$M$4:$M$40=$BW$40)*($HU$6:$HU$42=1))&gt;0)</f>
        <v/>
      </c>
      <c r="HW40">
        <f>$HW$39+--($HV40)</f>
        <v/>
      </c>
      <c r="HX40">
        <f>IF(ROW()-3&gt;MAX($HW$4:$HW$40),"",INDEX($BW$4:$BW$40,MATCH(ROW()-3,$HW$4:$HW$40,0)))</f>
        <v/>
      </c>
      <c r="HY40">
        <f>IF(COUNTIF('Live Search'!BM$39:BZ$39,0)+COUNTIF('Live Search'!CB$39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HZ40">
        <f>IF($CB$40="",FALSE,SUMPRODUCT(('Final Calculation Sheet'!$N$4:$N$40=$CB$40)*($HY$6:$HY$42=1))&gt;0)</f>
        <v/>
      </c>
      <c r="IA40">
        <f>$IA$39+--($HZ40)</f>
        <v/>
      </c>
      <c r="IB40">
        <f>IF(ROW()-3&gt;MAX($IA$4:$IA$40),"",INDEX($CB$4:$CB$40,MATCH(ROW()-3,$IA$4:$IA$40,0)))</f>
        <v/>
      </c>
      <c r="IC40">
        <f>IF(COUNTIF('Live Search'!BM$39:CA$39,0)+COUNTIF('Live Search'!CC$39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D40">
        <f>IF($CG$40="",FALSE,SUMPRODUCT(('Final Calculation Sheet'!$O$4:$O$40=$CG$40)*($IC$6:$IC$42=1))&gt;0)</f>
        <v/>
      </c>
      <c r="IE40">
        <f>$IE$39+--($ID40)</f>
        <v/>
      </c>
      <c r="IF40">
        <f>IF(ROW()-3&gt;MAX($IE$4:$IE$40),"",INDEX($CG$4:$CG$40,MATCH(ROW()-3,$IE$4:$IE$40,0)))</f>
        <v/>
      </c>
      <c r="IG40">
        <f>IF(COUNTIF('Live Search'!BM$39:CB$39,0)+COUNTIF('Live Search'!CD$39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H40">
        <f>IF($CL$40="",FALSE,SUMPRODUCT(('Final Calculation Sheet'!$P$4:$P$40=$CL$40)*($IG$6:$IG$42=1))&gt;0)</f>
        <v/>
      </c>
      <c r="II40">
        <f>$II$39+--($IH40)</f>
        <v/>
      </c>
      <c r="IJ40">
        <f>IF(ROW()-3&gt;MAX($II$4:$II$40),"",INDEX($CL$4:$CL$40,MATCH(ROW()-3,$II$4:$II$40,0)))</f>
        <v/>
      </c>
      <c r="IK40">
        <f>IF(COUNTIF('Live Search'!BM$39:CC$39,0)+COUNTIF('Live Search'!CE$39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L40">
        <f>IF($CQ$40="",FALSE,SUMPRODUCT(('Final Calculation Sheet'!$Q$4:$Q$40=$CQ$40)*($IK$6:$IK$42=1))&gt;0)</f>
        <v/>
      </c>
      <c r="IM40">
        <f>$IM$39+--($IL40)</f>
        <v/>
      </c>
      <c r="IN40">
        <f>IF(ROW()-3&gt;MAX($IM$4:$IM$40),"",INDEX($CQ$4:$CQ$40,MATCH(ROW()-3,$IM$4:$IM$40,0)))</f>
        <v/>
      </c>
      <c r="IO40">
        <f>IF(COUNTIF('Live Search'!BM$39:CD$39,0)+COUNTIF('Live Search'!CF$39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P40">
        <f>IF($CV$40="",FALSE,SUMPRODUCT(('Final Calculation Sheet'!$R$4:$R$40=$CV$40)*($IO$6:$IO$42=1))&gt;0)</f>
        <v/>
      </c>
      <c r="IQ40">
        <f>$IQ$39+--($IP40)</f>
        <v/>
      </c>
      <c r="IR40">
        <f>IF(ROW()-3&gt;MAX($IQ$4:$IQ$40),"",INDEX($CV$4:$CV$40,MATCH(ROW()-3,$IQ$4:$IQ$40,0)))</f>
        <v/>
      </c>
      <c r="IS40">
        <f>IF(COUNTIF('Live Search'!BM$39:CE$39,0)+COUNTIF('Live Search'!CG$39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T40">
        <f>IF($DA$40="",FALSE,SUMPRODUCT(('Final Calculation Sheet'!$S$4:$S$40=$DA$40)*($IS$6:$IS$42=1))&gt;0)</f>
        <v/>
      </c>
      <c r="IU40">
        <f>$IU$39+--($IT40)</f>
        <v/>
      </c>
      <c r="IV40">
        <f>IF(ROW()-3&gt;MAX($IU$4:$IU$40),"",INDEX($DA$4:$DA$40,MATCH(ROW()-3,$IU$4:$IU$40,0)))</f>
        <v/>
      </c>
      <c r="IW40">
        <f>IF(COUNTIF('Live Search'!BM$39:CF$39,0)+COUNTIF('Live Search'!CH$39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IX40">
        <f>IF($DF$40="",FALSE,SUMPRODUCT(('Final Calculation Sheet'!$T$4:$T$40=$DF$40)*($IW$6:$IW$42=1))&gt;0)</f>
        <v/>
      </c>
      <c r="IY40">
        <f>$IY$39+--($IX40)</f>
        <v/>
      </c>
      <c r="IZ40">
        <f>IF(ROW()-3&gt;MAX($IY$4:$IY$40),"",INDEX($DF$4:$DF$40,MATCH(ROW()-3,$IY$4:$IY$40,0)))</f>
        <v/>
      </c>
      <c r="JA40">
        <f>IF(COUNTIF('Live Search'!BM$39:CG$39,0)+COUNTIF('Live Search'!CI$39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B40">
        <f>IF($DK$40="",FALSE,SUMPRODUCT(('Final Calculation Sheet'!$U$4:$U$40=$DK$40)*($JA$6:$JA$42=1))&gt;0)</f>
        <v/>
      </c>
      <c r="JC40">
        <f>$JC$39+--($JB40)</f>
        <v/>
      </c>
      <c r="JD40">
        <f>IF(ROW()-3&gt;MAX($JC$4:$JC$40),"",INDEX($DK$4:$DK$40,MATCH(ROW()-3,$JC$4:$JC$40,0)))</f>
        <v/>
      </c>
      <c r="JE40">
        <f>IF(COUNTIF('Live Search'!BM$39:CH$39,0)+COUNTIF('Live Search'!CJ$39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F40">
        <f>IF($DP$40="",FALSE,SUMPRODUCT(('Final Calculation Sheet'!$V$4:$V$40=$DP$40)*($JE$6:$JE$42=1))&gt;0)</f>
        <v/>
      </c>
      <c r="JG40">
        <f>$JG$39+--($JF40)</f>
        <v/>
      </c>
      <c r="JH40">
        <f>IF(ROW()-3&gt;MAX($JG$4:$JG$40),"",INDEX($DP$4:$DP$40,MATCH(ROW()-3,$JG$4:$JG$40,0)))</f>
        <v/>
      </c>
      <c r="JI40">
        <f>IF(COUNTIF('Live Search'!BM$39:CI$39,0)+COUNTIF('Live Search'!CK$39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J40">
        <f>IF($DU$40="",FALSE,SUMPRODUCT(('Final Calculation Sheet'!$W$4:$W$40=$DU$40)*($JI$6:$JI$42=1))&gt;0)</f>
        <v/>
      </c>
      <c r="JK40">
        <f>$JK$39+--($JJ40)</f>
        <v/>
      </c>
      <c r="JL40">
        <f>IF(ROW()-3&gt;MAX($JK$4:$JK$40),"",INDEX($DU$4:$DU$40,MATCH(ROW()-3,$JK$4:$JK$40,0)))</f>
        <v/>
      </c>
      <c r="JM40">
        <f>IF(COUNTIF('Live Search'!BM$39:CJ$39,0)+COUNTIF('Live Search'!CL$39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N40">
        <f>IF($DZ$40="",FALSE,SUMPRODUCT(('Final Calculation Sheet'!$X$4:$X$40=$DZ$40)*($JM$6:$JM$42=1))&gt;0)</f>
        <v/>
      </c>
      <c r="JO40">
        <f>$JO$39+--($JN40)</f>
        <v/>
      </c>
      <c r="JP40">
        <f>IF(ROW()-3&gt;MAX($JO$4:$JO$40),"",INDEX($DZ$4:$DZ$40,MATCH(ROW()-3,$JO$4:$JO$40,0)))</f>
        <v/>
      </c>
      <c r="JQ40">
        <f>IF(COUNTIF('Live Search'!BM$39:CK$39,0)+COUNTIF('Live Search'!C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R40">
        <f>IF($EE$40="",FALSE,SUMPRODUCT(('Final Calculation Sheet'!$Y$4:$Y$40=$EE$40)*($JQ$6:$JQ$42=1))&gt;0)</f>
        <v/>
      </c>
      <c r="JS40">
        <f>$JS$39+--($JR40)</f>
        <v/>
      </c>
      <c r="JT40">
        <f>IF(ROW()-3&gt;MAX($JS$4:$JS$40),"",INDEX($EE$4:$EE$40,MATCH(ROW()-3,$JS$4:$JS$40,0)))</f>
        <v/>
      </c>
      <c r="JU40">
        <f>IF(COUNTIF('Live Search'!BM$39:CL$39,0)+COUNTIF('Live Search'!CN$39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V40">
        <f>IF($EJ$40="",FALSE,SUMPRODUCT(('Final Calculation Sheet'!$Z$4:$Z$40=$EJ$40)*($JU$6:$JU$42=1))&gt;0)</f>
        <v/>
      </c>
      <c r="JW40">
        <f>$JW$39+--($JV40)</f>
        <v/>
      </c>
      <c r="JX40">
        <f>IF(ROW()-3&gt;MAX($JW$4:$JW$40),"",INDEX($EJ$4:$EJ$40,MATCH(ROW()-3,$JW$4:$JW$40,0)))</f>
        <v/>
      </c>
      <c r="JY40">
        <f>IF(COUNTIF('Live Search'!BM$39:CM$39,0)+COUNTIF('Live Search'!CO$39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JZ40">
        <f>IF($EO$40="",FALSE,SUMPRODUCT(('Final Calculation Sheet'!$AA$4:$AA$40=$EO$40)*($JY$6:$JY$42=1))&gt;0)</f>
        <v/>
      </c>
      <c r="KA40">
        <f>$KA$39+--($JZ40)</f>
        <v/>
      </c>
      <c r="KB40">
        <f>IF(ROW()-3&gt;MAX($KA$4:$KA$40),"",INDEX($EO$4:$EO$40,MATCH(ROW()-3,$KA$4:$KA$40,0)))</f>
        <v/>
      </c>
      <c r="KC40">
        <f>IF(COUNTIF('Live Search'!BM$39:CN$39,0)+COUNTIF('Live Search'!CP$39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D40">
        <f>IF($ET$40="",FALSE,SUMPRODUCT(('Final Calculation Sheet'!$AB$4:$AB$40=$ET$40)*($KC$6:$KC$42=1))&gt;0)</f>
        <v/>
      </c>
      <c r="KE40">
        <f>$KE$39+--($KD40)</f>
        <v/>
      </c>
      <c r="KF40">
        <f>IF(ROW()-3&gt;MAX($KE$4:$KE$40),"",INDEX($ET$4:$ET$40,MATCH(ROW()-3,$KE$4:$KE$40,0)))</f>
        <v/>
      </c>
      <c r="KG40">
        <f>IF(COUNTIF('Live Search'!BM$39:CO$39,0)+COUNTIF('Live Search'!CQ$39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H40">
        <f>IF($EY$40="",FALSE,SUMPRODUCT(('Final Calculation Sheet'!$AC$4:$AC$40=$EY$40)*($KG$6:$KG$42=1))&gt;0)</f>
        <v/>
      </c>
      <c r="KI40">
        <f>$KI$39+--($KH40)</f>
        <v/>
      </c>
      <c r="KJ40">
        <f>IF(ROW()-3&gt;MAX($KI$4:$KI$40),"",INDEX($EY$4:$EY$40,MATCH(ROW()-3,$KI$4:$KI$40,0)))</f>
        <v/>
      </c>
      <c r="KK40">
        <f>IF(COUNTIF('Live Search'!BM$39:CP$39,0)+COUNTIF('Live Search'!CR$39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L40">
        <f>IF($FD$40="",FALSE,SUMPRODUCT(('Final Calculation Sheet'!$AD$4:$AD$40=$FD$40)*($KK$6:$KK$42=1))&gt;0)</f>
        <v/>
      </c>
      <c r="KM40">
        <f>$KM$39+--($KL40)</f>
        <v/>
      </c>
      <c r="KN40">
        <f>IF(ROW()-3&gt;MAX($KM$4:$KM$40),"",INDEX($FD$4:$FD$40,MATCH(ROW()-3,$KM$4:$KM$40,0)))</f>
        <v/>
      </c>
      <c r="KO40">
        <f>IF(COUNTIF('Live Search'!BM$39:CT$39,0)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P40">
        <f>IF($FX$40="",FALSE,SUMPRODUCT((IF('Final Calculation Sheet'!$AD$4:$AD$40&lt;=5,"SETTLED","OUTSTANDING")=$FX$40)*($KO$6:$KO$42=1))&gt;0)</f>
        <v/>
      </c>
      <c r="KQ40">
        <f>$KQ$39+--($KP40)</f>
        <v/>
      </c>
      <c r="KR40">
        <f>IF(ROW()-3&gt;MAX($KQ$4:$KQ$40),"",INDEX($FX$4:$FX$40,MATCH(ROW()-3,$KQ$4:$KQ$40,0)))</f>
        <v/>
      </c>
      <c r="KS40">
        <f>IF(COUNTIF('Live Search'!BM$39:CQ$39,0)+COUNTIF('Live Search'!CS$39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T40">
        <f>IF($FI$40="",FALSE,SUMPRODUCT(('Final Calculation Sheet'!$AF$4:$AF$40=$FI$40)*($KS$6:$KS$42=1))&gt;0)</f>
        <v/>
      </c>
      <c r="KU40">
        <f>$KU$39+--($KT40)</f>
        <v/>
      </c>
      <c r="KV40">
        <f>IF(ROW()-3&gt;MAX($KU$4:$KU$40),"",INDEX($FI$4:$FI$40,MATCH(ROW()-3,$KU$4:$KU$40,0)))</f>
        <v/>
      </c>
      <c r="KW40">
        <f>IF(COUNTIF('Live Search'!BM$39:CR$39,0)+COUNTIF('Live Search'!CT$39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KX40">
        <f>IF($FN$40="",FALSE,SUMPRODUCT(('Final Calculation Sheet'!$AG$4:$AG$40=$FN$40)*($KW$6:$KW$42=1))&gt;0)</f>
        <v/>
      </c>
      <c r="KY40">
        <f>$KY$39+--($KX40)</f>
        <v/>
      </c>
      <c r="KZ40">
        <f>IF(ROW()-3&gt;MAX($KY$4:$KY$40),"",INDEX($FN$4:$FN$40,MATCH(ROW()-3,$KY$4:$KY$40,0)))</f>
        <v/>
      </c>
      <c r="LA40">
        <f>IF(COUNTIF('Live Search'!BM$39:CS$39,0)+COUNTIF('Live Search'!CU$39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LB40">
        <f>IF($FS$40="",FALSE,SUMPRODUCT(('Final Calculation Sheet'!$AH$4:$AH$40=$FS$40)*($LA$6:$LA$42=1))&gt;0)</f>
        <v/>
      </c>
      <c r="LC40">
        <f>$LC$39+--($LB40)</f>
        <v/>
      </c>
      <c r="LD40">
        <f>IF(ROW()-3&gt;MAX($LC$4:$LC$40),"",INDEX($FS$4:$FS$40,MATCH(ROW()-3,$LC$4:$LC$40,0)))</f>
        <v/>
      </c>
      <c r="LE40">
        <f>IF(COUNTIF('Buyer Groups'!DH93:EN93,0)&gt;0,0,1)</f>
        <v/>
      </c>
      <c r="LF40">
        <f>IF($O$40="",FALSE,SUMPRODUCT(('Final Calculation Sheet'!$F$4:$F$40=$O$40)*($LE$6:$LE$42=1))&gt;0)</f>
        <v/>
      </c>
      <c r="LG40">
        <f>$LG$39+--($LF40)</f>
        <v/>
      </c>
      <c r="LH40">
        <f>IF(ROW()-3&gt;MAX($LG$4:$LG$40),"",INDEX($O$4:$O$40,MATCH(ROW()-3,$LG$4:$LG$40,0)))</f>
        <v/>
      </c>
      <c r="LI40">
        <f>IF(COUNTIF('Buyer Groups'!DG93:DG93,0)+COUNTIF('Buyer Groups'!DI93:EN93,0)&gt;0,0,1)</f>
        <v/>
      </c>
      <c r="LJ40">
        <f>IF($T$40="",FALSE,SUMPRODUCT(('Final Calculation Sheet'!$G$4:$G$40=$T$40)*($LI$6:$LI$42=1))&gt;0)</f>
        <v/>
      </c>
      <c r="LK40">
        <f>$LK$39+--($LJ40)</f>
        <v/>
      </c>
      <c r="LL40">
        <f>IF(ROW()-3&gt;MAX($LK$4:$LK$40),"",INDEX($T$4:$T$40,MATCH(ROW()-3,$LK$4:$LK$40,0)))</f>
        <v/>
      </c>
      <c r="LM40">
        <f>IF(COUNTIF('Buyer Groups'!DG93:DH93,0)+COUNTIF('Buyer Groups'!DJ93:EN93,0)&gt;0,0,1)</f>
        <v/>
      </c>
      <c r="LN40">
        <f>IF($Y$40="",FALSE,SUMPRODUCT(('Final Calculation Sheet'!$B$4:$B$40=$Y$40)*($LM$6:$LM$42=1))&gt;0)</f>
        <v/>
      </c>
      <c r="LO40">
        <f>$LO$39+--($LN40)</f>
        <v/>
      </c>
      <c r="LP40">
        <f>IF(ROW()-3&gt;MAX($LO$4:$LO$40),"",INDEX($Y$4:$Y$40,MATCH(ROW()-3,$LO$4:$LO$40,0)))</f>
        <v/>
      </c>
      <c r="LQ40">
        <f>IF(COUNTIF('Buyer Groups'!DG93:DI93,0)+COUNTIF('Buyer Groups'!DK93:EN93,0)&gt;0,0,1)</f>
        <v/>
      </c>
      <c r="LR40">
        <f>IF($AD$40="",FALSE,SUMPRODUCT(('Final Calculation Sheet'!$D$4:$D$40=$AD$40)*($LQ$6:$LQ$42=1))&gt;0)</f>
        <v/>
      </c>
      <c r="LS40">
        <f>$LS$39+--($LR40)</f>
        <v/>
      </c>
      <c r="LT40">
        <f>IF(ROW()-3&gt;MAX($LS$4:$LS$40),"",INDEX($AD$4:$AD$40,MATCH(ROW()-3,$LS$4:$LS$40,0)))</f>
        <v/>
      </c>
      <c r="LU40">
        <f>IF(COUNTIF('Buyer Groups'!DG93:DJ93,0)+COUNTIF('Buyer Groups'!DL93:EN93,0)&gt;0,0,1)</f>
        <v/>
      </c>
      <c r="LV40">
        <f>IF($AI$40="",FALSE,SUMPRODUCT(('Final Calculation Sheet'!$A$4:$A$40=$AI$40)*($LU$6:$LU$42=1))&gt;0)</f>
        <v/>
      </c>
      <c r="LW40">
        <f>$LW$39+--($LV40)</f>
        <v/>
      </c>
      <c r="LX40">
        <f>IF(ROW()-3&gt;MAX($LW$4:$LW$40),"",INDEX($AI$4:$AI$40,MATCH(ROW()-3,$LW$4:$LW$40,0)))</f>
        <v/>
      </c>
      <c r="LY40">
        <f>IF(COUNTIF('Buyer Groups'!DG93:DK93,0)+COUNTIF('Buyer Groups'!DM93:EN93,0)&gt;0,0,1)</f>
        <v/>
      </c>
      <c r="LZ40">
        <f>IF($AN$40="",FALSE,SUMPRODUCT(('Final Calculation Sheet'!$E$4:$E$40=$AN$40)*($LY$6:$LY$42=1))&gt;0)</f>
        <v/>
      </c>
      <c r="MA40">
        <f>$MA$39+--($LZ40)</f>
        <v/>
      </c>
      <c r="MB40">
        <f>IF(ROW()-3&gt;MAX($MA$4:$MA$40),"",INDEX($AN$4:$AN$40,MATCH(ROW()-3,$MA$4:$MA$40,0)))</f>
        <v/>
      </c>
      <c r="MC40">
        <f>IF(COUNTIF('Buyer Groups'!DG93:DL93,0)+COUNTIF('Buyer Groups'!DN93:EN93,0)&gt;0,0,1)</f>
        <v/>
      </c>
      <c r="MD40">
        <f>IF($AS$40="",FALSE,SUMPRODUCT(('Final Calculation Sheet'!$C$4:$C$40=$AS$40)*($MC$6:$MC$42=1))&gt;0)</f>
        <v/>
      </c>
      <c r="ME40">
        <f>$ME$39+--($MD40)</f>
        <v/>
      </c>
      <c r="MF40">
        <f>IF(ROW()-3&gt;MAX($ME$4:$ME$40),"",INDEX($AS$4:$AS$40,MATCH(ROW()-3,$ME$4:$ME$40,0)))</f>
        <v/>
      </c>
      <c r="MG40">
        <f>IF(COUNTIF('Buyer Groups'!DG93:DM93,0)+COUNTIF('Buyer Groups'!DO93:EN93,0)&gt;0,0,1)</f>
        <v/>
      </c>
      <c r="MH40">
        <f>IF($AX$40="",FALSE,SUMPRODUCT(('Final Calculation Sheet'!$H$4:$H$40=$AX$40)*($MG$6:$MG$42=1))&gt;0)</f>
        <v/>
      </c>
      <c r="MI40">
        <f>$MI$39+--($MH40)</f>
        <v/>
      </c>
      <c r="MJ40">
        <f>IF(ROW()-3&gt;MAX($MI$4:$MI$40),"",INDEX($AX$4:$AX$40,MATCH(ROW()-3,$MI$4:$MI$40,0)))</f>
        <v/>
      </c>
      <c r="MK40">
        <f>IF(COUNTIF('Buyer Groups'!DG93:DN93,0)+COUNTIF('Buyer Groups'!DP93:EN93,0)&gt;0,0,1)</f>
        <v/>
      </c>
      <c r="ML40">
        <f>IF($BC$40="",FALSE,SUMPRODUCT(('Final Calculation Sheet'!$I$4:$I$40=$BC$40)*($MK$6:$MK$42=1))&gt;0)</f>
        <v/>
      </c>
      <c r="MM40">
        <f>$MM$39+--($ML40)</f>
        <v/>
      </c>
      <c r="MN40">
        <f>IF(ROW()-3&gt;MAX($MM$4:$MM$40),"",INDEX($BC$4:$BC$40,MATCH(ROW()-3,$MM$4:$MM$40,0)))</f>
        <v/>
      </c>
      <c r="MO40">
        <f>IF(COUNTIF('Buyer Groups'!DG93:DO93,0)+COUNTIF('Buyer Groups'!DQ93:EN93,0)&gt;0,0,1)</f>
        <v/>
      </c>
      <c r="MP40">
        <f>IF($BH$40="",FALSE,SUMPRODUCT(('Final Calculation Sheet'!$J$4:$J$40=$BH$40)*($MO$6:$MO$42=1))&gt;0)</f>
        <v/>
      </c>
      <c r="MQ40">
        <f>$MQ$39+--($MP40)</f>
        <v/>
      </c>
      <c r="MR40">
        <f>IF(ROW()-3&gt;MAX($MQ$4:$MQ$40),"",INDEX($BH$4:$BH$40,MATCH(ROW()-3,$MQ$4:$MQ$40,0)))</f>
        <v/>
      </c>
      <c r="MS40">
        <f>IF(COUNTIF('Buyer Groups'!DG93:DP93,0)+COUNTIF('Buyer Groups'!DR93:EN93,0)&gt;0,0,1)</f>
        <v/>
      </c>
      <c r="MT40">
        <f>IF($BM$40="",FALSE,SUMPRODUCT(('Final Calculation Sheet'!$K$4:$K$40=$BM$40)*($MS$6:$MS$42=1))&gt;0)</f>
        <v/>
      </c>
      <c r="MU40">
        <f>$MU$39+--($MT40)</f>
        <v/>
      </c>
      <c r="MV40">
        <f>IF(ROW()-3&gt;MAX($MU$4:$MU$40),"",INDEX($BM$4:$BM$40,MATCH(ROW()-3,$MU$4:$MU$40,0)))</f>
        <v/>
      </c>
      <c r="MW40">
        <f>IF(COUNTIF('Buyer Groups'!DG93:DQ93,0)+COUNTIF('Buyer Groups'!DS93:EN93,0)&gt;0,0,1)</f>
        <v/>
      </c>
      <c r="MX40">
        <f>IF($BR$40="",FALSE,SUMPRODUCT(('Final Calculation Sheet'!$L$4:$L$40=$BR$40)*($MW$6:$MW$42=1))&gt;0)</f>
        <v/>
      </c>
      <c r="MY40">
        <f>$MY$39+--($MX40)</f>
        <v/>
      </c>
      <c r="MZ40">
        <f>IF(ROW()-3&gt;MAX($MY$4:$MY$40),"",INDEX($BR$4:$BR$40,MATCH(ROW()-3,$MY$4:$MY$40,0)))</f>
        <v/>
      </c>
      <c r="NA40">
        <f>IF(COUNTIF('Buyer Groups'!DG93:DR93,0)+COUNTIF('Buyer Groups'!DT93:EN93,0)&gt;0,0,1)</f>
        <v/>
      </c>
      <c r="NB40">
        <f>IF($BW$40="",FALSE,SUMPRODUCT(('Final Calculation Sheet'!$M$4:$M$40=$BW$40)*($NA$6:$NA$42=1))&gt;0)</f>
        <v/>
      </c>
      <c r="NC40">
        <f>$NC$39+--($NB40)</f>
        <v/>
      </c>
      <c r="ND40">
        <f>IF(ROW()-3&gt;MAX($NC$4:$NC$40),"",INDEX($BW$4:$BW$40,MATCH(ROW()-3,$NC$4:$NC$40,0)))</f>
        <v/>
      </c>
      <c r="NE40">
        <f>IF(COUNTIF('Buyer Groups'!DG93:DS93,0)+COUNTIF('Buyer Groups'!DU93:EN93,0)&gt;0,0,1)</f>
        <v/>
      </c>
      <c r="NF40">
        <f>IF($CB$40="",FALSE,SUMPRODUCT(('Final Calculation Sheet'!$N$4:$N$40=$CB$40)*($NE$6:$NE$42=1))&gt;0)</f>
        <v/>
      </c>
      <c r="NG40">
        <f>$NG$39+--($NF40)</f>
        <v/>
      </c>
      <c r="NH40">
        <f>IF(ROW()-3&gt;MAX($NG$4:$NG$40),"",INDEX($CB$4:$CB$40,MATCH(ROW()-3,$NG$4:$NG$40,0)))</f>
        <v/>
      </c>
      <c r="NI40">
        <f>IF(COUNTIF('Buyer Groups'!DG93:DT93,0)+COUNTIF('Buyer Groups'!DV93:EN93,0)&gt;0,0,1)</f>
        <v/>
      </c>
      <c r="NJ40">
        <f>IF($CG$40="",FALSE,SUMPRODUCT(('Final Calculation Sheet'!$O$4:$O$40=$CG$40)*($NI$6:$NI$42=1))&gt;0)</f>
        <v/>
      </c>
      <c r="NK40">
        <f>$NK$39+--($NJ40)</f>
        <v/>
      </c>
      <c r="NL40">
        <f>IF(ROW()-3&gt;MAX($NK$4:$NK$40),"",INDEX($CG$4:$CG$40,MATCH(ROW()-3,$NK$4:$NK$40,0)))</f>
        <v/>
      </c>
      <c r="NM40">
        <f>IF(COUNTIF('Buyer Groups'!DG93:DU93,0)+COUNTIF('Buyer Groups'!DW93:EN93,0)&gt;0,0,1)</f>
        <v/>
      </c>
      <c r="NN40">
        <f>IF($CL$40="",FALSE,SUMPRODUCT(('Final Calculation Sheet'!$P$4:$P$40=$CL$40)*($NM$6:$NM$42=1))&gt;0)</f>
        <v/>
      </c>
      <c r="NO40">
        <f>$NO$39+--($NN40)</f>
        <v/>
      </c>
      <c r="NP40">
        <f>IF(ROW()-3&gt;MAX($NO$4:$NO$40),"",INDEX($CL$4:$CL$40,MATCH(ROW()-3,$NO$4:$NO$40,0)))</f>
        <v/>
      </c>
      <c r="NQ40">
        <f>IF(COUNTIF('Buyer Groups'!DG93:DV93,0)+COUNTIF('Buyer Groups'!DX93:EN93,0)&gt;0,0,1)</f>
        <v/>
      </c>
      <c r="NR40">
        <f>IF($CQ$40="",FALSE,SUMPRODUCT(('Final Calculation Sheet'!$Q$4:$Q$40=$CQ$40)*($NQ$6:$NQ$42=1))&gt;0)</f>
        <v/>
      </c>
      <c r="NS40">
        <f>$NS$39+--($NR40)</f>
        <v/>
      </c>
      <c r="NT40">
        <f>IF(ROW()-3&gt;MAX($NS$4:$NS$40),"",INDEX($CQ$4:$CQ$40,MATCH(ROW()-3,$NS$4:$NS$40,0)))</f>
        <v/>
      </c>
      <c r="NU40">
        <f>IF(COUNTIF('Buyer Groups'!DG93:DW93,0)+COUNTIF('Buyer Groups'!DY93:EN93,0)&gt;0,0,1)</f>
        <v/>
      </c>
      <c r="NV40">
        <f>IF($CV$40="",FALSE,SUMPRODUCT(('Final Calculation Sheet'!$R$4:$R$40=$CV$40)*($NU$6:$NU$42=1))&gt;0)</f>
        <v/>
      </c>
      <c r="NW40">
        <f>$NW$39+--($NV40)</f>
        <v/>
      </c>
      <c r="NX40">
        <f>IF(ROW()-3&gt;MAX($NW$4:$NW$40),"",INDEX($CV$4:$CV$40,MATCH(ROW()-3,$NW$4:$NW$40,0)))</f>
        <v/>
      </c>
      <c r="NY40">
        <f>IF(COUNTIF('Buyer Groups'!DG93:DX93,0)+COUNTIF('Buyer Groups'!DZ93:EN93,0)&gt;0,0,1)</f>
        <v/>
      </c>
      <c r="NZ40">
        <f>IF($DA$40="",FALSE,SUMPRODUCT(('Final Calculation Sheet'!$S$4:$S$40=$DA$40)*($NY$6:$NY$42=1))&gt;0)</f>
        <v/>
      </c>
      <c r="OA40">
        <f>$OA$39+--($NZ40)</f>
        <v/>
      </c>
      <c r="OB40">
        <f>IF(ROW()-3&gt;MAX($OA$4:$OA$40),"",INDEX($DA$4:$DA$40,MATCH(ROW()-3,$OA$4:$OA$40,0)))</f>
        <v/>
      </c>
      <c r="OC40">
        <f>IF(COUNTIF('Buyer Groups'!DG93:DY93,0)+COUNTIF('Buyer Groups'!EA93:EN93,0)&gt;0,0,1)</f>
        <v/>
      </c>
      <c r="OD40">
        <f>IF($DF$40="",FALSE,SUMPRODUCT(('Final Calculation Sheet'!$T$4:$T$40=$DF$40)*($OC$6:$OC$42=1))&gt;0)</f>
        <v/>
      </c>
      <c r="OE40">
        <f>$OE$39+--($OD40)</f>
        <v/>
      </c>
      <c r="OF40">
        <f>IF(ROW()-3&gt;MAX($OE$4:$OE$40),"",INDEX($DF$4:$DF$40,MATCH(ROW()-3,$OE$4:$OE$40,0)))</f>
        <v/>
      </c>
      <c r="OG40">
        <f>IF(COUNTIF('Buyer Groups'!DG93:DZ93,0)+COUNTIF('Buyer Groups'!EB93:EN93,0)&gt;0,0,1)</f>
        <v/>
      </c>
      <c r="OH40">
        <f>IF($DK$40="",FALSE,SUMPRODUCT(('Final Calculation Sheet'!$U$4:$U$40=$DK$40)*($OG$6:$OG$42=1))&gt;0)</f>
        <v/>
      </c>
      <c r="OI40">
        <f>$OI$39+--($OH40)</f>
        <v/>
      </c>
      <c r="OJ40">
        <f>IF(ROW()-3&gt;MAX($OI$4:$OI$40),"",INDEX($DK$4:$DK$40,MATCH(ROW()-3,$OI$4:$OI$40,0)))</f>
        <v/>
      </c>
      <c r="OK40">
        <f>IF(COUNTIF('Buyer Groups'!DG93:EA93,0)+COUNTIF('Buyer Groups'!EC93:EN93,0)&gt;0,0,1)</f>
        <v/>
      </c>
      <c r="OL40">
        <f>IF($DP$40="",FALSE,SUMPRODUCT(('Final Calculation Sheet'!$V$4:$V$40=$DP$40)*($OK$6:$OK$42=1))&gt;0)</f>
        <v/>
      </c>
      <c r="OM40">
        <f>$OM$39+--($OL40)</f>
        <v/>
      </c>
      <c r="ON40">
        <f>IF(ROW()-3&gt;MAX($OM$4:$OM$40),"",INDEX($DP$4:$DP$40,MATCH(ROW()-3,$OM$4:$OM$40,0)))</f>
        <v/>
      </c>
      <c r="OO40">
        <f>IF(COUNTIF('Buyer Groups'!DG93:EB93,0)+COUNTIF('Buyer Groups'!ED93:EN93,0)&gt;0,0,1)</f>
        <v/>
      </c>
      <c r="OP40">
        <f>IF($DU$40="",FALSE,SUMPRODUCT(('Final Calculation Sheet'!$W$4:$W$40=$DU$40)*($OO$6:$OO$42=1))&gt;0)</f>
        <v/>
      </c>
      <c r="OQ40">
        <f>$OQ$39+--($OP40)</f>
        <v/>
      </c>
      <c r="OR40">
        <f>IF(ROW()-3&gt;MAX($OQ$4:$OQ$40),"",INDEX($DU$4:$DU$40,MATCH(ROW()-3,$OQ$4:$OQ$40,0)))</f>
        <v/>
      </c>
      <c r="OS40">
        <f>IF(COUNTIF('Buyer Groups'!DG93:EC93,0)+COUNTIF('Buyer Groups'!EE93:EN93,0)&gt;0,0,1)</f>
        <v/>
      </c>
      <c r="OT40">
        <f>IF($DZ$40="",FALSE,SUMPRODUCT(('Final Calculation Sheet'!$X$4:$X$40=$DZ$40)*($OS$6:$OS$42=1))&gt;0)</f>
        <v/>
      </c>
      <c r="OU40">
        <f>$OU$39+--($OT40)</f>
        <v/>
      </c>
      <c r="OV40">
        <f>IF(ROW()-3&gt;MAX($OU$4:$OU$40),"",INDEX($DZ$4:$DZ$40,MATCH(ROW()-3,$OU$4:$OU$40,0)))</f>
        <v/>
      </c>
      <c r="OW40">
        <f>IF(COUNTIF('Buyer Groups'!DG93:ED93,0)+COUNTIF('Buyer Groups'!EF93:EN93,0)&gt;0,0,1)</f>
        <v/>
      </c>
      <c r="OX40">
        <f>IF($EE$40="",FALSE,SUMPRODUCT(('Final Calculation Sheet'!$Y$4:$Y$40=$EE$40)*($OW$6:$OW$42=1))&gt;0)</f>
        <v/>
      </c>
      <c r="OY40">
        <f>$OY$39+--($OX40)</f>
        <v/>
      </c>
      <c r="OZ40">
        <f>IF(ROW()-3&gt;MAX($OY$4:$OY$40),"",INDEX($EE$4:$EE$40,MATCH(ROW()-3,$OY$4:$OY$40,0)))</f>
        <v/>
      </c>
      <c r="PA40">
        <f>IF(COUNTIF('Buyer Groups'!DG93:EE93,0)+COUNTIF('Buyer Groups'!EG93:EN93,0)&gt;0,0,1)</f>
        <v/>
      </c>
      <c r="PB40">
        <f>IF($EJ$40="",FALSE,SUMPRODUCT(('Final Calculation Sheet'!$Z$4:$Z$40=$EJ$40)*($PA$6:$PA$42=1))&gt;0)</f>
        <v/>
      </c>
      <c r="PC40">
        <f>$PC$39+--($PB40)</f>
        <v/>
      </c>
      <c r="PD40">
        <f>IF(ROW()-3&gt;MAX($PC$4:$PC$40),"",INDEX($EJ$4:$EJ$40,MATCH(ROW()-3,$PC$4:$PC$40,0)))</f>
        <v/>
      </c>
      <c r="PE40">
        <f>IF(COUNTIF('Buyer Groups'!DG93:EF93,0)+COUNTIF('Buyer Groups'!EH93:EN93,0)&gt;0,0,1)</f>
        <v/>
      </c>
      <c r="PF40">
        <f>IF($EO$40="",FALSE,SUMPRODUCT(('Final Calculation Sheet'!$AA$4:$AA$40=$EO$40)*($PE$6:$PE$42=1))&gt;0)</f>
        <v/>
      </c>
      <c r="PG40">
        <f>$PG$39+--($PF40)</f>
        <v/>
      </c>
      <c r="PH40">
        <f>IF(ROW()-3&gt;MAX($PG$4:$PG$40),"",INDEX($EO$4:$EO$40,MATCH(ROW()-3,$PG$4:$PG$40,0)))</f>
        <v/>
      </c>
      <c r="PI40">
        <f>IF(COUNTIF('Buyer Groups'!DG93:EG93,0)+COUNTIF('Buyer Groups'!EI93:EN93,0)&gt;0,0,1)</f>
        <v/>
      </c>
      <c r="PJ40">
        <f>IF($ET$40="",FALSE,SUMPRODUCT(('Final Calculation Sheet'!$AB$4:$AB$40=$ET$40)*($PI$6:$PI$42=1))&gt;0)</f>
        <v/>
      </c>
      <c r="PK40">
        <f>$PK$39+--($PJ40)</f>
        <v/>
      </c>
      <c r="PL40">
        <f>IF(ROW()-3&gt;MAX($PK$4:$PK$40),"",INDEX($ET$4:$ET$40,MATCH(ROW()-3,$PK$4:$PK$40,0)))</f>
        <v/>
      </c>
      <c r="PM40">
        <f>IF(COUNTIF('Buyer Groups'!DG93:EH93,0)+COUNTIF('Buyer Groups'!EJ93:EN93,0)&gt;0,0,1)</f>
        <v/>
      </c>
      <c r="PN40">
        <f>IF($EY$40="",FALSE,SUMPRODUCT(('Final Calculation Sheet'!$AC$4:$AC$40=$EY$40)*($PM$6:$PM$42=1))&gt;0)</f>
        <v/>
      </c>
      <c r="PO40">
        <f>$PO$39+--($PN40)</f>
        <v/>
      </c>
      <c r="PP40">
        <f>IF(ROW()-3&gt;MAX($PO$4:$PO$40),"",INDEX($EY$4:$EY$40,MATCH(ROW()-3,$PO$4:$PO$40,0)))</f>
        <v/>
      </c>
      <c r="PQ40">
        <f>IF(COUNTIF('Buyer Groups'!DG93:EI93,0)+COUNTIF('Buyer Groups'!EK93:EN93,0)&gt;0,0,1)</f>
        <v/>
      </c>
      <c r="PR40">
        <f>IF($FD$40="",FALSE,SUMPRODUCT(('Final Calculation Sheet'!$AD$4:$AD$40=$FD$40)*($PQ$6:$PQ$42=1))&gt;0)</f>
        <v/>
      </c>
      <c r="PS40">
        <f>$PS$39+--($PR40)</f>
        <v/>
      </c>
      <c r="PT40">
        <f>IF(ROW()-3&gt;MAX($PS$4:$PS$40),"",INDEX($FD$4:$FD$40,MATCH(ROW()-3,$PS$4:$PS$40,0)))</f>
        <v/>
      </c>
      <c r="PU40">
        <f>IF(COUNTIF('Buyer Groups'!DG93:EJ93,0)+COUNTIF('Buyer Groups'!EL93:EN93,0)&gt;0,0,1)</f>
        <v/>
      </c>
      <c r="PV40">
        <f>IF($FX$40="",FALSE,SUMPRODUCT((IF('Final Calculation Sheet'!$AD$4:$AD$40&lt;=5,"SETTLED","OUTSTANDING")=$FX$40)*($PU$6:$PU$42=1))&gt;0)</f>
        <v/>
      </c>
      <c r="PW40">
        <f>$PW$39+--($PV40)</f>
        <v/>
      </c>
      <c r="PX40">
        <f>IF(ROW()-3&gt;MAX($PW$4:$PW$40),"",INDEX($FX$4:$FX$40,MATCH(ROW()-3,$PW$4:$PW$40,0)))</f>
        <v/>
      </c>
      <c r="PY40">
        <f>IF(COUNTIF('Buyer Groups'!DG93:EK93,0)+COUNTIF('Buyer Groups'!EM93:EN93,0)&gt;0,0,1)</f>
        <v/>
      </c>
      <c r="PZ40">
        <f>IF($FI$40="",FALSE,SUMPRODUCT(('Final Calculation Sheet'!$AF$4:$AF$40=$FI$40)*($PY$6:$PY$42=1))&gt;0)</f>
        <v/>
      </c>
      <c r="QA40">
        <f>$QA$39+--($PZ40)</f>
        <v/>
      </c>
      <c r="QB40">
        <f>IF(ROW()-3&gt;MAX($QA$4:$QA$40),"",INDEX($FI$4:$FI$40,MATCH(ROW()-3,$QA$4:$QA$40,0)))</f>
        <v/>
      </c>
      <c r="QC40">
        <f>IF(COUNTIF('Buyer Groups'!DG93:EL93,0)+COUNTIF('Buyer Groups'!EN93:EN93,0)&gt;0,0,1)</f>
        <v/>
      </c>
      <c r="QD40">
        <f>IF($FN$40="",FALSE,SUMPRODUCT(('Final Calculation Sheet'!$AG$4:$AG$40=$FN$40)*($QC$6:$QC$42=1))&gt;0)</f>
        <v/>
      </c>
      <c r="QE40">
        <f>$QE$39+--($QD40)</f>
        <v/>
      </c>
      <c r="QF40">
        <f>IF(ROW()-3&gt;MAX($QE$4:$QE$40),"",INDEX($FN$4:$FN$40,MATCH(ROW()-3,$QE$4:$QE$40,0)))</f>
        <v/>
      </c>
      <c r="QG40">
        <f>IF(COUNTIF('Buyer Groups'!DG93:EM93,0)&gt;0,0,1)</f>
        <v/>
      </c>
      <c r="QH40">
        <f>IF($FS$40="",FALSE,SUMPRODUCT(('Final Calculation Sheet'!$AH$4:$AH$40=$FS$40)*($QG$6:$QG$42=1))&gt;0)</f>
        <v/>
      </c>
      <c r="QI40">
        <f>$QI$39+--($QH40)</f>
        <v/>
      </c>
      <c r="QJ40">
        <f>IF(ROW()-3&gt;MAX($QI$4:$QI$40),"",INDEX($FS$4:$FS$40,MATCH(ROW()-3,$QI$4:$QI$40,0)))</f>
        <v/>
      </c>
      <c r="QK40" t="str">
        <f>IF('Final Calculation Sheet'!$AH$40="","",'Final Calculation Sheet'!$AH$40)</f>
      </c>
      <c r="QL40" t="str">
        <f>IF(QK40="","",COUNTIFS(QK$4:QK$40,"&lt;"&amp;QK40,QK$4:QK$40,"&lt;&gt;"&amp;"")+COUNTIF(QK$4:QK40,QK40))</f>
      </c>
      <c r="QM40" t="str">
        <f>IF(ROW()-3&gt;COUNTIF(QK$4:QK$40,"&lt;&gt;"&amp;""),"",INDEX(QK$4:QK$40,MATCH(ROW()-3,QL$4:QL$40,0)))</f>
      </c>
      <c r="QN40" t="str">
        <f>=QN39+F(AND(QM40&lt;&gt;"",COUNTIF(QM$4:QM40,QM40)=1),1,0)</f>
      </c>
      <c r="QO40" t="str">
        <f>IF(ROW()-3&gt;MAX(QN$4:QN$40),"",INDEX(QM$4:QM$40,MATCH(ROW()-3,QN$4:QN$40,0)))</f>
      </c>
      <c r="QP40" t="str">
        <f>IF(COUNTIF('Final Calculation Sheet'!$AM40:$BS40,0)&gt;0,0,1)</f>
      </c>
      <c r="QQ40" t="str">
        <f>IF($AI$40="",FALSE,SUMPRODUCT(('Final Calculation Sheet'!$A$4:$A$40=$AI$40)*($QP$4:$QP$40=1))&gt;0)</f>
      </c>
      <c r="QR40" t="str">
        <f>=$QR39+--($QQ40)</f>
      </c>
      <c r="QS40" t="str">
        <f>IF(ROW()-3&gt;MAX($QR$4:$QR$40),"",INDEX($AI$4:$AI$40,MATCH(ROW()-3,$QR$4:$QR$40,0)))</f>
      </c>
      <c r="QT40" t="str">
        <f>IF(COUNTIF('Final Calculation Sheet'!$AL40:$AL40,0)+COUNTIF('Final Calculation Sheet'!$AN40:$BS40,0)&gt;0,0,1)</f>
      </c>
      <c r="QU40" t="str">
        <f>IF($Y$40="",FALSE,SUMPRODUCT(('Final Calculation Sheet'!$B$4:$B$40=$Y$40)*($QT$4:$QT$40=1))&gt;0)</f>
      </c>
      <c r="QV40" t="str">
        <f>=$QV39+--($QU40)</f>
      </c>
      <c r="QW40" t="str">
        <f>IF(ROW()-3&gt;MAX($QV$4:$QV$40),"",INDEX($Y$4:$Y$40,MATCH(ROW()-3,$QV$4:$QV$40,0)))</f>
      </c>
      <c r="QX40" t="str">
        <f>IF(COUNTIF('Final Calculation Sheet'!$AL40:$AM40,0)+COUNTIF('Final Calculation Sheet'!$AO40:$BS40,0)&gt;0,0,1)</f>
      </c>
      <c r="QY40" t="str">
        <f>IF($AS$40="",FALSE,SUMPRODUCT(('Final Calculation Sheet'!$C$4:$C$40=$AS$40)*($QX$4:$QX$40=1))&gt;0)</f>
      </c>
      <c r="QZ40" t="str">
        <f>=$QZ39+--($QY40)</f>
      </c>
      <c r="RA40" t="str">
        <f>IF(ROW()-3&gt;MAX($QZ$4:$QZ$40),"",INDEX($AS$4:$AS$40,MATCH(ROW()-3,$QZ$4:$QZ$40,0)))</f>
      </c>
      <c r="RB40" t="str">
        <f>IF(COUNTIF('Final Calculation Sheet'!$AL40:$AN40,0)+COUNTIF('Final Calculation Sheet'!$AP40:$BS40,0)&gt;0,0,1)</f>
      </c>
      <c r="RC40" t="str">
        <f>IF($AD$40="",FALSE,SUMPRODUCT(('Final Calculation Sheet'!$D$4:$D$40=$AD$40)*($RB$4:$RB$40=1))&gt;0)</f>
      </c>
      <c r="RD40" t="str">
        <f>=$RD39+--($RC40)</f>
      </c>
      <c r="RE40" t="str">
        <f>IF(ROW()-3&gt;MAX($RD$4:$RD$40),"",INDEX($AD$4:$AD$40,MATCH(ROW()-3,$RD$4:$RD$40,0)))</f>
      </c>
      <c r="RF40" t="str">
        <f>IF(COUNTIF('Final Calculation Sheet'!$AL40:$AO40,0)+COUNTIF('Final Calculation Sheet'!$AQ40:$BS40,0)&gt;0,0,1)</f>
      </c>
      <c r="RG40" t="str">
        <f>IF($AN$40="",FALSE,SUMPRODUCT(('Final Calculation Sheet'!$E$4:$E$40=$AN$40)*($RF$4:$RF$40=1))&gt;0)</f>
      </c>
      <c r="RH40" t="str">
        <f>=$RH39+--($RG40)</f>
      </c>
      <c r="RI40" t="str">
        <f>IF(ROW()-3&gt;MAX($RH$4:$RH$40),"",INDEX($AN$4:$AN$40,MATCH(ROW()-3,$RH$4:$RH$40,0)))</f>
      </c>
      <c r="RJ40" t="str">
        <f>IF(COUNTIF('Final Calculation Sheet'!$AL40:$AP40,0)+COUNTIF('Final Calculation Sheet'!$AR40:$BS40,0)&gt;0,0,1)</f>
      </c>
      <c r="RK40" t="str">
        <f>IF($O$40="",FALSE,SUMPRODUCT(('Final Calculation Sheet'!$F$4:$F$40=$O$40)*($RJ$4:$RJ$40=1))&gt;0)</f>
      </c>
      <c r="RL40" t="str">
        <f>=$RL39+--($RK40)</f>
      </c>
      <c r="RM40" t="str">
        <f>IF(ROW()-3&gt;MAX($RL$4:$RL$40),"",INDEX($O$4:$O$40,MATCH(ROW()-3,$RL$4:$RL$40,0)))</f>
      </c>
      <c r="RN40" t="str">
        <f>IF(COUNTIF('Final Calculation Sheet'!$AL40:$AQ40,0)+COUNTIF('Final Calculation Sheet'!$AS40:$BS40,0)&gt;0,0,1)</f>
      </c>
      <c r="RO40" t="str">
        <f>IF($T$40="",FALSE,SUMPRODUCT(('Final Calculation Sheet'!$G$4:$G$40=$T$40)*($RN$4:$RN$40=1))&gt;0)</f>
      </c>
      <c r="RP40" t="str">
        <f>=$RP39+--($RO40)</f>
      </c>
      <c r="RQ40" t="str">
        <f>IF(ROW()-3&gt;MAX($RP$4:$RP$40),"",INDEX($T$4:$T$40,MATCH(ROW()-3,$RP$4:$RP$40,0)))</f>
      </c>
      <c r="RR40" t="str">
        <f>IF(COUNTIF('Final Calculation Sheet'!$AL40:$AR40,0)+COUNTIF('Final Calculation Sheet'!$AT40:$BS40,0)&gt;0,0,1)</f>
      </c>
      <c r="RS40" t="str">
        <f>IF($AX$40="",FALSE,SUMPRODUCT(('Final Calculation Sheet'!$H$4:$H$40=$AX$40)*($RR$4:$RR$40=1))&gt;0)</f>
      </c>
      <c r="RT40" t="str">
        <f>=$RT39+--($RS40)</f>
      </c>
      <c r="RU40" t="str">
        <f>IF(ROW()-3&gt;MAX($RT$4:$RT$40),"",INDEX($AX$4:$AX$40,MATCH(ROW()-3,$RT$4:$RT$40,0)))</f>
      </c>
      <c r="RV40" t="str">
        <f>IF(COUNTIF('Final Calculation Sheet'!$AL40:$AS40,0)+COUNTIF('Final Calculation Sheet'!$AU40:$BS40,0)&gt;0,0,1)</f>
      </c>
      <c r="RW40" t="str">
        <f>IF($BC$40="",FALSE,SUMPRODUCT(('Final Calculation Sheet'!$I$4:$I$40=$BC$40)*($RV$4:$RV$40=1))&gt;0)</f>
      </c>
      <c r="RX40" t="str">
        <f>=$RX39+--($RW40)</f>
      </c>
      <c r="RY40" t="str">
        <f>IF(ROW()-3&gt;MAX($RX$4:$RX$40),"",INDEX($BC$4:$BC$40,MATCH(ROW()-3,$RX$4:$RX$40,0)))</f>
      </c>
      <c r="RZ40" t="str">
        <f>IF(COUNTIF('Final Calculation Sheet'!$AL40:$AT40,0)+COUNTIF('Final Calculation Sheet'!$AV40:$BS40,0)&gt;0,0,1)</f>
      </c>
      <c r="SA40" t="str">
        <f>IF($BH$40="",FALSE,SUMPRODUCT(('Final Calculation Sheet'!$J$4:$J$40=$BH$40)*($RZ$4:$RZ$40=1))&gt;0)</f>
      </c>
      <c r="SB40" t="str">
        <f>=$SB39+--($SA40)</f>
      </c>
      <c r="SC40" t="str">
        <f>IF(ROW()-3&gt;MAX($SB$4:$SB$40),"",INDEX($BH$4:$BH$40,MATCH(ROW()-3,$SB$4:$SB$40,0)))</f>
      </c>
      <c r="SD40" t="str">
        <f>IF(COUNTIF('Final Calculation Sheet'!$AL40:$AU40,0)+COUNTIF('Final Calculation Sheet'!$AW40:$BS40,0)&gt;0,0,1)</f>
      </c>
      <c r="SE40" t="str">
        <f>IF($BM$40="",FALSE,SUMPRODUCT(('Final Calculation Sheet'!$K$4:$K$40=$BM$40)*($SD$4:$SD$40=1))&gt;0)</f>
      </c>
      <c r="SF40" t="str">
        <f>=$SF39+--($SE40)</f>
      </c>
      <c r="SG40" t="str">
        <f>IF(ROW()-3&gt;MAX($SF$4:$SF$40),"",INDEX($BM$4:$BM$40,MATCH(ROW()-3,$SF$4:$SF$40,0)))</f>
      </c>
      <c r="SH40" t="str">
        <f>IF(COUNTIF('Final Calculation Sheet'!$AL40:$AV40,0)+COUNTIF('Final Calculation Sheet'!$AX40:$BS40,0)&gt;0,0,1)</f>
      </c>
      <c r="SI40" t="str">
        <f>IF($BR$40="",FALSE,SUMPRODUCT(('Final Calculation Sheet'!$L$4:$L$40=$BR$40)*($SH$4:$SH$40=1))&gt;0)</f>
      </c>
      <c r="SJ40" t="str">
        <f>=$SJ39+--($SI40)</f>
      </c>
      <c r="SK40" t="str">
        <f>IF(ROW()-3&gt;MAX($SJ$4:$SJ$40),"",INDEX($BR$4:$BR$40,MATCH(ROW()-3,$SJ$4:$SJ$40,0)))</f>
      </c>
      <c r="SL40" t="str">
        <f>IF(COUNTIF('Final Calculation Sheet'!$AL40:$AW40,0)+COUNTIF('Final Calculation Sheet'!$AY40:$BS40,0)&gt;0,0,1)</f>
      </c>
      <c r="SM40" t="str">
        <f>IF($BW$40="",FALSE,SUMPRODUCT(('Final Calculation Sheet'!$M$4:$M$40=$BW$40)*($SL$4:$SL$40=1))&gt;0)</f>
      </c>
      <c r="SN40" t="str">
        <f>=$SN39+--($SM40)</f>
      </c>
      <c r="SO40" t="str">
        <f>IF(ROW()-3&gt;MAX($SN$4:$SN$40),"",INDEX($BW$4:$BW$40,MATCH(ROW()-3,$SN$4:$SN$40,0)))</f>
      </c>
      <c r="SP40" t="str">
        <f>IF(COUNTIF('Final Calculation Sheet'!$AL40:$AX40,0)+COUNTIF('Final Calculation Sheet'!$AZ40:$BS40,0)&gt;0,0,1)</f>
      </c>
      <c r="SQ40" t="str">
        <f>IF($CB$40="",FALSE,SUMPRODUCT(('Final Calculation Sheet'!$N$4:$N$40=$CB$40)*($SP$4:$SP$40=1))&gt;0)</f>
      </c>
      <c r="SR40" t="str">
        <f>=$SR39+--($SQ40)</f>
      </c>
      <c r="SS40" t="str">
        <f>IF(ROW()-3&gt;MAX($SR$4:$SR$40),"",INDEX($CB$4:$CB$40,MATCH(ROW()-3,$SR$4:$SR$40,0)))</f>
      </c>
      <c r="ST40" t="str">
        <f>IF(COUNTIF('Final Calculation Sheet'!$AL40:$AY40,0)+COUNTIF('Final Calculation Sheet'!$BA40:$BS40,0)&gt;0,0,1)</f>
      </c>
      <c r="SU40" t="str">
        <f>IF($CG$40="",FALSE,SUMPRODUCT(('Final Calculation Sheet'!$O$4:$O$40=$CG$40)*($ST$4:$ST$40=1))&gt;0)</f>
      </c>
      <c r="SV40" t="str">
        <f>=$SV39+--($SU40)</f>
      </c>
      <c r="SW40" t="str">
        <f>IF(ROW()-3&gt;MAX($SV$4:$SV$40),"",INDEX($CG$4:$CG$40,MATCH(ROW()-3,$SV$4:$SV$40,0)))</f>
      </c>
      <c r="SX40" t="str">
        <f>IF(COUNTIF('Final Calculation Sheet'!$AL40:$AZ40,0)+COUNTIF('Final Calculation Sheet'!$BB40:$BS40,0)&gt;0,0,1)</f>
      </c>
      <c r="SY40" t="str">
        <f>IF($CL$40="",FALSE,SUMPRODUCT(('Final Calculation Sheet'!$P$4:$P$40=$CL$40)*($SX$4:$SX$40=1))&gt;0)</f>
      </c>
      <c r="SZ40" t="str">
        <f>=$SZ39+--($SY40)</f>
      </c>
      <c r="TA40" t="str">
        <f>IF(ROW()-3&gt;MAX($SZ$4:$SZ$40),"",INDEX($CL$4:$CL$40,MATCH(ROW()-3,$SZ$4:$SZ$40,0)))</f>
      </c>
      <c r="TB40" t="str">
        <f>IF(COUNTIF('Final Calculation Sheet'!$AL40:$BA40,0)+COUNTIF('Final Calculation Sheet'!$BC40:$BS40,0)&gt;0,0,1)</f>
      </c>
      <c r="TC40" t="str">
        <f>IF($CQ$40="",FALSE,SUMPRODUCT(('Final Calculation Sheet'!$Q$4:$Q$40=$CQ$40)*($TB$4:$TB$40=1))&gt;0)</f>
      </c>
      <c r="TD40" t="str">
        <f>=$TD39+--($TC40)</f>
      </c>
      <c r="TE40" t="str">
        <f>IF(ROW()-3&gt;MAX($TD$4:$TD$40),"",INDEX($CQ$4:$CQ$40,MATCH(ROW()-3,$TD$4:$TD$40,0)))</f>
      </c>
      <c r="TF40" t="str">
        <f>IF(COUNTIF('Final Calculation Sheet'!$AL40:$BB40,0)+COUNTIF('Final Calculation Sheet'!$BD40:$BS40,0)&gt;0,0,1)</f>
      </c>
      <c r="TG40" t="str">
        <f>IF($CV$40="",FALSE,SUMPRODUCT(('Final Calculation Sheet'!$R$4:$R$40=$CV$40)*($TF$4:$TF$40=1))&gt;0)</f>
      </c>
      <c r="TH40" t="str">
        <f>=$TH39+--($TG40)</f>
      </c>
      <c r="TI40" t="str">
        <f>IF(ROW()-3&gt;MAX($TH$4:$TH$40),"",INDEX($CV$4:$CV$40,MATCH(ROW()-3,$TH$4:$TH$40,0)))</f>
      </c>
      <c r="TJ40" t="str">
        <f>IF(COUNTIF('Final Calculation Sheet'!$AL40:$BC40,0)+COUNTIF('Final Calculation Sheet'!$BE40:$BS40,0)&gt;0,0,1)</f>
      </c>
      <c r="TK40" t="str">
        <f>IF($DA$40="",FALSE,SUMPRODUCT(('Final Calculation Sheet'!$S$4:$S$40=$DA$40)*($TJ$4:$TJ$40=1))&gt;0)</f>
      </c>
      <c r="TL40" t="str">
        <f>=$TL39+--($TK40)</f>
      </c>
      <c r="TM40" t="str">
        <f>IF(ROW()-3&gt;MAX($TL$4:$TL$40),"",INDEX($DA$4:$DA$40,MATCH(ROW()-3,$TL$4:$TL$40,0)))</f>
      </c>
      <c r="TN40" t="str">
        <f>IF(COUNTIF('Final Calculation Sheet'!$AL40:$BD40,0)+COUNTIF('Final Calculation Sheet'!$BF40:$BS40,0)&gt;0,0,1)</f>
      </c>
      <c r="TO40" t="str">
        <f>IF($DF$40="",FALSE,SUMPRODUCT(('Final Calculation Sheet'!$T$4:$T$40=$DF$40)*($TN$4:$TN$40=1))&gt;0)</f>
      </c>
      <c r="TP40" t="str">
        <f>=$TP39+--($TO40)</f>
      </c>
      <c r="TQ40" t="str">
        <f>IF(ROW()-3&gt;MAX($TP$4:$TP$40),"",INDEX($DF$4:$DF$40,MATCH(ROW()-3,$TP$4:$TP$40,0)))</f>
      </c>
      <c r="TR40" t="str">
        <f>IF(COUNTIF('Final Calculation Sheet'!$AL40:$BE40,0)+COUNTIF('Final Calculation Sheet'!$BG40:$BS40,0)&gt;0,0,1)</f>
      </c>
      <c r="TS40" t="str">
        <f>IF($DK$40="",FALSE,SUMPRODUCT(('Final Calculation Sheet'!$U$4:$U$40=$DK$40)*($TR$4:$TR$40=1))&gt;0)</f>
      </c>
      <c r="TT40" t="str">
        <f>=$TT39+--($TS40)</f>
      </c>
      <c r="TU40" t="str">
        <f>IF(ROW()-3&gt;MAX($TT$4:$TT$40),"",INDEX($DK$4:$DK$40,MATCH(ROW()-3,$TT$4:$TT$40,0)))</f>
      </c>
      <c r="TV40" t="str">
        <f>IF(COUNTIF('Final Calculation Sheet'!$AL40:$BF40,0)+COUNTIF('Final Calculation Sheet'!$BH40:$BS40,0)&gt;0,0,1)</f>
      </c>
      <c r="TW40" t="str">
        <f>IF($DP$40="",FALSE,SUMPRODUCT(('Final Calculation Sheet'!$V$4:$V$40=$DP$40)*($TV$4:$TV$40=1))&gt;0)</f>
      </c>
      <c r="TX40" t="str">
        <f>=$TX39+--($TW40)</f>
      </c>
      <c r="TY40" t="str">
        <f>IF(ROW()-3&gt;MAX($TX$4:$TX$40),"",INDEX($DP$4:$DP$40,MATCH(ROW()-3,$TX$4:$TX$40,0)))</f>
      </c>
      <c r="TZ40" t="str">
        <f>IF(COUNTIF('Final Calculation Sheet'!$AL40:$BG40,0)+COUNTIF('Final Calculation Sheet'!$BI40:$BS40,0)&gt;0,0,1)</f>
      </c>
      <c r="UA40" t="str">
        <f>IF($DU$40="",FALSE,SUMPRODUCT(('Final Calculation Sheet'!$W$4:$W$40=$DU$40)*($TZ$4:$TZ$40=1))&gt;0)</f>
      </c>
      <c r="UB40" t="str">
        <f>=$UB39+--($UA40)</f>
      </c>
      <c r="UC40" t="str">
        <f>IF(ROW()-3&gt;MAX($UB$4:$UB$40),"",INDEX($DU$4:$DU$40,MATCH(ROW()-3,$UB$4:$UB$40,0)))</f>
      </c>
      <c r="UD40" t="str">
        <f>IF(COUNTIF('Final Calculation Sheet'!$AL40:$BH40,0)+COUNTIF('Final Calculation Sheet'!$BJ40:$BS40,0)&gt;0,0,1)</f>
      </c>
      <c r="UE40" t="str">
        <f>IF($DZ$40="",FALSE,SUMPRODUCT(('Final Calculation Sheet'!$X$4:$X$40=$DZ$40)*($UD$4:$UD$40=1))&gt;0)</f>
      </c>
      <c r="UF40" t="str">
        <f>=$UF39+--($UE40)</f>
      </c>
      <c r="UG40" t="str">
        <f>IF(ROW()-3&gt;MAX($UF$4:$UF$40),"",INDEX($DZ$4:$DZ$40,MATCH(ROW()-3,$UF$4:$UF$40,0)))</f>
      </c>
      <c r="UH40" t="str">
        <f>IF(COUNTIF('Final Calculation Sheet'!$AL40:$BI40,0)+COUNTIF('Final Calculation Sheet'!$BK40:$BS40,0)&gt;0,0,1)</f>
      </c>
      <c r="UI40" t="str">
        <f>IF($EE$40="",FALSE,SUMPRODUCT(('Final Calculation Sheet'!$Y$4:$Y$40=$EE$40)*($UH$4:$UH$40=1))&gt;0)</f>
      </c>
      <c r="UJ40" t="str">
        <f>=$UJ39+--($UI40)</f>
      </c>
      <c r="UK40" t="str">
        <f>IF(ROW()-3&gt;MAX($UJ$4:$UJ$40),"",INDEX($EE$4:$EE$40,MATCH(ROW()-3,$UJ$4:$UJ$40,0)))</f>
      </c>
      <c r="UL40" t="str">
        <f>IF(COUNTIF('Final Calculation Sheet'!$AL40:$BJ40,0)+COUNTIF('Final Calculation Sheet'!$BL40:$BS40,0)&gt;0,0,1)</f>
      </c>
      <c r="UM40" t="str">
        <f>IF($EJ$40="",FALSE,SUMPRODUCT(('Final Calculation Sheet'!$Z$4:$Z$40=$EJ$40)*($UL$4:$UL$40=1))&gt;0)</f>
      </c>
      <c r="UN40" t="str">
        <f>=$UN39+--($UM40)</f>
      </c>
      <c r="UO40" t="str">
        <f>IF(ROW()-3&gt;MAX($UN$4:$UN$40),"",INDEX($EJ$4:$EJ$40,MATCH(ROW()-3,$UN$4:$UN$40,0)))</f>
      </c>
      <c r="UP40" t="str">
        <f>IF(COUNTIF('Final Calculation Sheet'!$AL40:$BK40,0)+COUNTIF('Final Calculation Sheet'!$BM40:$BS40,0)&gt;0,0,1)</f>
      </c>
      <c r="UQ40" t="str">
        <f>IF($EO$40="",FALSE,SUMPRODUCT(('Final Calculation Sheet'!$AA$4:$AA$40=$EO$40)*($UP$4:$UP$40=1))&gt;0)</f>
      </c>
      <c r="UR40" t="str">
        <f>=$UR39+--($UQ40)</f>
      </c>
      <c r="US40" t="str">
        <f>IF(ROW()-3&gt;MAX($UR$4:$UR$40),"",INDEX($EO$4:$EO$40,MATCH(ROW()-3,$UR$4:$UR$40,0)))</f>
      </c>
      <c r="UT40" t="str">
        <f>IF(COUNTIF('Final Calculation Sheet'!$AL40:$BL40,0)+COUNTIF('Final Calculation Sheet'!$BN40:$BS40,0)&gt;0,0,1)</f>
      </c>
      <c r="UU40" t="str">
        <f>IF($ET$40="",FALSE,SUMPRODUCT(('Final Calculation Sheet'!$AB$4:$AB$40=$ET$40)*($UT$4:$UT$40=1))&gt;0)</f>
      </c>
      <c r="UV40" t="str">
        <f>=$UV39+--($UU40)</f>
      </c>
      <c r="UW40" t="str">
        <f>IF(ROW()-3&gt;MAX($UV$4:$UV$40),"",INDEX($ET$4:$ET$40,MATCH(ROW()-3,$UV$4:$UV$40,0)))</f>
      </c>
      <c r="UX40" t="str">
        <f>IF(COUNTIF('Final Calculation Sheet'!$AL40:$BM40,0)+COUNTIF('Final Calculation Sheet'!$BO40:$BS40,0)&gt;0,0,1)</f>
      </c>
      <c r="UY40" t="str">
        <f>IF($EY$40="",FALSE,SUMPRODUCT(('Final Calculation Sheet'!$AC$4:$AC$40=$EY$40)*($UX$4:$UX$40=1))&gt;0)</f>
      </c>
      <c r="UZ40" t="str">
        <f>=$UZ39+--($UY40)</f>
      </c>
      <c r="VA40" t="str">
        <f>IF(ROW()-3&gt;MAX($UZ$4:$UZ$40),"",INDEX($EY$4:$EY$40,MATCH(ROW()-3,$UZ$4:$UZ$40,0)))</f>
      </c>
      <c r="VB40" t="str">
        <f>IF(COUNTIF('Final Calculation Sheet'!$AL40:$BN40,0)+COUNTIF('Final Calculation Sheet'!$BP40:$BS40,0)&gt;0,0,1)</f>
      </c>
      <c r="VC40" t="str">
        <f>IF($FD$40="",FALSE,SUMPRODUCT(('Final Calculation Sheet'!$AD$4:$AD$40=$FD$40)*($VB$4:$VB$40=1))&gt;0)</f>
      </c>
      <c r="VD40" t="str">
        <f>=$VD39+--($VC40)</f>
      </c>
      <c r="VE40" t="str">
        <f>IF(ROW()-3&gt;MAX($VD$4:$VD$40),"",INDEX($FD$4:$FD$40,MATCH(ROW()-3,$VD$4:$VD$40,0)))</f>
      </c>
      <c r="VF40" t="str">
        <f>IF(COUNTIF('Final Calculation Sheet'!$AL40:$BO40,0)+COUNTIF('Final Calculation Sheet'!$BQ40:$BS40,0)&gt;0,0,1)</f>
      </c>
      <c r="VG40" t="str">
        <f>IF($FI$40="",FALSE,SUMPRODUCT(('Final Calculation Sheet'!$AE$4:$AE$40=$FI$40)*($VF$4:$VF$40=1))&gt;0)</f>
      </c>
      <c r="VH40" t="str">
        <f>=$VH39+--($VG40)</f>
      </c>
      <c r="VI40" t="str">
        <f>IF(ROW()-3&gt;MAX($VH$4:$VH$40),"",INDEX($FI$4:$FI$40,MATCH(ROW()-3,$VH$4:$VH$40,0)))</f>
      </c>
      <c r="VJ40" t="str">
        <f>IF(COUNTIF('Final Calculation Sheet'!$AL40:$BP40,0)+COUNTIF('Final Calculation Sheet'!$BR40:$BS40,0)&gt;0,0,1)</f>
      </c>
      <c r="VK40" t="str">
        <f>IF($FN$40="",FALSE,SUMPRODUCT(('Final Calculation Sheet'!$AF$4:$AF$40=$FN$40)*($VJ$4:$VJ$40=1))&gt;0)</f>
      </c>
      <c r="VL40" t="str">
        <f>=$VL39+--($VK40)</f>
      </c>
      <c r="VM40" t="str">
        <f>IF(ROW()-3&gt;MAX($VL$4:$VL$40),"",INDEX($FN$4:$FN$40,MATCH(ROW()-3,$VL$4:$VL$40,0)))</f>
      </c>
      <c r="VN40" t="str">
        <f>IF(COUNTIF('Final Calculation Sheet'!$AL40:$BQ40,0)+COUNTIF('Final Calculation Sheet'!$BS40:$BS40,0)&gt;0,0,1)</f>
      </c>
      <c r="VO40" t="str">
        <f>IF($FS$40="",FALSE,SUMPRODUCT(('Final Calculation Sheet'!$AG$4:$AG$40=$FS$40)*($VN$4:$VN$40=1))&gt;0)</f>
      </c>
      <c r="VP40" t="str">
        <f>=$VP39+--($VO40)</f>
      </c>
      <c r="VQ40" t="str">
        <f>IF(ROW()-3&gt;MAX($VP$4:$VP$40),"",INDEX($FS$4:$FS$40,MATCH(ROW()-3,$VP$4:$VP$40,0)))</f>
      </c>
      <c r="VR40" t="str">
        <f>IF(COUNTIF('Final Calculation Sheet'!$AL40:$BR40,0)&gt;0,0,1)</f>
      </c>
      <c r="VS40" t="str">
        <f>IF($QO$40="",FALSE,SUMPRODUCT(('Final Calculation Sheet'!$AH$4:$AH$40=$QO$40)*($VR$4:$VR$40=1))&gt;0)</f>
      </c>
      <c r="VT40" t="str">
        <f>=$VT39+--($VS40)</f>
      </c>
      <c r="VU40" t="str">
        <f>IF(ROW()-3&gt;MAX($VT$4:$VT$40),"",INDEX($QO$4:$QO$40,MATCH(ROW()-3,$VT$4:$VT$40,0)))</f>
      </c>
    </row>
    <row r="41">
      <c r="A41">
        <f>IF(IFERROR('Final Calculation Sheet'!$G$4,"")="","",'Final Calculation Sheet'!$G$4)</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c r="FY41">
        <f>IF(COUNTIF('Live Search'!BM$40:BO$40,0)+COUNTIF('Live Search'!BQ$40:CU$40,0)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B41">
        <f>IF(ROW()-3&gt;MAX($GA$4:$GA$40),"",INDEX($Y$4:$Y$40,MATCH(ROW()-3,$GA$4:$GA$40,0)))</f>
        <v/>
      </c>
      <c r="GC41">
        <f>IF(COUNTIF('Live Search'!BM$40:BM$40,0)+COUNTIF('Live Search'!BO$40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F41">
        <f>IF(ROW()-3&gt;MAX($GE$4:$GE$40),"",INDEX($O$4:$O$40,MATCH(ROW()-3,$GE$4:$GE$40,0)))</f>
        <v/>
      </c>
      <c r="GG41">
        <f>IF(COUNTIF('Live Search'!BM$40:BN$40,0)+COUNTIF('Live Search'!BP$40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J41">
        <f>IF(ROW()-3&gt;MAX($GI$4:$GI$40),"",INDEX($T$4:$T$40,MATCH(ROW()-3,$GI$4:$GI$40,0)))</f>
        <v/>
      </c>
      <c r="GK41">
        <f>IF(COUNTIF('Live Search'!BM$40:BP$40,0)+COUNTIF('Live Search'!BR$40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N41">
        <f>IF(ROW()-3&gt;MAX($GM$4:$GM$40),"",INDEX($AD$4:$AD$40,MATCH(ROW()-3,$GM$4:$GM$40,0)))</f>
        <v/>
      </c>
      <c r="GO41">
        <f>IF(COUNTIF('Live Search'!BM$40:BQ$40,0)+COUNTIF('Live Search'!BS$40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R41">
        <f>IF(ROW()-3&gt;MAX($GQ$4:$GQ$40),"",INDEX($AI$4:$AI$40,MATCH(ROW()-3,$GQ$4:$GQ$40,0)))</f>
        <v/>
      </c>
      <c r="GS41">
        <f>IF(COUNTIF('Live Search'!BM$40:BR$40,0)+COUNTIF('Live Search'!BT$40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V41">
        <f>IF(ROW()-3&gt;MAX($GU$4:$GU$40),"",INDEX($AN$4:$AN$40,MATCH(ROW()-3,$GU$4:$GU$40,0)))</f>
        <v/>
      </c>
      <c r="GW41">
        <f>IF(COUNTIF('Live Search'!BM$40:BS$40,0)+COUNTIF('Live Search'!BU$40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GZ41">
        <f>IF(ROW()-3&gt;MAX($GY$4:$GY$40),"",INDEX($AS$4:$AS$40,MATCH(ROW()-3,$GY$4:$GY$40,0)))</f>
        <v/>
      </c>
      <c r="HA41">
        <f>IF(COUNTIF('Live Search'!BM$40:BT$40,0)+COUNTIF('Live Search'!BV$40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D41">
        <f>IF(ROW()-3&gt;MAX($HC$4:$HC$40),"",INDEX($AX$4:$AX$40,MATCH(ROW()-3,$HC$4:$HC$40,0)))</f>
        <v/>
      </c>
      <c r="HE41">
        <f>IF(COUNTIF('Live Search'!BM$40:BU$40,0)+COUNTIF('Live Search'!BW$40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H41">
        <f>IF(ROW()-3&gt;MAX($HG$4:$HG$40),"",INDEX($BC$4:$BC$40,MATCH(ROW()-3,$HG$4:$HG$40,0)))</f>
        <v/>
      </c>
      <c r="HI41">
        <f>IF(COUNTIF('Live Search'!BM$40:BV$40,0)+COUNTIF('Live Search'!BX$40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L41">
        <f>IF(ROW()-3&gt;MAX($HK$4:$HK$40),"",INDEX($BH$4:$BH$40,MATCH(ROW()-3,$HK$4:$HK$40,0)))</f>
        <v/>
      </c>
      <c r="HM41">
        <f>IF(COUNTIF('Live Search'!BM$40:BW$40,0)+COUNTIF('Live Search'!BY$40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P41">
        <f>IF(ROW()-3&gt;MAX($HO$4:$HO$40),"",INDEX($BM$4:$BM$40,MATCH(ROW()-3,$HO$4:$HO$40,0)))</f>
        <v/>
      </c>
      <c r="HQ41">
        <f>IF(COUNTIF('Live Search'!BM$40:BX$40,0)+COUNTIF('Live Search'!BZ$40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T41">
        <f>IF(ROW()-3&gt;MAX($HS$4:$HS$40),"",INDEX($BR$4:$BR$40,MATCH(ROW()-3,$HS$4:$HS$40,0)))</f>
        <v/>
      </c>
      <c r="HU41">
        <f>IF(COUNTIF('Live Search'!BM$40:BY$40,0)+COUNTIF('Live Search'!CA$40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HX41">
        <f>IF(ROW()-3&gt;MAX($HW$4:$HW$40),"",INDEX($BW$4:$BW$40,MATCH(ROW()-3,$HW$4:$HW$40,0)))</f>
        <v/>
      </c>
      <c r="HY41">
        <f>IF(COUNTIF('Live Search'!BM$40:BZ$40,0)+COUNTIF('Live Search'!CB$40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B41">
        <f>IF(ROW()-3&gt;MAX($IA$4:$IA$40),"",INDEX($CB$4:$CB$40,MATCH(ROW()-3,$IA$4:$IA$40,0)))</f>
        <v/>
      </c>
      <c r="IC41">
        <f>IF(COUNTIF('Live Search'!BM$40:CA$40,0)+COUNTIF('Live Search'!CC$40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F41">
        <f>IF(ROW()-3&gt;MAX($IE$4:$IE$40),"",INDEX($CG$4:$CG$40,MATCH(ROW()-3,$IE$4:$IE$40,0)))</f>
        <v/>
      </c>
      <c r="IG41">
        <f>IF(COUNTIF('Live Search'!BM$40:CB$40,0)+COUNTIF('Live Search'!CD$40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J41">
        <f>IF(ROW()-3&gt;MAX($II$4:$II$40),"",INDEX($CL$4:$CL$40,MATCH(ROW()-3,$II$4:$II$40,0)))</f>
        <v/>
      </c>
      <c r="IK41">
        <f>IF(COUNTIF('Live Search'!BM$40:CC$40,0)+COUNTIF('Live Search'!CE$40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N41">
        <f>IF(ROW()-3&gt;MAX($IM$4:$IM$40),"",INDEX($CQ$4:$CQ$40,MATCH(ROW()-3,$IM$4:$IM$40,0)))</f>
        <v/>
      </c>
      <c r="IO41">
        <f>IF(COUNTIF('Live Search'!BM$40:CD$40,0)+COUNTIF('Live Search'!CF$40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R41">
        <f>IF(ROW()-3&gt;MAX($IQ$4:$IQ$40),"",INDEX($CV$4:$CV$40,MATCH(ROW()-3,$IQ$4:$IQ$40,0)))</f>
        <v/>
      </c>
      <c r="IS41">
        <f>IF(COUNTIF('Live Search'!BM$40:CE$40,0)+COUNTIF('Live Search'!CG$40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V41">
        <f>IF(ROW()-3&gt;MAX($IU$4:$IU$40),"",INDEX($DA$4:$DA$40,MATCH(ROW()-3,$IU$4:$IU$40,0)))</f>
        <v/>
      </c>
      <c r="IW41">
        <f>IF(COUNTIF('Live Search'!BM$40:CF$40,0)+COUNTIF('Live Search'!CH$40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IZ41">
        <f>IF(ROW()-3&gt;MAX($IY$4:$IY$40),"",INDEX($DF$4:$DF$40,MATCH(ROW()-3,$IY$4:$IY$40,0)))</f>
        <v/>
      </c>
      <c r="JA41">
        <f>IF(COUNTIF('Live Search'!BM$40:CG$40,0)+COUNTIF('Live Search'!CI$40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D41">
        <f>IF(ROW()-3&gt;MAX($JC$4:$JC$40),"",INDEX($DK$4:$DK$40,MATCH(ROW()-3,$JC$4:$JC$40,0)))</f>
        <v/>
      </c>
      <c r="JE41">
        <f>IF(COUNTIF('Live Search'!BM$40:CH$40,0)+COUNTIF('Live Search'!CJ$40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H41">
        <f>IF(ROW()-3&gt;MAX($JG$4:$JG$40),"",INDEX($DP$4:$DP$40,MATCH(ROW()-3,$JG$4:$JG$40,0)))</f>
        <v/>
      </c>
      <c r="JI41">
        <f>IF(COUNTIF('Live Search'!BM$40:CI$40,0)+COUNTIF('Live Search'!CK$40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L41">
        <f>IF(ROW()-3&gt;MAX($JK$4:$JK$40),"",INDEX($DU$4:$DU$40,MATCH(ROW()-3,$JK$4:$JK$40,0)))</f>
        <v/>
      </c>
      <c r="JM41">
        <f>IF(COUNTIF('Live Search'!BM$40:CJ$40,0)+COUNTIF('Live Search'!CL$40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P41">
        <f>IF(ROW()-3&gt;MAX($JO$4:$JO$40),"",INDEX($DZ$4:$DZ$40,MATCH(ROW()-3,$JO$4:$JO$40,0)))</f>
        <v/>
      </c>
      <c r="JQ41">
        <f>IF(COUNTIF('Live Search'!BM$40:CK$40,0)+COUNTIF('Live Search'!C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T41">
        <f>IF(ROW()-3&gt;MAX($JS$4:$JS$40),"",INDEX($EE$4:$EE$40,MATCH(ROW()-3,$JS$4:$JS$40,0)))</f>
        <v/>
      </c>
      <c r="JU41">
        <f>IF(COUNTIF('Live Search'!BM$40:CL$40,0)+COUNTIF('Live Search'!CN$40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JX41">
        <f>IF(ROW()-3&gt;MAX($JW$4:$JW$40),"",INDEX($EJ$4:$EJ$40,MATCH(ROW()-3,$JW$4:$JW$40,0)))</f>
        <v/>
      </c>
      <c r="JY41">
        <f>IF(COUNTIF('Live Search'!BM$40:CM$40,0)+COUNTIF('Live Search'!CO$40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B41">
        <f>IF(ROW()-3&gt;MAX($KA$4:$KA$40),"",INDEX($EO$4:$EO$40,MATCH(ROW()-3,$KA$4:$KA$40,0)))</f>
        <v/>
      </c>
      <c r="KC41">
        <f>IF(COUNTIF('Live Search'!BM$40:CN$40,0)+COUNTIF('Live Search'!CP$40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F41">
        <f>IF(ROW()-3&gt;MAX($KE$4:$KE$40),"",INDEX($ET$4:$ET$40,MATCH(ROW()-3,$KE$4:$KE$40,0)))</f>
        <v/>
      </c>
      <c r="KG41">
        <f>IF(COUNTIF('Live Search'!BM$40:CO$40,0)+COUNTIF('Live Search'!CQ$40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J41">
        <f>IF(ROW()-3&gt;MAX($KI$4:$KI$40),"",INDEX($EY$4:$EY$40,MATCH(ROW()-3,$KI$4:$KI$40,0)))</f>
        <v/>
      </c>
      <c r="KK41">
        <f>IF(COUNTIF('Live Search'!BM$40:CP$40,0)+COUNTIF('Live Search'!CR$40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N41">
        <f>IF(ROW()-3&gt;MAX($KM$4:$KM$40),"",INDEX($FD$4:$FD$40,MATCH(ROW()-3,$KM$4:$KM$40,0)))</f>
        <v/>
      </c>
      <c r="KO41">
        <f>IF(COUNTIF('Live Search'!BM$40:CT$40,0)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R41">
        <f>IF(ROW()-3&gt;MAX($KQ$4:$KQ$40),"",INDEX($FX$4:$FX$40,MATCH(ROW()-3,$KQ$4:$KQ$40,0)))</f>
        <v/>
      </c>
      <c r="KS41">
        <f>IF(COUNTIF('Live Search'!BM$40:CQ$40,0)+COUNTIF('Live Search'!CS$40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V41">
        <f>IF(ROW()-3&gt;MAX($KU$4:$KU$40),"",INDEX($FI$4:$FI$40,MATCH(ROW()-3,$KU$4:$KU$40,0)))</f>
        <v/>
      </c>
      <c r="KW41">
        <f>IF(COUNTIF('Live Search'!BM$40:CR$40,0)+COUNTIF('Live Search'!CT$40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KZ41">
        <f>IF(ROW()-3&gt;MAX($KY$4:$KY$40),"",INDEX($FN$4:$FN$40,MATCH(ROW()-3,$KY$4:$KY$40,0)))</f>
        <v/>
      </c>
      <c r="LA41">
        <f>IF(COUNTIF('Live Search'!BM$40:CS$40,0)+COUNTIF('Live Search'!CU$40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LD41">
        <f>IF(ROW()-3&gt;MAX($LC$4:$LC$40),"",INDEX($FS$4:$FS$40,MATCH(ROW()-3,$LC$4:$LC$40,0)))</f>
        <v/>
      </c>
      <c r="LE41">
        <f>IF(COUNTIF('Buyer Groups'!DH94:EN94,0)&gt;0,0,1)</f>
        <v/>
      </c>
      <c r="LH41">
        <f>IF(ROW()-3&gt;MAX($LG$4:$LG$40),"",INDEX($O$4:$O$40,MATCH(ROW()-3,$LG$4:$LG$40,0)))</f>
        <v/>
      </c>
      <c r="LI41">
        <f>IF(COUNTIF('Buyer Groups'!DG94:DG94,0)+COUNTIF('Buyer Groups'!DI94:EN94,0)&gt;0,0,1)</f>
        <v/>
      </c>
      <c r="LL41">
        <f>IF(ROW()-3&gt;MAX($LK$4:$LK$40),"",INDEX($T$4:$T$40,MATCH(ROW()-3,$LK$4:$LK$40,0)))</f>
        <v/>
      </c>
      <c r="LM41">
        <f>IF(COUNTIF('Buyer Groups'!DG94:DH94,0)+COUNTIF('Buyer Groups'!DJ94:EN94,0)&gt;0,0,1)</f>
        <v/>
      </c>
      <c r="LP41">
        <f>IF(ROW()-3&gt;MAX($LO$4:$LO$40),"",INDEX($Y$4:$Y$40,MATCH(ROW()-3,$LO$4:$LO$40,0)))</f>
        <v/>
      </c>
      <c r="LQ41">
        <f>IF(COUNTIF('Buyer Groups'!DG94:DI94,0)+COUNTIF('Buyer Groups'!DK94:EN94,0)&gt;0,0,1)</f>
        <v/>
      </c>
      <c r="LT41">
        <f>IF(ROW()-3&gt;MAX($LS$4:$LS$40),"",INDEX($AD$4:$AD$40,MATCH(ROW()-3,$LS$4:$LS$40,0)))</f>
        <v/>
      </c>
      <c r="LU41">
        <f>IF(COUNTIF('Buyer Groups'!DG94:DJ94,0)+COUNTIF('Buyer Groups'!DL94:EN94,0)&gt;0,0,1)</f>
        <v/>
      </c>
      <c r="LX41">
        <f>IF(ROW()-3&gt;MAX($LW$4:$LW$40),"",INDEX($AI$4:$AI$40,MATCH(ROW()-3,$LW$4:$LW$40,0)))</f>
        <v/>
      </c>
      <c r="LY41">
        <f>IF(COUNTIF('Buyer Groups'!DG94:DK94,0)+COUNTIF('Buyer Groups'!DM94:EN94,0)&gt;0,0,1)</f>
        <v/>
      </c>
      <c r="MB41">
        <f>IF(ROW()-3&gt;MAX($MA$4:$MA$40),"",INDEX($AN$4:$AN$40,MATCH(ROW()-3,$MA$4:$MA$40,0)))</f>
        <v/>
      </c>
      <c r="MC41">
        <f>IF(COUNTIF('Buyer Groups'!DG94:DL94,0)+COUNTIF('Buyer Groups'!DN94:EN94,0)&gt;0,0,1)</f>
        <v/>
      </c>
      <c r="MF41">
        <f>IF(ROW()-3&gt;MAX($ME$4:$ME$40),"",INDEX($AS$4:$AS$40,MATCH(ROW()-3,$ME$4:$ME$40,0)))</f>
        <v/>
      </c>
      <c r="MG41">
        <f>IF(COUNTIF('Buyer Groups'!DG94:DM94,0)+COUNTIF('Buyer Groups'!DO94:EN94,0)&gt;0,0,1)</f>
        <v/>
      </c>
      <c r="MJ41">
        <f>IF(ROW()-3&gt;MAX($MI$4:$MI$40),"",INDEX($AX$4:$AX$40,MATCH(ROW()-3,$MI$4:$MI$40,0)))</f>
        <v/>
      </c>
      <c r="MK41">
        <f>IF(COUNTIF('Buyer Groups'!DG94:DN94,0)+COUNTIF('Buyer Groups'!DP94:EN94,0)&gt;0,0,1)</f>
        <v/>
      </c>
      <c r="MN41">
        <f>IF(ROW()-3&gt;MAX($MM$4:$MM$40),"",INDEX($BC$4:$BC$40,MATCH(ROW()-3,$MM$4:$MM$40,0)))</f>
        <v/>
      </c>
      <c r="MO41">
        <f>IF(COUNTIF('Buyer Groups'!DG94:DO94,0)+COUNTIF('Buyer Groups'!DQ94:EN94,0)&gt;0,0,1)</f>
        <v/>
      </c>
      <c r="MR41">
        <f>IF(ROW()-3&gt;MAX($MQ$4:$MQ$40),"",INDEX($BH$4:$BH$40,MATCH(ROW()-3,$MQ$4:$MQ$40,0)))</f>
        <v/>
      </c>
      <c r="MS41">
        <f>IF(COUNTIF('Buyer Groups'!DG94:DP94,0)+COUNTIF('Buyer Groups'!DR94:EN94,0)&gt;0,0,1)</f>
        <v/>
      </c>
      <c r="MV41">
        <f>IF(ROW()-3&gt;MAX($MU$4:$MU$40),"",INDEX($BM$4:$BM$40,MATCH(ROW()-3,$MU$4:$MU$40,0)))</f>
        <v/>
      </c>
      <c r="MW41">
        <f>IF(COUNTIF('Buyer Groups'!DG94:DQ94,0)+COUNTIF('Buyer Groups'!DS94:EN94,0)&gt;0,0,1)</f>
        <v/>
      </c>
      <c r="MZ41">
        <f>IF(ROW()-3&gt;MAX($MY$4:$MY$40),"",INDEX($BR$4:$BR$40,MATCH(ROW()-3,$MY$4:$MY$40,0)))</f>
        <v/>
      </c>
      <c r="NA41">
        <f>IF(COUNTIF('Buyer Groups'!DG94:DR94,0)+COUNTIF('Buyer Groups'!DT94:EN94,0)&gt;0,0,1)</f>
        <v/>
      </c>
      <c r="ND41">
        <f>IF(ROW()-3&gt;MAX($NC$4:$NC$40),"",INDEX($BW$4:$BW$40,MATCH(ROW()-3,$NC$4:$NC$40,0)))</f>
        <v/>
      </c>
      <c r="NE41">
        <f>IF(COUNTIF('Buyer Groups'!DG94:DS94,0)+COUNTIF('Buyer Groups'!DU94:EN94,0)&gt;0,0,1)</f>
        <v/>
      </c>
      <c r="NH41">
        <f>IF(ROW()-3&gt;MAX($NG$4:$NG$40),"",INDEX($CB$4:$CB$40,MATCH(ROW()-3,$NG$4:$NG$40,0)))</f>
        <v/>
      </c>
      <c r="NI41">
        <f>IF(COUNTIF('Buyer Groups'!DG94:DT94,0)+COUNTIF('Buyer Groups'!DV94:EN94,0)&gt;0,0,1)</f>
        <v/>
      </c>
      <c r="NL41">
        <f>IF(ROW()-3&gt;MAX($NK$4:$NK$40),"",INDEX($CG$4:$CG$40,MATCH(ROW()-3,$NK$4:$NK$40,0)))</f>
        <v/>
      </c>
      <c r="NM41">
        <f>IF(COUNTIF('Buyer Groups'!DG94:DU94,0)+COUNTIF('Buyer Groups'!DW94:EN94,0)&gt;0,0,1)</f>
        <v/>
      </c>
      <c r="NP41">
        <f>IF(ROW()-3&gt;MAX($NO$4:$NO$40),"",INDEX($CL$4:$CL$40,MATCH(ROW()-3,$NO$4:$NO$40,0)))</f>
        <v/>
      </c>
      <c r="NQ41">
        <f>IF(COUNTIF('Buyer Groups'!DG94:DV94,0)+COUNTIF('Buyer Groups'!DX94:EN94,0)&gt;0,0,1)</f>
        <v/>
      </c>
      <c r="NT41">
        <f>IF(ROW()-3&gt;MAX($NS$4:$NS$40),"",INDEX($CQ$4:$CQ$40,MATCH(ROW()-3,$NS$4:$NS$40,0)))</f>
        <v/>
      </c>
      <c r="NU41">
        <f>IF(COUNTIF('Buyer Groups'!DG94:DW94,0)+COUNTIF('Buyer Groups'!DY94:EN94,0)&gt;0,0,1)</f>
        <v/>
      </c>
      <c r="NX41">
        <f>IF(ROW()-3&gt;MAX($NW$4:$NW$40),"",INDEX($CV$4:$CV$40,MATCH(ROW()-3,$NW$4:$NW$40,0)))</f>
        <v/>
      </c>
      <c r="NY41">
        <f>IF(COUNTIF('Buyer Groups'!DG94:DX94,0)+COUNTIF('Buyer Groups'!DZ94:EN94,0)&gt;0,0,1)</f>
        <v/>
      </c>
      <c r="OB41">
        <f>IF(ROW()-3&gt;MAX($OA$4:$OA$40),"",INDEX($DA$4:$DA$40,MATCH(ROW()-3,$OA$4:$OA$40,0)))</f>
        <v/>
      </c>
      <c r="OC41">
        <f>IF(COUNTIF('Buyer Groups'!DG94:DY94,0)+COUNTIF('Buyer Groups'!EA94:EN94,0)&gt;0,0,1)</f>
        <v/>
      </c>
      <c r="OF41">
        <f>IF(ROW()-3&gt;MAX($OE$4:$OE$40),"",INDEX($DF$4:$DF$40,MATCH(ROW()-3,$OE$4:$OE$40,0)))</f>
        <v/>
      </c>
      <c r="OG41">
        <f>IF(COUNTIF('Buyer Groups'!DG94:DZ94,0)+COUNTIF('Buyer Groups'!EB94:EN94,0)&gt;0,0,1)</f>
        <v/>
      </c>
      <c r="OJ41">
        <f>IF(ROW()-3&gt;MAX($OI$4:$OI$40),"",INDEX($DK$4:$DK$40,MATCH(ROW()-3,$OI$4:$OI$40,0)))</f>
        <v/>
      </c>
      <c r="OK41">
        <f>IF(COUNTIF('Buyer Groups'!DG94:EA94,0)+COUNTIF('Buyer Groups'!EC94:EN94,0)&gt;0,0,1)</f>
        <v/>
      </c>
      <c r="ON41">
        <f>IF(ROW()-3&gt;MAX($OM$4:$OM$40),"",INDEX($DP$4:$DP$40,MATCH(ROW()-3,$OM$4:$OM$40,0)))</f>
        <v/>
      </c>
      <c r="OO41">
        <f>IF(COUNTIF('Buyer Groups'!DG94:EB94,0)+COUNTIF('Buyer Groups'!ED94:EN94,0)&gt;0,0,1)</f>
        <v/>
      </c>
      <c r="OR41">
        <f>IF(ROW()-3&gt;MAX($OQ$4:$OQ$40),"",INDEX($DU$4:$DU$40,MATCH(ROW()-3,$OQ$4:$OQ$40,0)))</f>
        <v/>
      </c>
      <c r="OS41">
        <f>IF(COUNTIF('Buyer Groups'!DG94:EC94,0)+COUNTIF('Buyer Groups'!EE94:EN94,0)&gt;0,0,1)</f>
        <v/>
      </c>
      <c r="OV41">
        <f>IF(ROW()-3&gt;MAX($OU$4:$OU$40),"",INDEX($DZ$4:$DZ$40,MATCH(ROW()-3,$OU$4:$OU$40,0)))</f>
        <v/>
      </c>
      <c r="OW41">
        <f>IF(COUNTIF('Buyer Groups'!DG94:ED94,0)+COUNTIF('Buyer Groups'!EF94:EN94,0)&gt;0,0,1)</f>
        <v/>
      </c>
      <c r="OZ41">
        <f>IF(ROW()-3&gt;MAX($OY$4:$OY$40),"",INDEX($EE$4:$EE$40,MATCH(ROW()-3,$OY$4:$OY$40,0)))</f>
        <v/>
      </c>
      <c r="PA41">
        <f>IF(COUNTIF('Buyer Groups'!DG94:EE94,0)+COUNTIF('Buyer Groups'!EG94:EN94,0)&gt;0,0,1)</f>
        <v/>
      </c>
      <c r="PD41">
        <f>IF(ROW()-3&gt;MAX($PC$4:$PC$40),"",INDEX($EJ$4:$EJ$40,MATCH(ROW()-3,$PC$4:$PC$40,0)))</f>
        <v/>
      </c>
      <c r="PE41">
        <f>IF(COUNTIF('Buyer Groups'!DG94:EF94,0)+COUNTIF('Buyer Groups'!EH94:EN94,0)&gt;0,0,1)</f>
        <v/>
      </c>
      <c r="PH41">
        <f>IF(ROW()-3&gt;MAX($PG$4:$PG$40),"",INDEX($EO$4:$EO$40,MATCH(ROW()-3,$PG$4:$PG$40,0)))</f>
        <v/>
      </c>
      <c r="PI41">
        <f>IF(COUNTIF('Buyer Groups'!DG94:EG94,0)+COUNTIF('Buyer Groups'!EI94:EN94,0)&gt;0,0,1)</f>
        <v/>
      </c>
      <c r="PL41">
        <f>IF(ROW()-3&gt;MAX($PK$4:$PK$40),"",INDEX($ET$4:$ET$40,MATCH(ROW()-3,$PK$4:$PK$40,0)))</f>
        <v/>
      </c>
      <c r="PM41">
        <f>IF(COUNTIF('Buyer Groups'!DG94:EH94,0)+COUNTIF('Buyer Groups'!EJ94:EN94,0)&gt;0,0,1)</f>
        <v/>
      </c>
      <c r="PP41">
        <f>IF(ROW()-3&gt;MAX($PO$4:$PO$40),"",INDEX($EY$4:$EY$40,MATCH(ROW()-3,$PO$4:$PO$40,0)))</f>
        <v/>
      </c>
      <c r="PQ41">
        <f>IF(COUNTIF('Buyer Groups'!DG94:EI94,0)+COUNTIF('Buyer Groups'!EK94:EN94,0)&gt;0,0,1)</f>
        <v/>
      </c>
      <c r="PT41">
        <f>IF(ROW()-3&gt;MAX($PS$4:$PS$40),"",INDEX($FD$4:$FD$40,MATCH(ROW()-3,$PS$4:$PS$40,0)))</f>
        <v/>
      </c>
      <c r="PU41">
        <f>IF(COUNTIF('Buyer Groups'!DG94:EJ94,0)+COUNTIF('Buyer Groups'!EL94:EN94,0)&gt;0,0,1)</f>
        <v/>
      </c>
      <c r="PX41">
        <f>IF(ROW()-3&gt;MAX($PW$4:$PW$40),"",INDEX($FX$4:$FX$40,MATCH(ROW()-3,$PW$4:$PW$40,0)))</f>
        <v/>
      </c>
      <c r="PY41">
        <f>IF(COUNTIF('Buyer Groups'!DG94:EK94,0)+COUNTIF('Buyer Groups'!EM94:EN94,0)&gt;0,0,1)</f>
        <v/>
      </c>
      <c r="QB41">
        <f>IF(ROW()-3&gt;MAX($QA$4:$QA$40),"",INDEX($FI$4:$FI$40,MATCH(ROW()-3,$QA$4:$QA$40,0)))</f>
        <v/>
      </c>
      <c r="QC41">
        <f>IF(COUNTIF('Buyer Groups'!DG94:EL94,0)+COUNTIF('Buyer Groups'!EN94:EN94,0)&gt;0,0,1)</f>
        <v/>
      </c>
      <c r="QF41">
        <f>IF(ROW()-3&gt;MAX($QE$4:$QE$40),"",INDEX($FN$4:$FN$40,MATCH(ROW()-3,$QE$4:$QE$40,0)))</f>
        <v/>
      </c>
      <c r="QG41">
        <f>IF(COUNTIF('Buyer Groups'!DG94:EM94,0)&gt;0,0,1)</f>
        <v/>
      </c>
      <c r="QJ41">
        <f>IF(ROW()-3&gt;MAX($QI$4:$QI$40),"",INDEX($FS$4:$FS$40,MATCH(ROW()-3,$QI$4:$QI$40,0)))</f>
        <v/>
      </c>
    </row>
    <row r="42">
      <c r="A42">
        <f>IF(IFERROR('Final Calculation Sheet'!$G$5,"")="","",'Final Calculation Sheet'!$G$5)</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c r="FY42">
        <f>IF(COUNTIF('Live Search'!BM$41:BO$41,0)+COUNTIF('Live Search'!BQ$41:CU$41,0)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GB42">
        <f>IF(ROW()-3&gt;MAX($GA$4:$GA$40),"",INDEX($Y$4:$Y$40,MATCH(ROW()-3,$GA$4:$GA$40,0)))</f>
        <v/>
      </c>
      <c r="GC42">
        <f>IF(COUNTIF('Live Search'!BM$41:BM$41,0)+COUNTIF('Live Search'!BO$41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F42">
        <f>IF(ROW()-3&gt;MAX($GE$4:$GE$40),"",INDEX($O$4:$O$40,MATCH(ROW()-3,$GE$4:$GE$40,0)))</f>
        <v/>
      </c>
      <c r="GG42">
        <f>IF(COUNTIF('Live Search'!BM$41:BN$41,0)+COUNTIF('Live Search'!BP$41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J42">
        <f>IF(ROW()-3&gt;MAX($GI$4:$GI$40),"",INDEX($T$4:$T$40,MATCH(ROW()-3,$GI$4:$GI$40,0)))</f>
        <v/>
      </c>
      <c r="GK42">
        <f>IF(COUNTIF('Live Search'!BM$41:BP$41,0)+COUNTIF('Live Search'!BR$41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N42">
        <f>IF(ROW()-3&gt;MAX($GM$4:$GM$40),"",INDEX($AD$4:$AD$40,MATCH(ROW()-3,$GM$4:$GM$40,0)))</f>
        <v/>
      </c>
      <c r="GO42">
        <f>IF(COUNTIF('Live Search'!BM$41:BQ$41,0)+COUNTIF('Live Search'!BS$41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R42">
        <f>IF(ROW()-3&gt;MAX($GQ$4:$GQ$40),"",INDEX($AI$4:$AI$40,MATCH(ROW()-3,$GQ$4:$GQ$40,0)))</f>
        <v/>
      </c>
      <c r="GS42">
        <f>IF(COUNTIF('Live Search'!BM$41:BR$41,0)+COUNTIF('Live Search'!BT$41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V42">
        <f>IF(ROW()-3&gt;MAX($GU$4:$GU$40),"",INDEX($AN$4:$AN$40,MATCH(ROW()-3,$GU$4:$GU$40,0)))</f>
        <v/>
      </c>
      <c r="GW42">
        <f>IF(COUNTIF('Live Search'!BM$41:BS$41,0)+COUNTIF('Live Search'!BU$41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GZ42">
        <f>IF(ROW()-3&gt;MAX($GY$4:$GY$40),"",INDEX($AS$4:$AS$40,MATCH(ROW()-3,$GY$4:$GY$40,0)))</f>
        <v/>
      </c>
      <c r="HA42">
        <f>IF(COUNTIF('Live Search'!BM$41:BT$41,0)+COUNTIF('Live Search'!BV$41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D42">
        <f>IF(ROW()-3&gt;MAX($HC$4:$HC$40),"",INDEX($AX$4:$AX$40,MATCH(ROW()-3,$HC$4:$HC$40,0)))</f>
        <v/>
      </c>
      <c r="HE42">
        <f>IF(COUNTIF('Live Search'!BM$41:BU$41,0)+COUNTIF('Live Search'!BW$41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H42">
        <f>IF(ROW()-3&gt;MAX($HG$4:$HG$40),"",INDEX($BC$4:$BC$40,MATCH(ROW()-3,$HG$4:$HG$40,0)))</f>
        <v/>
      </c>
      <c r="HI42">
        <f>IF(COUNTIF('Live Search'!BM$41:BV$41,0)+COUNTIF('Live Search'!BX$41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L42">
        <f>IF(ROW()-3&gt;MAX($HK$4:$HK$40),"",INDEX($BH$4:$BH$40,MATCH(ROW()-3,$HK$4:$HK$40,0)))</f>
        <v/>
      </c>
      <c r="HM42">
        <f>IF(COUNTIF('Live Search'!BM$41:BW$41,0)+COUNTIF('Live Search'!BY$41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P42">
        <f>IF(ROW()-3&gt;MAX($HO$4:$HO$40),"",INDEX($BM$4:$BM$40,MATCH(ROW()-3,$HO$4:$HO$40,0)))</f>
        <v/>
      </c>
      <c r="HQ42">
        <f>IF(COUNTIF('Live Search'!BM$41:BX$41,0)+COUNTIF('Live Search'!BZ$41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T42">
        <f>IF(ROW()-3&gt;MAX($HS$4:$HS$40),"",INDEX($BR$4:$BR$40,MATCH(ROW()-3,$HS$4:$HS$40,0)))</f>
        <v/>
      </c>
      <c r="HU42">
        <f>IF(COUNTIF('Live Search'!BM$41:BY$41,0)+COUNTIF('Live Search'!CA$41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HX42">
        <f>IF(ROW()-3&gt;MAX($HW$4:$HW$40),"",INDEX($BW$4:$BW$40,MATCH(ROW()-3,$HW$4:$HW$40,0)))</f>
        <v/>
      </c>
      <c r="HY42">
        <f>IF(COUNTIF('Live Search'!BM$41:BZ$41,0)+COUNTIF('Live Search'!CB$41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B42">
        <f>IF(ROW()-3&gt;MAX($IA$4:$IA$40),"",INDEX($CB$4:$CB$40,MATCH(ROW()-3,$IA$4:$IA$40,0)))</f>
        <v/>
      </c>
      <c r="IC42">
        <f>IF(COUNTIF('Live Search'!BM$41:CA$41,0)+COUNTIF('Live Search'!CC$41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F42">
        <f>IF(ROW()-3&gt;MAX($IE$4:$IE$40),"",INDEX($CG$4:$CG$40,MATCH(ROW()-3,$IE$4:$IE$40,0)))</f>
        <v/>
      </c>
      <c r="IG42">
        <f>IF(COUNTIF('Live Search'!BM$41:CB$41,0)+COUNTIF('Live Search'!CD$41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J42">
        <f>IF(ROW()-3&gt;MAX($II$4:$II$40),"",INDEX($CL$4:$CL$40,MATCH(ROW()-3,$II$4:$II$40,0)))</f>
        <v/>
      </c>
      <c r="IK42">
        <f>IF(COUNTIF('Live Search'!BM$41:CC$41,0)+COUNTIF('Live Search'!CE$41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N42">
        <f>IF(ROW()-3&gt;MAX($IM$4:$IM$40),"",INDEX($CQ$4:$CQ$40,MATCH(ROW()-3,$IM$4:$IM$40,0)))</f>
        <v/>
      </c>
      <c r="IO42">
        <f>IF(COUNTIF('Live Search'!BM$41:CD$41,0)+COUNTIF('Live Search'!CF$41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R42">
        <f>IF(ROW()-3&gt;MAX($IQ$4:$IQ$40),"",INDEX($CV$4:$CV$40,MATCH(ROW()-3,$IQ$4:$IQ$40,0)))</f>
        <v/>
      </c>
      <c r="IS42">
        <f>IF(COUNTIF('Live Search'!BM$41:CE$41,0)+COUNTIF('Live Search'!CG$41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V42">
        <f>IF(ROW()-3&gt;MAX($IU$4:$IU$40),"",INDEX($DA$4:$DA$40,MATCH(ROW()-3,$IU$4:$IU$40,0)))</f>
        <v/>
      </c>
      <c r="IW42">
        <f>IF(COUNTIF('Live Search'!BM$41:CF$41,0)+COUNTIF('Live Search'!CH$41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IZ42">
        <f>IF(ROW()-3&gt;MAX($IY$4:$IY$40),"",INDEX($DF$4:$DF$40,MATCH(ROW()-3,$IY$4:$IY$40,0)))</f>
        <v/>
      </c>
      <c r="JA42">
        <f>IF(COUNTIF('Live Search'!BM$41:CG$41,0)+COUNTIF('Live Search'!CI$41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D42">
        <f>IF(ROW()-3&gt;MAX($JC$4:$JC$40),"",INDEX($DK$4:$DK$40,MATCH(ROW()-3,$JC$4:$JC$40,0)))</f>
        <v/>
      </c>
      <c r="JE42">
        <f>IF(COUNTIF('Live Search'!BM$41:CH$41,0)+COUNTIF('Live Search'!CJ$41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H42">
        <f>IF(ROW()-3&gt;MAX($JG$4:$JG$40),"",INDEX($DP$4:$DP$40,MATCH(ROW()-3,$JG$4:$JG$40,0)))</f>
        <v/>
      </c>
      <c r="JI42">
        <f>IF(COUNTIF('Live Search'!BM$41:CI$41,0)+COUNTIF('Live Search'!CK$41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L42">
        <f>IF(ROW()-3&gt;MAX($JK$4:$JK$40),"",INDEX($DU$4:$DU$40,MATCH(ROW()-3,$JK$4:$JK$40,0)))</f>
        <v/>
      </c>
      <c r="JM42">
        <f>IF(COUNTIF('Live Search'!BM$41:CJ$41,0)+COUNTIF('Live Search'!CL$41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P42">
        <f>IF(ROW()-3&gt;MAX($JO$4:$JO$40),"",INDEX($DZ$4:$DZ$40,MATCH(ROW()-3,$JO$4:$JO$40,0)))</f>
        <v/>
      </c>
      <c r="JQ42">
        <f>IF(COUNTIF('Live Search'!BM$41:CK$41,0)+COUNTIF('Live Search'!C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T42">
        <f>IF(ROW()-3&gt;MAX($JS$4:$JS$40),"",INDEX($EE$4:$EE$40,MATCH(ROW()-3,$JS$4:$JS$40,0)))</f>
        <v/>
      </c>
      <c r="JU42">
        <f>IF(COUNTIF('Live Search'!BM$41:CL$41,0)+COUNTIF('Live Search'!CN$41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JX42">
        <f>IF(ROW()-3&gt;MAX($JW$4:$JW$40),"",INDEX($EJ$4:$EJ$40,MATCH(ROW()-3,$JW$4:$JW$40,0)))</f>
        <v/>
      </c>
      <c r="JY42">
        <f>IF(COUNTIF('Live Search'!BM$41:CM$41,0)+COUNTIF('Live Search'!CO$41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B42">
        <f>IF(ROW()-3&gt;MAX($KA$4:$KA$40),"",INDEX($EO$4:$EO$40,MATCH(ROW()-3,$KA$4:$KA$40,0)))</f>
        <v/>
      </c>
      <c r="KC42">
        <f>IF(COUNTIF('Live Search'!BM$41:CN$41,0)+COUNTIF('Live Search'!CP$41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F42">
        <f>IF(ROW()-3&gt;MAX($KE$4:$KE$40),"",INDEX($ET$4:$ET$40,MATCH(ROW()-3,$KE$4:$KE$40,0)))</f>
        <v/>
      </c>
      <c r="KG42">
        <f>IF(COUNTIF('Live Search'!BM$41:CO$41,0)+COUNTIF('Live Search'!CQ$41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J42">
        <f>IF(ROW()-3&gt;MAX($KI$4:$KI$40),"",INDEX($EY$4:$EY$40,MATCH(ROW()-3,$KI$4:$KI$40,0)))</f>
        <v/>
      </c>
      <c r="KK42">
        <f>IF(COUNTIF('Live Search'!BM$41:CP$41,0)+COUNTIF('Live Search'!CR$41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N42">
        <f>IF(ROW()-3&gt;MAX($KM$4:$KM$40),"",INDEX($FD$4:$FD$40,MATCH(ROW()-3,$KM$4:$KM$40,0)))</f>
        <v/>
      </c>
      <c r="KO42">
        <f>IF(COUNTIF('Live Search'!BM$41:CT$41,0)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R42">
        <f>IF(ROW()-3&gt;MAX($KQ$4:$KQ$40),"",INDEX($FX$4:$FX$40,MATCH(ROW()-3,$KQ$4:$KQ$40,0)))</f>
        <v/>
      </c>
      <c r="KS42">
        <f>IF(COUNTIF('Live Search'!BM$41:CQ$41,0)+COUNTIF('Live Search'!CS$41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V42">
        <f>IF(ROW()-3&gt;MAX($KU$4:$KU$40),"",INDEX($FI$4:$FI$40,MATCH(ROW()-3,$KU$4:$KU$40,0)))</f>
        <v/>
      </c>
      <c r="KW42">
        <f>IF(COUNTIF('Live Search'!BM$41:CR$41,0)+COUNTIF('Live Search'!CT$41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KZ42">
        <f>IF(ROW()-3&gt;MAX($KY$4:$KY$40),"",INDEX($FN$4:$FN$40,MATCH(ROW()-3,$KY$4:$KY$40,0)))</f>
        <v/>
      </c>
      <c r="LA42">
        <f>IF(COUNTIF('Live Search'!BM$41:CS$41,0)+COUNTIF('Live Search'!CU$41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LD42">
        <f>IF(ROW()-3&gt;MAX($LC$4:$LC$40),"",INDEX($FS$4:$FS$40,MATCH(ROW()-3,$LC$4:$LC$40,0)))</f>
        <v/>
      </c>
      <c r="LE42">
        <f>IF(COUNTIF('Buyer Groups'!DH95:EN95,0)&gt;0,0,1)</f>
        <v/>
      </c>
      <c r="LH42">
        <f>IF(ROW()-3&gt;MAX($LG$4:$LG$40),"",INDEX($O$4:$O$40,MATCH(ROW()-3,$LG$4:$LG$40,0)))</f>
        <v/>
      </c>
      <c r="LI42">
        <f>IF(COUNTIF('Buyer Groups'!DG95:DG95,0)+COUNTIF('Buyer Groups'!DI95:EN95,0)&gt;0,0,1)</f>
        <v/>
      </c>
      <c r="LL42">
        <f>IF(ROW()-3&gt;MAX($LK$4:$LK$40),"",INDEX($T$4:$T$40,MATCH(ROW()-3,$LK$4:$LK$40,0)))</f>
        <v/>
      </c>
      <c r="LM42">
        <f>IF(COUNTIF('Buyer Groups'!DG95:DH95,0)+COUNTIF('Buyer Groups'!DJ95:EN95,0)&gt;0,0,1)</f>
        <v/>
      </c>
      <c r="LP42">
        <f>IF(ROW()-3&gt;MAX($LO$4:$LO$40),"",INDEX($Y$4:$Y$40,MATCH(ROW()-3,$LO$4:$LO$40,0)))</f>
        <v/>
      </c>
      <c r="LQ42">
        <f>IF(COUNTIF('Buyer Groups'!DG95:DI95,0)+COUNTIF('Buyer Groups'!DK95:EN95,0)&gt;0,0,1)</f>
        <v/>
      </c>
      <c r="LT42">
        <f>IF(ROW()-3&gt;MAX($LS$4:$LS$40),"",INDEX($AD$4:$AD$40,MATCH(ROW()-3,$LS$4:$LS$40,0)))</f>
        <v/>
      </c>
      <c r="LU42">
        <f>IF(COUNTIF('Buyer Groups'!DG95:DJ95,0)+COUNTIF('Buyer Groups'!DL95:EN95,0)&gt;0,0,1)</f>
        <v/>
      </c>
      <c r="LX42">
        <f>IF(ROW()-3&gt;MAX($LW$4:$LW$40),"",INDEX($AI$4:$AI$40,MATCH(ROW()-3,$LW$4:$LW$40,0)))</f>
        <v/>
      </c>
      <c r="LY42">
        <f>IF(COUNTIF('Buyer Groups'!DG95:DK95,0)+COUNTIF('Buyer Groups'!DM95:EN95,0)&gt;0,0,1)</f>
        <v/>
      </c>
      <c r="MB42">
        <f>IF(ROW()-3&gt;MAX($MA$4:$MA$40),"",INDEX($AN$4:$AN$40,MATCH(ROW()-3,$MA$4:$MA$40,0)))</f>
        <v/>
      </c>
      <c r="MC42">
        <f>IF(COUNTIF('Buyer Groups'!DG95:DL95,0)+COUNTIF('Buyer Groups'!DN95:EN95,0)&gt;0,0,1)</f>
        <v/>
      </c>
      <c r="MF42">
        <f>IF(ROW()-3&gt;MAX($ME$4:$ME$40),"",INDEX($AS$4:$AS$40,MATCH(ROW()-3,$ME$4:$ME$40,0)))</f>
        <v/>
      </c>
      <c r="MG42">
        <f>IF(COUNTIF('Buyer Groups'!DG95:DM95,0)+COUNTIF('Buyer Groups'!DO95:EN95,0)&gt;0,0,1)</f>
        <v/>
      </c>
      <c r="MJ42">
        <f>IF(ROW()-3&gt;MAX($MI$4:$MI$40),"",INDEX($AX$4:$AX$40,MATCH(ROW()-3,$MI$4:$MI$40,0)))</f>
        <v/>
      </c>
      <c r="MK42">
        <f>IF(COUNTIF('Buyer Groups'!DG95:DN95,0)+COUNTIF('Buyer Groups'!DP95:EN95,0)&gt;0,0,1)</f>
        <v/>
      </c>
      <c r="MN42">
        <f>IF(ROW()-3&gt;MAX($MM$4:$MM$40),"",INDEX($BC$4:$BC$40,MATCH(ROW()-3,$MM$4:$MM$40,0)))</f>
        <v/>
      </c>
      <c r="MO42">
        <f>IF(COUNTIF('Buyer Groups'!DG95:DO95,0)+COUNTIF('Buyer Groups'!DQ95:EN95,0)&gt;0,0,1)</f>
        <v/>
      </c>
      <c r="MR42">
        <f>IF(ROW()-3&gt;MAX($MQ$4:$MQ$40),"",INDEX($BH$4:$BH$40,MATCH(ROW()-3,$MQ$4:$MQ$40,0)))</f>
        <v/>
      </c>
      <c r="MS42">
        <f>IF(COUNTIF('Buyer Groups'!DG95:DP95,0)+COUNTIF('Buyer Groups'!DR95:EN95,0)&gt;0,0,1)</f>
        <v/>
      </c>
      <c r="MV42">
        <f>IF(ROW()-3&gt;MAX($MU$4:$MU$40),"",INDEX($BM$4:$BM$40,MATCH(ROW()-3,$MU$4:$MU$40,0)))</f>
        <v/>
      </c>
      <c r="MW42">
        <f>IF(COUNTIF('Buyer Groups'!DG95:DQ95,0)+COUNTIF('Buyer Groups'!DS95:EN95,0)&gt;0,0,1)</f>
        <v/>
      </c>
      <c r="MZ42">
        <f>IF(ROW()-3&gt;MAX($MY$4:$MY$40),"",INDEX($BR$4:$BR$40,MATCH(ROW()-3,$MY$4:$MY$40,0)))</f>
        <v/>
      </c>
      <c r="NA42">
        <f>IF(COUNTIF('Buyer Groups'!DG95:DR95,0)+COUNTIF('Buyer Groups'!DT95:EN95,0)&gt;0,0,1)</f>
        <v/>
      </c>
      <c r="ND42">
        <f>IF(ROW()-3&gt;MAX($NC$4:$NC$40),"",INDEX($BW$4:$BW$40,MATCH(ROW()-3,$NC$4:$NC$40,0)))</f>
        <v/>
      </c>
      <c r="NE42">
        <f>IF(COUNTIF('Buyer Groups'!DG95:DS95,0)+COUNTIF('Buyer Groups'!DU95:EN95,0)&gt;0,0,1)</f>
        <v/>
      </c>
      <c r="NH42">
        <f>IF(ROW()-3&gt;MAX($NG$4:$NG$40),"",INDEX($CB$4:$CB$40,MATCH(ROW()-3,$NG$4:$NG$40,0)))</f>
        <v/>
      </c>
      <c r="NI42">
        <f>IF(COUNTIF('Buyer Groups'!DG95:DT95,0)+COUNTIF('Buyer Groups'!DV95:EN95,0)&gt;0,0,1)</f>
        <v/>
      </c>
      <c r="NL42">
        <f>IF(ROW()-3&gt;MAX($NK$4:$NK$40),"",INDEX($CG$4:$CG$40,MATCH(ROW()-3,$NK$4:$NK$40,0)))</f>
        <v/>
      </c>
      <c r="NM42">
        <f>IF(COUNTIF('Buyer Groups'!DG95:DU95,0)+COUNTIF('Buyer Groups'!DW95:EN95,0)&gt;0,0,1)</f>
        <v/>
      </c>
      <c r="NP42">
        <f>IF(ROW()-3&gt;MAX($NO$4:$NO$40),"",INDEX($CL$4:$CL$40,MATCH(ROW()-3,$NO$4:$NO$40,0)))</f>
        <v/>
      </c>
      <c r="NQ42">
        <f>IF(COUNTIF('Buyer Groups'!DG95:DV95,0)+COUNTIF('Buyer Groups'!DX95:EN95,0)&gt;0,0,1)</f>
        <v/>
      </c>
      <c r="NT42">
        <f>IF(ROW()-3&gt;MAX($NS$4:$NS$40),"",INDEX($CQ$4:$CQ$40,MATCH(ROW()-3,$NS$4:$NS$40,0)))</f>
        <v/>
      </c>
      <c r="NU42">
        <f>IF(COUNTIF('Buyer Groups'!DG95:DW95,0)+COUNTIF('Buyer Groups'!DY95:EN95,0)&gt;0,0,1)</f>
        <v/>
      </c>
      <c r="NX42">
        <f>IF(ROW()-3&gt;MAX($NW$4:$NW$40),"",INDEX($CV$4:$CV$40,MATCH(ROW()-3,$NW$4:$NW$40,0)))</f>
        <v/>
      </c>
      <c r="NY42">
        <f>IF(COUNTIF('Buyer Groups'!DG95:DX95,0)+COUNTIF('Buyer Groups'!DZ95:EN95,0)&gt;0,0,1)</f>
        <v/>
      </c>
      <c r="OB42">
        <f>IF(ROW()-3&gt;MAX($OA$4:$OA$40),"",INDEX($DA$4:$DA$40,MATCH(ROW()-3,$OA$4:$OA$40,0)))</f>
        <v/>
      </c>
      <c r="OC42">
        <f>IF(COUNTIF('Buyer Groups'!DG95:DY95,0)+COUNTIF('Buyer Groups'!EA95:EN95,0)&gt;0,0,1)</f>
        <v/>
      </c>
      <c r="OF42">
        <f>IF(ROW()-3&gt;MAX($OE$4:$OE$40),"",INDEX($DF$4:$DF$40,MATCH(ROW()-3,$OE$4:$OE$40,0)))</f>
        <v/>
      </c>
      <c r="OG42">
        <f>IF(COUNTIF('Buyer Groups'!DG95:DZ95,0)+COUNTIF('Buyer Groups'!EB95:EN95,0)&gt;0,0,1)</f>
        <v/>
      </c>
      <c r="OJ42">
        <f>IF(ROW()-3&gt;MAX($OI$4:$OI$40),"",INDEX($DK$4:$DK$40,MATCH(ROW()-3,$OI$4:$OI$40,0)))</f>
        <v/>
      </c>
      <c r="OK42">
        <f>IF(COUNTIF('Buyer Groups'!DG95:EA95,0)+COUNTIF('Buyer Groups'!EC95:EN95,0)&gt;0,0,1)</f>
        <v/>
      </c>
      <c r="ON42">
        <f>IF(ROW()-3&gt;MAX($OM$4:$OM$40),"",INDEX($DP$4:$DP$40,MATCH(ROW()-3,$OM$4:$OM$40,0)))</f>
        <v/>
      </c>
      <c r="OO42">
        <f>IF(COUNTIF('Buyer Groups'!DG95:EB95,0)+COUNTIF('Buyer Groups'!ED95:EN95,0)&gt;0,0,1)</f>
        <v/>
      </c>
      <c r="OR42">
        <f>IF(ROW()-3&gt;MAX($OQ$4:$OQ$40),"",INDEX($DU$4:$DU$40,MATCH(ROW()-3,$OQ$4:$OQ$40,0)))</f>
        <v/>
      </c>
      <c r="OS42">
        <f>IF(COUNTIF('Buyer Groups'!DG95:EC95,0)+COUNTIF('Buyer Groups'!EE95:EN95,0)&gt;0,0,1)</f>
        <v/>
      </c>
      <c r="OV42">
        <f>IF(ROW()-3&gt;MAX($OU$4:$OU$40),"",INDEX($DZ$4:$DZ$40,MATCH(ROW()-3,$OU$4:$OU$40,0)))</f>
        <v/>
      </c>
      <c r="OW42">
        <f>IF(COUNTIF('Buyer Groups'!DG95:ED95,0)+COUNTIF('Buyer Groups'!EF95:EN95,0)&gt;0,0,1)</f>
        <v/>
      </c>
      <c r="OZ42">
        <f>IF(ROW()-3&gt;MAX($OY$4:$OY$40),"",INDEX($EE$4:$EE$40,MATCH(ROW()-3,$OY$4:$OY$40,0)))</f>
        <v/>
      </c>
      <c r="PA42">
        <f>IF(COUNTIF('Buyer Groups'!DG95:EE95,0)+COUNTIF('Buyer Groups'!EG95:EN95,0)&gt;0,0,1)</f>
        <v/>
      </c>
      <c r="PD42">
        <f>IF(ROW()-3&gt;MAX($PC$4:$PC$40),"",INDEX($EJ$4:$EJ$40,MATCH(ROW()-3,$PC$4:$PC$40,0)))</f>
        <v/>
      </c>
      <c r="PE42">
        <f>IF(COUNTIF('Buyer Groups'!DG95:EF95,0)+COUNTIF('Buyer Groups'!EH95:EN95,0)&gt;0,0,1)</f>
        <v/>
      </c>
      <c r="PH42">
        <f>IF(ROW()-3&gt;MAX($PG$4:$PG$40),"",INDEX($EO$4:$EO$40,MATCH(ROW()-3,$PG$4:$PG$40,0)))</f>
        <v/>
      </c>
      <c r="PI42">
        <f>IF(COUNTIF('Buyer Groups'!DG95:EG95,0)+COUNTIF('Buyer Groups'!EI95:EN95,0)&gt;0,0,1)</f>
        <v/>
      </c>
      <c r="PL42">
        <f>IF(ROW()-3&gt;MAX($PK$4:$PK$40),"",INDEX($ET$4:$ET$40,MATCH(ROW()-3,$PK$4:$PK$40,0)))</f>
        <v/>
      </c>
      <c r="PM42">
        <f>IF(COUNTIF('Buyer Groups'!DG95:EH95,0)+COUNTIF('Buyer Groups'!EJ95:EN95,0)&gt;0,0,1)</f>
        <v/>
      </c>
      <c r="PP42">
        <f>IF(ROW()-3&gt;MAX($PO$4:$PO$40),"",INDEX($EY$4:$EY$40,MATCH(ROW()-3,$PO$4:$PO$40,0)))</f>
        <v/>
      </c>
      <c r="PQ42">
        <f>IF(COUNTIF('Buyer Groups'!DG95:EI95,0)+COUNTIF('Buyer Groups'!EK95:EN95,0)&gt;0,0,1)</f>
        <v/>
      </c>
      <c r="PT42">
        <f>IF(ROW()-3&gt;MAX($PS$4:$PS$40),"",INDEX($FD$4:$FD$40,MATCH(ROW()-3,$PS$4:$PS$40,0)))</f>
        <v/>
      </c>
      <c r="PU42">
        <f>IF(COUNTIF('Buyer Groups'!DG95:EJ95,0)+COUNTIF('Buyer Groups'!EL95:EN95,0)&gt;0,0,1)</f>
        <v/>
      </c>
      <c r="PX42">
        <f>IF(ROW()-3&gt;MAX($PW$4:$PW$40),"",INDEX($FX$4:$FX$40,MATCH(ROW()-3,$PW$4:$PW$40,0)))</f>
        <v/>
      </c>
      <c r="PY42">
        <f>IF(COUNTIF('Buyer Groups'!DG95:EK95,0)+COUNTIF('Buyer Groups'!EM95:EN95,0)&gt;0,0,1)</f>
        <v/>
      </c>
      <c r="QB42">
        <f>IF(ROW()-3&gt;MAX($QA$4:$QA$40),"",INDEX($FI$4:$FI$40,MATCH(ROW()-3,$QA$4:$QA$40,0)))</f>
        <v/>
      </c>
      <c r="QC42">
        <f>IF(COUNTIF('Buyer Groups'!DG95:EL95,0)+COUNTIF('Buyer Groups'!EN95:EN95,0)&gt;0,0,1)</f>
        <v/>
      </c>
      <c r="QF42">
        <f>IF(ROW()-3&gt;MAX($QE$4:$QE$40),"",INDEX($FN$4:$FN$40,MATCH(ROW()-3,$QE$4:$QE$40,0)))</f>
        <v/>
      </c>
      <c r="QG42">
        <f>IF(COUNTIF('Buyer Groups'!DG95:EM95,0)&gt;0,0,1)</f>
        <v/>
      </c>
      <c r="QJ42">
        <f>IF(ROW()-3&gt;MAX($QI$4:$QI$40),"",INDEX($FS$4:$FS$40,MATCH(ROW()-3,$QI$4:$QI$40,0)))</f>
        <v/>
      </c>
    </row>
    <row r="43">
      <c r="A43">
        <f>IF(IFERROR('Final Calculation Sheet'!$G$6,"")="","",'Final Calculation Sheet'!$G$6)</f>
        <v/>
      </c>
      <c r="B43">
        <f>IF(A43="","",COUNTIFS(A$4:A$114,"&lt;"&amp;A43,A$4:A$114,"&lt;&gt;"&amp;"")+COUNTIF(A$4:A43,A43))</f>
        <v/>
      </c>
      <c r="C43">
        <f>IF(ROW()-3&gt;COUNTIF(A$4:A$114,"&lt;&gt;"&amp;""),"",INDEX(A$4:A$114,MATCH(ROW()-3,B$4:B$114,0)))</f>
        <v/>
      </c>
      <c r="D43">
        <f>D42+IF(AND(C43&lt;&gt;"",COUNTIF(C$4:C43,C43)=1),1,0)</f>
        <v/>
      </c>
      <c r="E43">
        <f>IF(ROW()-3&gt;MAX(D$4:D$114),"",INDEX(C$4:C$114,MATCH(ROW()-3,D$4:D$114,0)))</f>
        <v/>
      </c>
    </row>
    <row r="44">
      <c r="A44">
        <f>IF(IFERROR('Final Calculation Sheet'!$G$7,"")="","",'Final Calculation Sheet'!$G$7)</f>
        <v/>
      </c>
      <c r="B44">
        <f>IF(A44="","",COUNTIFS(A$4:A$114,"&lt;"&amp;A44,A$4:A$114,"&lt;&gt;"&amp;"")+COUNTIF(A$4:A44,A44))</f>
        <v/>
      </c>
      <c r="C44">
        <f>IF(ROW()-3&gt;COUNTIF(A$4:A$114,"&lt;&gt;"&amp;""),"",INDEX(A$4:A$114,MATCH(ROW()-3,B$4:B$114,0)))</f>
        <v/>
      </c>
      <c r="D44">
        <f>D43+IF(AND(C44&lt;&gt;"",COUNTIF(C$4:C44,C44)=1),1,0)</f>
        <v/>
      </c>
      <c r="E44">
        <f>IF(ROW()-3&gt;MAX(D$4:D$114),"",INDEX(C$4:C$114,MATCH(ROW()-3,D$4:D$114,0)))</f>
        <v/>
      </c>
    </row>
    <row r="45">
      <c r="A45">
        <f>IF(IFERROR('Final Calculation Sheet'!$G$8,"")="","",'Final Calculation Sheet'!$G$8)</f>
        <v/>
      </c>
      <c r="B45">
        <f>IF(A45="","",COUNTIFS(A$4:A$114,"&lt;"&amp;A45,A$4:A$114,"&lt;&gt;"&amp;"")+COUNTIF(A$4:A45,A45))</f>
        <v/>
      </c>
      <c r="C45">
        <f>IF(ROW()-3&gt;COUNTIF(A$4:A$114,"&lt;&gt;"&amp;""),"",INDEX(A$4:A$114,MATCH(ROW()-3,B$4:B$114,0)))</f>
        <v/>
      </c>
      <c r="D45">
        <f>D44+IF(AND(C45&lt;&gt;"",COUNTIF(C$4:C45,C45)=1),1,0)</f>
        <v/>
      </c>
      <c r="E45">
        <f>IF(ROW()-3&gt;MAX(D$4:D$114),"",INDEX(C$4:C$114,MATCH(ROW()-3,D$4:D$114,0)))</f>
        <v/>
      </c>
    </row>
    <row r="46">
      <c r="A46">
        <f>IF(IFERROR('Final Calculation Sheet'!$G$9,"")="","",'Final Calculation Sheet'!$G$9)</f>
        <v/>
      </c>
      <c r="B46">
        <f>IF(A46="","",COUNTIFS(A$4:A$114,"&lt;"&amp;A46,A$4:A$114,"&lt;&gt;"&amp;"")+COUNTIF(A$4:A46,A46))</f>
        <v/>
      </c>
      <c r="C46">
        <f>IF(ROW()-3&gt;COUNTIF(A$4:A$114,"&lt;&gt;"&amp;""),"",INDEX(A$4:A$114,MATCH(ROW()-3,B$4:B$114,0)))</f>
        <v/>
      </c>
      <c r="D46">
        <f>D45+IF(AND(C46&lt;&gt;"",COUNTIF(C$4:C46,C46)=1),1,0)</f>
        <v/>
      </c>
      <c r="E46">
        <f>IF(ROW()-3&gt;MAX(D$4:D$114),"",INDEX(C$4:C$114,MATCH(ROW()-3,D$4:D$114,0)))</f>
        <v/>
      </c>
    </row>
    <row r="47">
      <c r="A47">
        <f>IF(IFERROR('Final Calculation Sheet'!$G$10,"")="","",'Final Calculation Sheet'!$G$10)</f>
        <v/>
      </c>
      <c r="B47">
        <f>IF(A47="","",COUNTIFS(A$4:A$114,"&lt;"&amp;A47,A$4:A$114,"&lt;&gt;"&amp;"")+COUNTIF(A$4:A47,A47))</f>
        <v/>
      </c>
      <c r="C47">
        <f>IF(ROW()-3&gt;COUNTIF(A$4:A$114,"&lt;&gt;"&amp;""),"",INDEX(A$4:A$114,MATCH(ROW()-3,B$4:B$114,0)))</f>
        <v/>
      </c>
      <c r="D47">
        <f>D46+IF(AND(C47&lt;&gt;"",COUNTIF(C$4:C47,C47)=1),1,0)</f>
        <v/>
      </c>
      <c r="E47">
        <f>IF(ROW()-3&gt;MAX(D$4:D$114),"",INDEX(C$4:C$114,MATCH(ROW()-3,D$4:D$114,0)))</f>
        <v/>
      </c>
    </row>
    <row r="48">
      <c r="A48">
        <f>IF(IFERROR('Final Calculation Sheet'!$G$11,"")="","",'Final Calculation Sheet'!$G$11)</f>
        <v/>
      </c>
      <c r="B48">
        <f>IF(A48="","",COUNTIFS(A$4:A$114,"&lt;"&amp;A48,A$4:A$114,"&lt;&gt;"&amp;"")+COUNTIF(A$4:A48,A48))</f>
        <v/>
      </c>
      <c r="C48">
        <f>IF(ROW()-3&gt;COUNTIF(A$4:A$114,"&lt;&gt;"&amp;""),"",INDEX(A$4:A$114,MATCH(ROW()-3,B$4:B$114,0)))</f>
        <v/>
      </c>
      <c r="D48">
        <f>D47+IF(AND(C48&lt;&gt;"",COUNTIF(C$4:C48,C48)=1),1,0)</f>
        <v/>
      </c>
      <c r="E48">
        <f>IF(ROW()-3&gt;MAX(D$4:D$114),"",INDEX(C$4:C$114,MATCH(ROW()-3,D$4:D$114,0)))</f>
        <v/>
      </c>
    </row>
    <row r="49">
      <c r="A49">
        <f>IF(IFERROR('Final Calculation Sheet'!$G$12,"")="","",'Final Calculation Sheet'!$G$12)</f>
        <v/>
      </c>
      <c r="B49">
        <f>IF(A49="","",COUNTIFS(A$4:A$114,"&lt;"&amp;A49,A$4:A$114,"&lt;&gt;"&amp;"")+COUNTIF(A$4:A49,A49))</f>
        <v/>
      </c>
      <c r="C49">
        <f>IF(ROW()-3&gt;COUNTIF(A$4:A$114,"&lt;&gt;"&amp;""),"",INDEX(A$4:A$114,MATCH(ROW()-3,B$4:B$114,0)))</f>
        <v/>
      </c>
      <c r="D49">
        <f>D48+IF(AND(C49&lt;&gt;"",COUNTIF(C$4:C49,C49)=1),1,0)</f>
        <v/>
      </c>
      <c r="E49">
        <f>IF(ROW()-3&gt;MAX(D$4:D$114),"",INDEX(C$4:C$114,MATCH(ROW()-3,D$4:D$114,0)))</f>
        <v/>
      </c>
    </row>
    <row r="50">
      <c r="A50">
        <f>IF(IFERROR('Final Calculation Sheet'!$G$13,"")="","",'Final Calculation Sheet'!$G$13)</f>
        <v/>
      </c>
      <c r="B50">
        <f>IF(A50="","",COUNTIFS(A$4:A$114,"&lt;"&amp;A50,A$4:A$114,"&lt;&gt;"&amp;"")+COUNTIF(A$4:A50,A50))</f>
        <v/>
      </c>
      <c r="C50">
        <f>IF(ROW()-3&gt;COUNTIF(A$4:A$114,"&lt;&gt;"&amp;""),"",INDEX(A$4:A$114,MATCH(ROW()-3,B$4:B$114,0)))</f>
        <v/>
      </c>
      <c r="D50">
        <f>D49+IF(AND(C50&lt;&gt;"",COUNTIF(C$4:C50,C50)=1),1,0)</f>
        <v/>
      </c>
      <c r="E50">
        <f>IF(ROW()-3&gt;MAX(D$4:D$114),"",INDEX(C$4:C$114,MATCH(ROW()-3,D$4:D$114,0)))</f>
        <v/>
      </c>
    </row>
    <row r="51">
      <c r="A51">
        <f>IF(IFERROR('Final Calculation Sheet'!$G$14,"")="","",'Final Calculation Sheet'!$G$14)</f>
        <v/>
      </c>
      <c r="B51">
        <f>IF(A51="","",COUNTIFS(A$4:A$114,"&lt;"&amp;A51,A$4:A$114,"&lt;&gt;"&amp;"")+COUNTIF(A$4:A51,A51))</f>
        <v/>
      </c>
      <c r="C51">
        <f>IF(ROW()-3&gt;COUNTIF(A$4:A$114,"&lt;&gt;"&amp;""),"",INDEX(A$4:A$114,MATCH(ROW()-3,B$4:B$114,0)))</f>
        <v/>
      </c>
      <c r="D51">
        <f>D50+IF(AND(C51&lt;&gt;"",COUNTIF(C$4:C51,C51)=1),1,0)</f>
        <v/>
      </c>
      <c r="E51">
        <f>IF(ROW()-3&gt;MAX(D$4:D$114),"",INDEX(C$4:C$114,MATCH(ROW()-3,D$4:D$114,0)))</f>
        <v/>
      </c>
    </row>
    <row r="52">
      <c r="A52">
        <f>IF(IFERROR('Final Calculation Sheet'!$G$15,"")="","",'Final Calculation Sheet'!$G$15)</f>
        <v/>
      </c>
      <c r="B52">
        <f>IF(A52="","",COUNTIFS(A$4:A$114,"&lt;"&amp;A52,A$4:A$114,"&lt;&gt;"&amp;"")+COUNTIF(A$4:A52,A52))</f>
        <v/>
      </c>
      <c r="C52">
        <f>IF(ROW()-3&gt;COUNTIF(A$4:A$114,"&lt;&gt;"&amp;""),"",INDEX(A$4:A$114,MATCH(ROW()-3,B$4:B$114,0)))</f>
        <v/>
      </c>
      <c r="D52">
        <f>D51+IF(AND(C52&lt;&gt;"",COUNTIF(C$4:C52,C52)=1),1,0)</f>
        <v/>
      </c>
      <c r="E52">
        <f>IF(ROW()-3&gt;MAX(D$4:D$114),"",INDEX(C$4:C$114,MATCH(ROW()-3,D$4:D$114,0)))</f>
        <v/>
      </c>
    </row>
    <row r="53">
      <c r="A53">
        <f>IF(IFERROR('Final Calculation Sheet'!$G$16,"")="","",'Final Calculation Sheet'!$G$16)</f>
        <v/>
      </c>
      <c r="B53">
        <f>IF(A53="","",COUNTIFS(A$4:A$114,"&lt;"&amp;A53,A$4:A$114,"&lt;&gt;"&amp;"")+COUNTIF(A$4:A53,A53))</f>
        <v/>
      </c>
      <c r="C53">
        <f>IF(ROW()-3&gt;COUNTIF(A$4:A$114,"&lt;&gt;"&amp;""),"",INDEX(A$4:A$114,MATCH(ROW()-3,B$4:B$114,0)))</f>
        <v/>
      </c>
      <c r="D53">
        <f>D52+IF(AND(C53&lt;&gt;"",COUNTIF(C$4:C53,C53)=1),1,0)</f>
        <v/>
      </c>
      <c r="E53">
        <f>IF(ROW()-3&gt;MAX(D$4:D$114),"",INDEX(C$4:C$114,MATCH(ROW()-3,D$4:D$114,0)))</f>
        <v/>
      </c>
    </row>
    <row r="54">
      <c r="A54">
        <f>IF(IFERROR('Final Calculation Sheet'!$G$17,"")="","",'Final Calculation Sheet'!$G$17)</f>
        <v/>
      </c>
      <c r="B54">
        <f>IF(A54="","",COUNTIFS(A$4:A$114,"&lt;"&amp;A54,A$4:A$114,"&lt;&gt;"&amp;"")+COUNTIF(A$4:A54,A54))</f>
        <v/>
      </c>
      <c r="C54">
        <f>IF(ROW()-3&gt;COUNTIF(A$4:A$114,"&lt;&gt;"&amp;""),"",INDEX(A$4:A$114,MATCH(ROW()-3,B$4:B$114,0)))</f>
        <v/>
      </c>
      <c r="D54">
        <f>D53+IF(AND(C54&lt;&gt;"",COUNTIF(C$4:C54,C54)=1),1,0)</f>
        <v/>
      </c>
      <c r="E54">
        <f>IF(ROW()-3&gt;MAX(D$4:D$114),"",INDEX(C$4:C$114,MATCH(ROW()-3,D$4:D$114,0)))</f>
        <v/>
      </c>
    </row>
    <row r="55">
      <c r="A55">
        <f>IF(IFERROR('Final Calculation Sheet'!$G$18,"")="","",'Final Calculation Sheet'!$G$18)</f>
        <v/>
      </c>
      <c r="B55">
        <f>IF(A55="","",COUNTIFS(A$4:A$114,"&lt;"&amp;A55,A$4:A$114,"&lt;&gt;"&amp;"")+COUNTIF(A$4:A55,A55))</f>
        <v/>
      </c>
      <c r="C55">
        <f>IF(ROW()-3&gt;COUNTIF(A$4:A$114,"&lt;&gt;"&amp;""),"",INDEX(A$4:A$114,MATCH(ROW()-3,B$4:B$114,0)))</f>
        <v/>
      </c>
      <c r="D55">
        <f>D54+IF(AND(C55&lt;&gt;"",COUNTIF(C$4:C55,C55)=1),1,0)</f>
        <v/>
      </c>
      <c r="E55">
        <f>IF(ROW()-3&gt;MAX(D$4:D$114),"",INDEX(C$4:C$114,MATCH(ROW()-3,D$4:D$114,0)))</f>
        <v/>
      </c>
    </row>
    <row r="56">
      <c r="A56">
        <f>IF(IFERROR('Final Calculation Sheet'!$G$19,"")="","",'Final Calculation Sheet'!$G$19)</f>
        <v/>
      </c>
      <c r="B56">
        <f>IF(A56="","",COUNTIFS(A$4:A$114,"&lt;"&amp;A56,A$4:A$114,"&lt;&gt;"&amp;"")+COUNTIF(A$4:A56,A56))</f>
        <v/>
      </c>
      <c r="C56">
        <f>IF(ROW()-3&gt;COUNTIF(A$4:A$114,"&lt;&gt;"&amp;""),"",INDEX(A$4:A$114,MATCH(ROW()-3,B$4:B$114,0)))</f>
        <v/>
      </c>
      <c r="D56">
        <f>D55+IF(AND(C56&lt;&gt;"",COUNTIF(C$4:C56,C56)=1),1,0)</f>
        <v/>
      </c>
      <c r="E56">
        <f>IF(ROW()-3&gt;MAX(D$4:D$114),"",INDEX(C$4:C$114,MATCH(ROW()-3,D$4:D$114,0)))</f>
        <v/>
      </c>
    </row>
    <row r="57">
      <c r="A57">
        <f>IF(IFERROR('Final Calculation Sheet'!$G$20,"")="","",'Final Calculation Sheet'!$G$20)</f>
        <v/>
      </c>
      <c r="B57">
        <f>IF(A57="","",COUNTIFS(A$4:A$114,"&lt;"&amp;A57,A$4:A$114,"&lt;&gt;"&amp;"")+COUNTIF(A$4:A57,A57))</f>
        <v/>
      </c>
      <c r="C57">
        <f>IF(ROW()-3&gt;COUNTIF(A$4:A$114,"&lt;&gt;"&amp;""),"",INDEX(A$4:A$114,MATCH(ROW()-3,B$4:B$114,0)))</f>
        <v/>
      </c>
      <c r="D57">
        <f>D56+IF(AND(C57&lt;&gt;"",COUNTIF(C$4:C57,C57)=1),1,0)</f>
        <v/>
      </c>
      <c r="E57">
        <f>IF(ROW()-3&gt;MAX(D$4:D$114),"",INDEX(C$4:C$114,MATCH(ROW()-3,D$4:D$114,0)))</f>
        <v/>
      </c>
    </row>
    <row r="58">
      <c r="A58">
        <f>IF(IFERROR('Final Calculation Sheet'!$G$21,"")="","",'Final Calculation Sheet'!$G$21)</f>
        <v/>
      </c>
      <c r="B58">
        <f>IF(A58="","",COUNTIFS(A$4:A$114,"&lt;"&amp;A58,A$4:A$114,"&lt;&gt;"&amp;"")+COUNTIF(A$4:A58,A58))</f>
        <v/>
      </c>
      <c r="C58">
        <f>IF(ROW()-3&gt;COUNTIF(A$4:A$114,"&lt;&gt;"&amp;""),"",INDEX(A$4:A$114,MATCH(ROW()-3,B$4:B$114,0)))</f>
        <v/>
      </c>
      <c r="D58">
        <f>D57+IF(AND(C58&lt;&gt;"",COUNTIF(C$4:C58,C58)=1),1,0)</f>
        <v/>
      </c>
      <c r="E58">
        <f>IF(ROW()-3&gt;MAX(D$4:D$114),"",INDEX(C$4:C$114,MATCH(ROW()-3,D$4:D$114,0)))</f>
        <v/>
      </c>
    </row>
    <row r="59">
      <c r="A59">
        <f>IF(IFERROR('Final Calculation Sheet'!$G$22,"")="","",'Final Calculation Sheet'!$G$22)</f>
        <v/>
      </c>
      <c r="B59">
        <f>IF(A59="","",COUNTIFS(A$4:A$114,"&lt;"&amp;A59,A$4:A$114,"&lt;&gt;"&amp;"")+COUNTIF(A$4:A59,A59))</f>
        <v/>
      </c>
      <c r="C59">
        <f>IF(ROW()-3&gt;COUNTIF(A$4:A$114,"&lt;&gt;"&amp;""),"",INDEX(A$4:A$114,MATCH(ROW()-3,B$4:B$114,0)))</f>
        <v/>
      </c>
      <c r="D59">
        <f>D58+IF(AND(C59&lt;&gt;"",COUNTIF(C$4:C59,C59)=1),1,0)</f>
        <v/>
      </c>
      <c r="E59">
        <f>IF(ROW()-3&gt;MAX(D$4:D$114),"",INDEX(C$4:C$114,MATCH(ROW()-3,D$4:D$114,0)))</f>
        <v/>
      </c>
    </row>
    <row r="60">
      <c r="A60">
        <f>IF(IFERROR('Final Calculation Sheet'!$G$23,"")="","",'Final Calculation Sheet'!$G$23)</f>
        <v/>
      </c>
      <c r="B60">
        <f>IF(A60="","",COUNTIFS(A$4:A$114,"&lt;"&amp;A60,A$4:A$114,"&lt;&gt;"&amp;"")+COUNTIF(A$4:A60,A60))</f>
        <v/>
      </c>
      <c r="C60">
        <f>IF(ROW()-3&gt;COUNTIF(A$4:A$114,"&lt;&gt;"&amp;""),"",INDEX(A$4:A$114,MATCH(ROW()-3,B$4:B$114,0)))</f>
        <v/>
      </c>
      <c r="D60">
        <f>D59+IF(AND(C60&lt;&gt;"",COUNTIF(C$4:C60,C60)=1),1,0)</f>
        <v/>
      </c>
      <c r="E60">
        <f>IF(ROW()-3&gt;MAX(D$4:D$114),"",INDEX(C$4:C$114,MATCH(ROW()-3,D$4:D$114,0)))</f>
        <v/>
      </c>
    </row>
    <row r="61">
      <c r="A61">
        <f>IF(IFERROR('Final Calculation Sheet'!$G$24,"")="","",'Final Calculation Sheet'!$G$24)</f>
        <v/>
      </c>
      <c r="B61">
        <f>IF(A61="","",COUNTIFS(A$4:A$114,"&lt;"&amp;A61,A$4:A$114,"&lt;&gt;"&amp;"")+COUNTIF(A$4:A61,A61))</f>
        <v/>
      </c>
      <c r="C61">
        <f>IF(ROW()-3&gt;COUNTIF(A$4:A$114,"&lt;&gt;"&amp;""),"",INDEX(A$4:A$114,MATCH(ROW()-3,B$4:B$114,0)))</f>
        <v/>
      </c>
      <c r="D61">
        <f>D60+IF(AND(C61&lt;&gt;"",COUNTIF(C$4:C61,C61)=1),1,0)</f>
        <v/>
      </c>
      <c r="E61">
        <f>IF(ROW()-3&gt;MAX(D$4:D$114),"",INDEX(C$4:C$114,MATCH(ROW()-3,D$4:D$114,0)))</f>
        <v/>
      </c>
    </row>
    <row r="62">
      <c r="A62">
        <f>IF(IFERROR('Final Calculation Sheet'!$G$25,"")="","",'Final Calculation Sheet'!$G$25)</f>
        <v/>
      </c>
      <c r="B62">
        <f>IF(A62="","",COUNTIFS(A$4:A$114,"&lt;"&amp;A62,A$4:A$114,"&lt;&gt;"&amp;"")+COUNTIF(A$4:A62,A62))</f>
        <v/>
      </c>
      <c r="C62">
        <f>IF(ROW()-3&gt;COUNTIF(A$4:A$114,"&lt;&gt;"&amp;""),"",INDEX(A$4:A$114,MATCH(ROW()-3,B$4:B$114,0)))</f>
        <v/>
      </c>
      <c r="D62">
        <f>D61+IF(AND(C62&lt;&gt;"",COUNTIF(C$4:C62,C62)=1),1,0)</f>
        <v/>
      </c>
      <c r="E62">
        <f>IF(ROW()-3&gt;MAX(D$4:D$114),"",INDEX(C$4:C$114,MATCH(ROW()-3,D$4:D$114,0)))</f>
        <v/>
      </c>
    </row>
    <row r="63">
      <c r="A63">
        <f>IF(IFERROR('Final Calculation Sheet'!$G$26,"")="","",'Final Calculation Sheet'!$G$26)</f>
        <v/>
      </c>
      <c r="B63">
        <f>IF(A63="","",COUNTIFS(A$4:A$114,"&lt;"&amp;A63,A$4:A$114,"&lt;&gt;"&amp;"")+COUNTIF(A$4:A63,A63))</f>
        <v/>
      </c>
      <c r="C63">
        <f>IF(ROW()-3&gt;COUNTIF(A$4:A$114,"&lt;&gt;"&amp;""),"",INDEX(A$4:A$114,MATCH(ROW()-3,B$4:B$114,0)))</f>
        <v/>
      </c>
      <c r="D63">
        <f>D62+IF(AND(C63&lt;&gt;"",COUNTIF(C$4:C63,C63)=1),1,0)</f>
        <v/>
      </c>
      <c r="E63">
        <f>IF(ROW()-3&gt;MAX(D$4:D$114),"",INDEX(C$4:C$114,MATCH(ROW()-3,D$4:D$114,0)))</f>
        <v/>
      </c>
    </row>
    <row r="64">
      <c r="A64">
        <f>IF(IFERROR('Final Calculation Sheet'!$G$27,"")="","",'Final Calculation Sheet'!$G$27)</f>
        <v/>
      </c>
      <c r="B64">
        <f>IF(A64="","",COUNTIFS(A$4:A$114,"&lt;"&amp;A64,A$4:A$114,"&lt;&gt;"&amp;"")+COUNTIF(A$4:A64,A64))</f>
        <v/>
      </c>
      <c r="C64">
        <f>IF(ROW()-3&gt;COUNTIF(A$4:A$114,"&lt;&gt;"&amp;""),"",INDEX(A$4:A$114,MATCH(ROW()-3,B$4:B$114,0)))</f>
        <v/>
      </c>
      <c r="D64">
        <f>D63+IF(AND(C64&lt;&gt;"",COUNTIF(C$4:C64,C64)=1),1,0)</f>
        <v/>
      </c>
      <c r="E64">
        <f>IF(ROW()-3&gt;MAX(D$4:D$114),"",INDEX(C$4:C$114,MATCH(ROW()-3,D$4:D$114,0)))</f>
        <v/>
      </c>
    </row>
    <row r="65">
      <c r="A65">
        <f>IF(IFERROR('Final Calculation Sheet'!$G$28,"")="","",'Final Calculation Sheet'!$G$28)</f>
        <v/>
      </c>
      <c r="B65">
        <f>IF(A65="","",COUNTIFS(A$4:A$114,"&lt;"&amp;A65,A$4:A$114,"&lt;&gt;"&amp;"")+COUNTIF(A$4:A65,A65))</f>
        <v/>
      </c>
      <c r="C65">
        <f>IF(ROW()-3&gt;COUNTIF(A$4:A$114,"&lt;&gt;"&amp;""),"",INDEX(A$4:A$114,MATCH(ROW()-3,B$4:B$114,0)))</f>
        <v/>
      </c>
      <c r="D65">
        <f>D64+IF(AND(C65&lt;&gt;"",COUNTIF(C$4:C65,C65)=1),1,0)</f>
        <v/>
      </c>
      <c r="E65">
        <f>IF(ROW()-3&gt;MAX(D$4:D$114),"",INDEX(C$4:C$114,MATCH(ROW()-3,D$4:D$114,0)))</f>
        <v/>
      </c>
    </row>
    <row r="66">
      <c r="A66">
        <f>IF(IFERROR('Final Calculation Sheet'!$G$29,"")="","",'Final Calculation Sheet'!$G$29)</f>
        <v/>
      </c>
      <c r="B66">
        <f>IF(A66="","",COUNTIFS(A$4:A$114,"&lt;"&amp;A66,A$4:A$114,"&lt;&gt;"&amp;"")+COUNTIF(A$4:A66,A66))</f>
        <v/>
      </c>
      <c r="C66">
        <f>IF(ROW()-3&gt;COUNTIF(A$4:A$114,"&lt;&gt;"&amp;""),"",INDEX(A$4:A$114,MATCH(ROW()-3,B$4:B$114,0)))</f>
        <v/>
      </c>
      <c r="D66">
        <f>D65+IF(AND(C66&lt;&gt;"",COUNTIF(C$4:C66,C66)=1),1,0)</f>
        <v/>
      </c>
      <c r="E66">
        <f>IF(ROW()-3&gt;MAX(D$4:D$114),"",INDEX(C$4:C$114,MATCH(ROW()-3,D$4:D$114,0)))</f>
        <v/>
      </c>
    </row>
    <row r="67">
      <c r="A67">
        <f>IF(IFERROR('Final Calculation Sheet'!$G$30,"")="","",'Final Calculation Sheet'!$G$30)</f>
        <v/>
      </c>
      <c r="B67">
        <f>IF(A67="","",COUNTIFS(A$4:A$114,"&lt;"&amp;A67,A$4:A$114,"&lt;&gt;"&amp;"")+COUNTIF(A$4:A67,A67))</f>
        <v/>
      </c>
      <c r="C67">
        <f>IF(ROW()-3&gt;COUNTIF(A$4:A$114,"&lt;&gt;"&amp;""),"",INDEX(A$4:A$114,MATCH(ROW()-3,B$4:B$114,0)))</f>
        <v/>
      </c>
      <c r="D67">
        <f>D66+IF(AND(C67&lt;&gt;"",COUNTIF(C$4:C67,C67)=1),1,0)</f>
        <v/>
      </c>
      <c r="E67">
        <f>IF(ROW()-3&gt;MAX(D$4:D$114),"",INDEX(C$4:C$114,MATCH(ROW()-3,D$4:D$114,0)))</f>
        <v/>
      </c>
    </row>
    <row r="68">
      <c r="A68">
        <f>IF(IFERROR('Final Calculation Sheet'!$G$31,"")="","",'Final Calculation Sheet'!$G$31)</f>
        <v/>
      </c>
      <c r="B68">
        <f>IF(A68="","",COUNTIFS(A$4:A$114,"&lt;"&amp;A68,A$4:A$114,"&lt;&gt;"&amp;"")+COUNTIF(A$4:A68,A68))</f>
        <v/>
      </c>
      <c r="C68">
        <f>IF(ROW()-3&gt;COUNTIF(A$4:A$114,"&lt;&gt;"&amp;""),"",INDEX(A$4:A$114,MATCH(ROW()-3,B$4:B$114,0)))</f>
        <v/>
      </c>
      <c r="D68">
        <f>D67+IF(AND(C68&lt;&gt;"",COUNTIF(C$4:C68,C68)=1),1,0)</f>
        <v/>
      </c>
      <c r="E68">
        <f>IF(ROW()-3&gt;MAX(D$4:D$114),"",INDEX(C$4:C$114,MATCH(ROW()-3,D$4:D$114,0)))</f>
        <v/>
      </c>
    </row>
    <row r="69">
      <c r="A69">
        <f>IF(IFERROR('Final Calculation Sheet'!$G$32,"")="","",'Final Calculation Sheet'!$G$32)</f>
        <v/>
      </c>
      <c r="B69">
        <f>IF(A69="","",COUNTIFS(A$4:A$114,"&lt;"&amp;A69,A$4:A$114,"&lt;&gt;"&amp;"")+COUNTIF(A$4:A69,A69))</f>
        <v/>
      </c>
      <c r="C69">
        <f>IF(ROW()-3&gt;COUNTIF(A$4:A$114,"&lt;&gt;"&amp;""),"",INDEX(A$4:A$114,MATCH(ROW()-3,B$4:B$114,0)))</f>
        <v/>
      </c>
      <c r="D69">
        <f>D68+IF(AND(C69&lt;&gt;"",COUNTIF(C$4:C69,C69)=1),1,0)</f>
        <v/>
      </c>
      <c r="E69">
        <f>IF(ROW()-3&gt;MAX(D$4:D$114),"",INDEX(C$4:C$114,MATCH(ROW()-3,D$4:D$114,0)))</f>
        <v/>
      </c>
    </row>
    <row r="70">
      <c r="A70">
        <f>IF(IFERROR('Final Calculation Sheet'!$G$33,"")="","",'Final Calculation Sheet'!$G$33)</f>
        <v/>
      </c>
      <c r="B70">
        <f>IF(A70="","",COUNTIFS(A$4:A$114,"&lt;"&amp;A70,A$4:A$114,"&lt;&gt;"&amp;"")+COUNTIF(A$4:A70,A70))</f>
        <v/>
      </c>
      <c r="C70">
        <f>IF(ROW()-3&gt;COUNTIF(A$4:A$114,"&lt;&gt;"&amp;""),"",INDEX(A$4:A$114,MATCH(ROW()-3,B$4:B$114,0)))</f>
        <v/>
      </c>
      <c r="D70">
        <f>D69+IF(AND(C70&lt;&gt;"",COUNTIF(C$4:C70,C70)=1),1,0)</f>
        <v/>
      </c>
      <c r="E70">
        <f>IF(ROW()-3&gt;MAX(D$4:D$114),"",INDEX(C$4:C$114,MATCH(ROW()-3,D$4:D$114,0)))</f>
        <v/>
      </c>
    </row>
    <row r="71">
      <c r="A71">
        <f>IF(IFERROR('Final Calculation Sheet'!$G$34,"")="","",'Final Calculation Sheet'!$G$34)</f>
        <v/>
      </c>
      <c r="B71">
        <f>IF(A71="","",COUNTIFS(A$4:A$114,"&lt;"&amp;A71,A$4:A$114,"&lt;&gt;"&amp;"")+COUNTIF(A$4:A71,A71))</f>
        <v/>
      </c>
      <c r="C71">
        <f>IF(ROW()-3&gt;COUNTIF(A$4:A$114,"&lt;&gt;"&amp;""),"",INDEX(A$4:A$114,MATCH(ROW()-3,B$4:B$114,0)))</f>
        <v/>
      </c>
      <c r="D71">
        <f>D70+IF(AND(C71&lt;&gt;"",COUNTIF(C$4:C71,C71)=1),1,0)</f>
        <v/>
      </c>
      <c r="E71">
        <f>IF(ROW()-3&gt;MAX(D$4:D$114),"",INDEX(C$4:C$114,MATCH(ROW()-3,D$4:D$114,0)))</f>
        <v/>
      </c>
    </row>
    <row r="72">
      <c r="A72">
        <f>IF(IFERROR('Final Calculation Sheet'!$G$35,"")="","",'Final Calculation Sheet'!$G$35)</f>
        <v/>
      </c>
      <c r="B72">
        <f>IF(A72="","",COUNTIFS(A$4:A$114,"&lt;"&amp;A72,A$4:A$114,"&lt;&gt;"&amp;"")+COUNTIF(A$4:A72,A72))</f>
        <v/>
      </c>
      <c r="C72">
        <f>IF(ROW()-3&gt;COUNTIF(A$4:A$114,"&lt;&gt;"&amp;""),"",INDEX(A$4:A$114,MATCH(ROW()-3,B$4:B$114,0)))</f>
        <v/>
      </c>
      <c r="D72">
        <f>D71+IF(AND(C72&lt;&gt;"",COUNTIF(C$4:C72,C72)=1),1,0)</f>
        <v/>
      </c>
      <c r="E72">
        <f>IF(ROW()-3&gt;MAX(D$4:D$114),"",INDEX(C$4:C$114,MATCH(ROW()-3,D$4:D$114,0)))</f>
        <v/>
      </c>
    </row>
    <row r="73">
      <c r="A73">
        <f>IF(IFERROR('Final Calculation Sheet'!$G$36,"")="","",'Final Calculation Sheet'!$G$36)</f>
        <v/>
      </c>
      <c r="B73">
        <f>IF(A73="","",COUNTIFS(A$4:A$114,"&lt;"&amp;A73,A$4:A$114,"&lt;&gt;"&amp;"")+COUNTIF(A$4:A73,A73))</f>
        <v/>
      </c>
      <c r="C73">
        <f>IF(ROW()-3&gt;COUNTIF(A$4:A$114,"&lt;&gt;"&amp;""),"",INDEX(A$4:A$114,MATCH(ROW()-3,B$4:B$114,0)))</f>
        <v/>
      </c>
      <c r="D73">
        <f>D72+IF(AND(C73&lt;&gt;"",COUNTIF(C$4:C73,C73)=1),1,0)</f>
        <v/>
      </c>
      <c r="E73">
        <f>IF(ROW()-3&gt;MAX(D$4:D$114),"",INDEX(C$4:C$114,MATCH(ROW()-3,D$4:D$114,0)))</f>
        <v/>
      </c>
    </row>
    <row r="74">
      <c r="A74">
        <f>IF(IFERROR('Final Calculation Sheet'!$G$37,"")="","",'Final Calculation Sheet'!$G$37)</f>
        <v/>
      </c>
      <c r="B74">
        <f>IF(A74="","",COUNTIFS(A$4:A$114,"&lt;"&amp;A74,A$4:A$114,"&lt;&gt;"&amp;"")+COUNTIF(A$4:A74,A74))</f>
        <v/>
      </c>
      <c r="C74">
        <f>IF(ROW()-3&gt;COUNTIF(A$4:A$114,"&lt;&gt;"&amp;""),"",INDEX(A$4:A$114,MATCH(ROW()-3,B$4:B$114,0)))</f>
        <v/>
      </c>
      <c r="D74">
        <f>D73+IF(AND(C74&lt;&gt;"",COUNTIF(C$4:C74,C74)=1),1,0)</f>
        <v/>
      </c>
      <c r="E74">
        <f>IF(ROW()-3&gt;MAX(D$4:D$114),"",INDEX(C$4:C$114,MATCH(ROW()-3,D$4:D$114,0)))</f>
        <v/>
      </c>
    </row>
    <row r="75">
      <c r="A75">
        <f>IF(IFERROR('Final Calculation Sheet'!$G$38,"")="","",'Final Calculation Sheet'!$G$38)</f>
        <v/>
      </c>
      <c r="B75">
        <f>IF(A75="","",COUNTIFS(A$4:A$114,"&lt;"&amp;A75,A$4:A$114,"&lt;&gt;"&amp;"")+COUNTIF(A$4:A75,A75))</f>
        <v/>
      </c>
      <c r="C75">
        <f>IF(ROW()-3&gt;COUNTIF(A$4:A$114,"&lt;&gt;"&amp;""),"",INDEX(A$4:A$114,MATCH(ROW()-3,B$4:B$114,0)))</f>
        <v/>
      </c>
      <c r="D75">
        <f>D74+IF(AND(C75&lt;&gt;"",COUNTIF(C$4:C75,C75)=1),1,0)</f>
        <v/>
      </c>
      <c r="E75">
        <f>IF(ROW()-3&gt;MAX(D$4:D$114),"",INDEX(C$4:C$114,MATCH(ROW()-3,D$4:D$114,0)))</f>
        <v/>
      </c>
    </row>
    <row r="76">
      <c r="A76">
        <f>IF(IFERROR('Final Calculation Sheet'!$G$39,"")="","",'Final Calculation Sheet'!$G$39)</f>
        <v/>
      </c>
      <c r="B76">
        <f>IF(A76="","",COUNTIFS(A$4:A$114,"&lt;"&amp;A76,A$4:A$114,"&lt;&gt;"&amp;"")+COUNTIF(A$4:A76,A76))</f>
        <v/>
      </c>
      <c r="C76">
        <f>IF(ROW()-3&gt;COUNTIF(A$4:A$114,"&lt;&gt;"&amp;""),"",INDEX(A$4:A$114,MATCH(ROW()-3,B$4:B$114,0)))</f>
        <v/>
      </c>
      <c r="D76">
        <f>D75+IF(AND(C76&lt;&gt;"",COUNTIF(C$4:C76,C76)=1),1,0)</f>
        <v/>
      </c>
      <c r="E76">
        <f>IF(ROW()-3&gt;MAX(D$4:D$114),"",INDEX(C$4:C$114,MATCH(ROW()-3,D$4:D$114,0)))</f>
        <v/>
      </c>
    </row>
    <row r="77">
      <c r="A77">
        <f>IF(IFERROR('Final Calculation Sheet'!$G$40,"")="","",'Final Calculation Sheet'!$G$40)</f>
        <v/>
      </c>
      <c r="B77">
        <f>IF(A77="","",COUNTIFS(A$4:A$114,"&lt;"&amp;A77,A$4:A$114,"&lt;&gt;"&amp;"")+COUNTIF(A$4:A77,A77))</f>
        <v/>
      </c>
      <c r="C77">
        <f>IF(ROW()-3&gt;COUNTIF(A$4:A$114,"&lt;&gt;"&amp;""),"",INDEX(A$4:A$114,MATCH(ROW()-3,B$4:B$114,0)))</f>
        <v/>
      </c>
      <c r="D77">
        <f>D76+IF(AND(C77&lt;&gt;"",COUNTIF(C$4:C77,C77)=1),1,0)</f>
        <v/>
      </c>
      <c r="E77">
        <f>IF(ROW()-3&gt;MAX(D$4:D$114),"",INDEX(C$4:C$114,MATCH(ROW()-3,D$4:D$114,0)))</f>
        <v/>
      </c>
    </row>
    <row r="78">
      <c r="A78">
        <f>IF(IFERROR('Final Calculation Sheet'!$B$4,"")="","",'Final Calculation Sheet'!$B$4)</f>
        <v/>
      </c>
      <c r="B78">
        <f>IF(A78="","",COUNTIFS(A$4:A$114,"&lt;"&amp;A78,A$4:A$114,"&lt;&gt;"&amp;"")+COUNTIF(A$4:A78,A78))</f>
        <v/>
      </c>
      <c r="C78">
        <f>IF(ROW()-3&gt;COUNTIF(A$4:A$114,"&lt;&gt;"&amp;""),"",INDEX(A$4:A$114,MATCH(ROW()-3,B$4:B$114,0)))</f>
        <v/>
      </c>
      <c r="D78">
        <f>D77+IF(AND(C78&lt;&gt;"",COUNTIF(C$4:C78,C78)=1),1,0)</f>
        <v/>
      </c>
      <c r="E78">
        <f>IF(ROW()-3&gt;MAX(D$4:D$114),"",INDEX(C$4:C$114,MATCH(ROW()-3,D$4:D$114,0)))</f>
        <v/>
      </c>
    </row>
    <row r="79">
      <c r="A79">
        <f>IF(IFERROR('Final Calculation Sheet'!$B$5,"")="","",'Final Calculation Sheet'!$B$5)</f>
        <v/>
      </c>
      <c r="B79">
        <f>IF(A79="","",COUNTIFS(A$4:A$114,"&lt;"&amp;A79,A$4:A$114,"&lt;&gt;"&amp;"")+COUNTIF(A$4:A79,A79))</f>
        <v/>
      </c>
      <c r="C79">
        <f>IF(ROW()-3&gt;COUNTIF(A$4:A$114,"&lt;&gt;"&amp;""),"",INDEX(A$4:A$114,MATCH(ROW()-3,B$4:B$114,0)))</f>
        <v/>
      </c>
      <c r="D79">
        <f>D78+IF(AND(C79&lt;&gt;"",COUNTIF(C$4:C79,C79)=1),1,0)</f>
        <v/>
      </c>
      <c r="E79">
        <f>IF(ROW()-3&gt;MAX(D$4:D$114),"",INDEX(C$4:C$114,MATCH(ROW()-3,D$4:D$114,0)))</f>
        <v/>
      </c>
    </row>
    <row r="80">
      <c r="A80">
        <f>IF(IFERROR('Final Calculation Sheet'!$B$6,"")="","",'Final Calculation Sheet'!$B$6)</f>
        <v/>
      </c>
      <c r="B80">
        <f>IF(A80="","",COUNTIFS(A$4:A$114,"&lt;"&amp;A80,A$4:A$114,"&lt;&gt;"&amp;"")+COUNTIF(A$4:A80,A80))</f>
        <v/>
      </c>
      <c r="C80">
        <f>IF(ROW()-3&gt;COUNTIF(A$4:A$114,"&lt;&gt;"&amp;""),"",INDEX(A$4:A$114,MATCH(ROW()-3,B$4:B$114,0)))</f>
        <v/>
      </c>
      <c r="D80">
        <f>D79+IF(AND(C80&lt;&gt;"",COUNTIF(C$4:C80,C80)=1),1,0)</f>
        <v/>
      </c>
      <c r="E80">
        <f>IF(ROW()-3&gt;MAX(D$4:D$114),"",INDEX(C$4:C$114,MATCH(ROW()-3,D$4:D$114,0)))</f>
        <v/>
      </c>
    </row>
    <row r="81">
      <c r="A81">
        <f>IF(IFERROR('Final Calculation Sheet'!$B$7,"")="","",'Final Calculation Sheet'!$B$7)</f>
        <v/>
      </c>
      <c r="B81">
        <f>IF(A81="","",COUNTIFS(A$4:A$114,"&lt;"&amp;A81,A$4:A$114,"&lt;&gt;"&amp;"")+COUNTIF(A$4:A81,A81))</f>
        <v/>
      </c>
      <c r="C81">
        <f>IF(ROW()-3&gt;COUNTIF(A$4:A$114,"&lt;&gt;"&amp;""),"",INDEX(A$4:A$114,MATCH(ROW()-3,B$4:B$114,0)))</f>
        <v/>
      </c>
      <c r="D81">
        <f>D80+IF(AND(C81&lt;&gt;"",COUNTIF(C$4:C81,C81)=1),1,0)</f>
        <v/>
      </c>
      <c r="E81">
        <f>IF(ROW()-3&gt;MAX(D$4:D$114),"",INDEX(C$4:C$114,MATCH(ROW()-3,D$4:D$114,0)))</f>
        <v/>
      </c>
    </row>
    <row r="82">
      <c r="A82">
        <f>IF(IFERROR('Final Calculation Sheet'!$B$8,"")="","",'Final Calculation Sheet'!$B$8)</f>
        <v/>
      </c>
      <c r="B82">
        <f>IF(A82="","",COUNTIFS(A$4:A$114,"&lt;"&amp;A82,A$4:A$114,"&lt;&gt;"&amp;"")+COUNTIF(A$4:A82,A82))</f>
        <v/>
      </c>
      <c r="C82">
        <f>IF(ROW()-3&gt;COUNTIF(A$4:A$114,"&lt;&gt;"&amp;""),"",INDEX(A$4:A$114,MATCH(ROW()-3,B$4:B$114,0)))</f>
        <v/>
      </c>
      <c r="D82">
        <f>D81+IF(AND(C82&lt;&gt;"",COUNTIF(C$4:C82,C82)=1),1,0)</f>
        <v/>
      </c>
      <c r="E82">
        <f>IF(ROW()-3&gt;MAX(D$4:D$114),"",INDEX(C$4:C$114,MATCH(ROW()-3,D$4:D$114,0)))</f>
        <v/>
      </c>
    </row>
    <row r="83">
      <c r="A83">
        <f>IF(IFERROR('Final Calculation Sheet'!$B$9,"")="","",'Final Calculation Sheet'!$B$9)</f>
        <v/>
      </c>
      <c r="B83">
        <f>IF(A83="","",COUNTIFS(A$4:A$114,"&lt;"&amp;A83,A$4:A$114,"&lt;&gt;"&amp;"")+COUNTIF(A$4:A83,A83))</f>
        <v/>
      </c>
      <c r="C83">
        <f>IF(ROW()-3&gt;COUNTIF(A$4:A$114,"&lt;&gt;"&amp;""),"",INDEX(A$4:A$114,MATCH(ROW()-3,B$4:B$114,0)))</f>
        <v/>
      </c>
      <c r="D83">
        <f>D82+IF(AND(C83&lt;&gt;"",COUNTIF(C$4:C83,C83)=1),1,0)</f>
        <v/>
      </c>
      <c r="E83">
        <f>IF(ROW()-3&gt;MAX(D$4:D$114),"",INDEX(C$4:C$114,MATCH(ROW()-3,D$4:D$114,0)))</f>
        <v/>
      </c>
    </row>
    <row r="84">
      <c r="A84">
        <f>IF(IFERROR('Final Calculation Sheet'!$B$10,"")="","",'Final Calculation Sheet'!$B$10)</f>
        <v/>
      </c>
      <c r="B84">
        <f>IF(A84="","",COUNTIFS(A$4:A$114,"&lt;"&amp;A84,A$4:A$114,"&lt;&gt;"&amp;"")+COUNTIF(A$4:A84,A84))</f>
        <v/>
      </c>
      <c r="C84">
        <f>IF(ROW()-3&gt;COUNTIF(A$4:A$114,"&lt;&gt;"&amp;""),"",INDEX(A$4:A$114,MATCH(ROW()-3,B$4:B$114,0)))</f>
        <v/>
      </c>
      <c r="D84">
        <f>D83+IF(AND(C84&lt;&gt;"",COUNTIF(C$4:C84,C84)=1),1,0)</f>
        <v/>
      </c>
      <c r="E84">
        <f>IF(ROW()-3&gt;MAX(D$4:D$114),"",INDEX(C$4:C$114,MATCH(ROW()-3,D$4:D$114,0)))</f>
        <v/>
      </c>
    </row>
    <row r="85">
      <c r="A85">
        <f>IF(IFERROR('Final Calculation Sheet'!$B$11,"")="","",'Final Calculation Sheet'!$B$11)</f>
        <v/>
      </c>
      <c r="B85">
        <f>IF(A85="","",COUNTIFS(A$4:A$114,"&lt;"&amp;A85,A$4:A$114,"&lt;&gt;"&amp;"")+COUNTIF(A$4:A85,A85))</f>
        <v/>
      </c>
      <c r="C85">
        <f>IF(ROW()-3&gt;COUNTIF(A$4:A$114,"&lt;&gt;"&amp;""),"",INDEX(A$4:A$114,MATCH(ROW()-3,B$4:B$114,0)))</f>
        <v/>
      </c>
      <c r="D85">
        <f>D84+IF(AND(C85&lt;&gt;"",COUNTIF(C$4:C85,C85)=1),1,0)</f>
        <v/>
      </c>
      <c r="E85">
        <f>IF(ROW()-3&gt;MAX(D$4:D$114),"",INDEX(C$4:C$114,MATCH(ROW()-3,D$4:D$114,0)))</f>
        <v/>
      </c>
    </row>
    <row r="86">
      <c r="A86">
        <f>IF(IFERROR('Final Calculation Sheet'!$B$12,"")="","",'Final Calculation Sheet'!$B$12)</f>
        <v/>
      </c>
      <c r="B86">
        <f>IF(A86="","",COUNTIFS(A$4:A$114,"&lt;"&amp;A86,A$4:A$114,"&lt;&gt;"&amp;"")+COUNTIF(A$4:A86,A86))</f>
        <v/>
      </c>
      <c r="C86">
        <f>IF(ROW()-3&gt;COUNTIF(A$4:A$114,"&lt;&gt;"&amp;""),"",INDEX(A$4:A$114,MATCH(ROW()-3,B$4:B$114,0)))</f>
        <v/>
      </c>
      <c r="D86">
        <f>D85+IF(AND(C86&lt;&gt;"",COUNTIF(C$4:C86,C86)=1),1,0)</f>
        <v/>
      </c>
      <c r="E86">
        <f>IF(ROW()-3&gt;MAX(D$4:D$114),"",INDEX(C$4:C$114,MATCH(ROW()-3,D$4:D$114,0)))</f>
        <v/>
      </c>
    </row>
    <row r="87">
      <c r="A87">
        <f>IF(IFERROR('Final Calculation Sheet'!$B$13,"")="","",'Final Calculation Sheet'!$B$13)</f>
        <v/>
      </c>
      <c r="B87">
        <f>IF(A87="","",COUNTIFS(A$4:A$114,"&lt;"&amp;A87,A$4:A$114,"&lt;&gt;"&amp;"")+COUNTIF(A$4:A87,A87))</f>
        <v/>
      </c>
      <c r="C87">
        <f>IF(ROW()-3&gt;COUNTIF(A$4:A$114,"&lt;&gt;"&amp;""),"",INDEX(A$4:A$114,MATCH(ROW()-3,B$4:B$114,0)))</f>
        <v/>
      </c>
      <c r="D87">
        <f>D86+IF(AND(C87&lt;&gt;"",COUNTIF(C$4:C87,C87)=1),1,0)</f>
        <v/>
      </c>
      <c r="E87">
        <f>IF(ROW()-3&gt;MAX(D$4:D$114),"",INDEX(C$4:C$114,MATCH(ROW()-3,D$4:D$114,0)))</f>
        <v/>
      </c>
    </row>
    <row r="88">
      <c r="A88">
        <f>IF(IFERROR('Final Calculation Sheet'!$B$14,"")="","",'Final Calculation Sheet'!$B$14)</f>
        <v/>
      </c>
      <c r="B88">
        <f>IF(A88="","",COUNTIFS(A$4:A$114,"&lt;"&amp;A88,A$4:A$114,"&lt;&gt;"&amp;"")+COUNTIF(A$4:A88,A88))</f>
        <v/>
      </c>
      <c r="C88">
        <f>IF(ROW()-3&gt;COUNTIF(A$4:A$114,"&lt;&gt;"&amp;""),"",INDEX(A$4:A$114,MATCH(ROW()-3,B$4:B$114,0)))</f>
        <v/>
      </c>
      <c r="D88">
        <f>D87+IF(AND(C88&lt;&gt;"",COUNTIF(C$4:C88,C88)=1),1,0)</f>
        <v/>
      </c>
      <c r="E88">
        <f>IF(ROW()-3&gt;MAX(D$4:D$114),"",INDEX(C$4:C$114,MATCH(ROW()-3,D$4:D$114,0)))</f>
        <v/>
      </c>
    </row>
    <row r="89">
      <c r="A89">
        <f>IF(IFERROR('Final Calculation Sheet'!$B$15,"")="","",'Final Calculation Sheet'!$B$15)</f>
        <v/>
      </c>
      <c r="B89">
        <f>IF(A89="","",COUNTIFS(A$4:A$114,"&lt;"&amp;A89,A$4:A$114,"&lt;&gt;"&amp;"")+COUNTIF(A$4:A89,A89))</f>
        <v/>
      </c>
      <c r="C89">
        <f>IF(ROW()-3&gt;COUNTIF(A$4:A$114,"&lt;&gt;"&amp;""),"",INDEX(A$4:A$114,MATCH(ROW()-3,B$4:B$114,0)))</f>
        <v/>
      </c>
      <c r="D89">
        <f>D88+IF(AND(C89&lt;&gt;"",COUNTIF(C$4:C89,C89)=1),1,0)</f>
        <v/>
      </c>
      <c r="E89">
        <f>IF(ROW()-3&gt;MAX(D$4:D$114),"",INDEX(C$4:C$114,MATCH(ROW()-3,D$4:D$114,0)))</f>
        <v/>
      </c>
    </row>
    <row r="90">
      <c r="A90">
        <f>IF(IFERROR('Final Calculation Sheet'!$B$16,"")="","",'Final Calculation Sheet'!$B$16)</f>
        <v/>
      </c>
      <c r="B90">
        <f>IF(A90="","",COUNTIFS(A$4:A$114,"&lt;"&amp;A90,A$4:A$114,"&lt;&gt;"&amp;"")+COUNTIF(A$4:A90,A90))</f>
        <v/>
      </c>
      <c r="C90">
        <f>IF(ROW()-3&gt;COUNTIF(A$4:A$114,"&lt;&gt;"&amp;""),"",INDEX(A$4:A$114,MATCH(ROW()-3,B$4:B$114,0)))</f>
        <v/>
      </c>
      <c r="D90">
        <f>D89+IF(AND(C90&lt;&gt;"",COUNTIF(C$4:C90,C90)=1),1,0)</f>
        <v/>
      </c>
      <c r="E90">
        <f>IF(ROW()-3&gt;MAX(D$4:D$114),"",INDEX(C$4:C$114,MATCH(ROW()-3,D$4:D$114,0)))</f>
        <v/>
      </c>
    </row>
    <row r="91">
      <c r="A91">
        <f>IF(IFERROR('Final Calculation Sheet'!$B$17,"")="","",'Final Calculation Sheet'!$B$17)</f>
        <v/>
      </c>
      <c r="B91">
        <f>IF(A91="","",COUNTIFS(A$4:A$114,"&lt;"&amp;A91,A$4:A$114,"&lt;&gt;"&amp;"")+COUNTIF(A$4:A91,A91))</f>
        <v/>
      </c>
      <c r="C91">
        <f>IF(ROW()-3&gt;COUNTIF(A$4:A$114,"&lt;&gt;"&amp;""),"",INDEX(A$4:A$114,MATCH(ROW()-3,B$4:B$114,0)))</f>
        <v/>
      </c>
      <c r="D91">
        <f>D90+IF(AND(C91&lt;&gt;"",COUNTIF(C$4:C91,C91)=1),1,0)</f>
        <v/>
      </c>
      <c r="E91">
        <f>IF(ROW()-3&gt;MAX(D$4:D$114),"",INDEX(C$4:C$114,MATCH(ROW()-3,D$4:D$114,0)))</f>
        <v/>
      </c>
    </row>
    <row r="92">
      <c r="A92">
        <f>IF(IFERROR('Final Calculation Sheet'!$B$18,"")="","",'Final Calculation Sheet'!$B$18)</f>
        <v/>
      </c>
      <c r="B92">
        <f>IF(A92="","",COUNTIFS(A$4:A$114,"&lt;"&amp;A92,A$4:A$114,"&lt;&gt;"&amp;"")+COUNTIF(A$4:A92,A92))</f>
        <v/>
      </c>
      <c r="C92">
        <f>IF(ROW()-3&gt;COUNTIF(A$4:A$114,"&lt;&gt;"&amp;""),"",INDEX(A$4:A$114,MATCH(ROW()-3,B$4:B$114,0)))</f>
        <v/>
      </c>
      <c r="D92">
        <f>D91+IF(AND(C92&lt;&gt;"",COUNTIF(C$4:C92,C92)=1),1,0)</f>
        <v/>
      </c>
      <c r="E92">
        <f>IF(ROW()-3&gt;MAX(D$4:D$114),"",INDEX(C$4:C$114,MATCH(ROW()-3,D$4:D$114,0)))</f>
        <v/>
      </c>
    </row>
    <row r="93">
      <c r="A93">
        <f>IF(IFERROR('Final Calculation Sheet'!$B$19,"")="","",'Final Calculation Sheet'!$B$19)</f>
        <v/>
      </c>
      <c r="B93">
        <f>IF(A93="","",COUNTIFS(A$4:A$114,"&lt;"&amp;A93,A$4:A$114,"&lt;&gt;"&amp;"")+COUNTIF(A$4:A93,A93))</f>
        <v/>
      </c>
      <c r="C93">
        <f>IF(ROW()-3&gt;COUNTIF(A$4:A$114,"&lt;&gt;"&amp;""),"",INDEX(A$4:A$114,MATCH(ROW()-3,B$4:B$114,0)))</f>
        <v/>
      </c>
      <c r="D93">
        <f>D92+IF(AND(C93&lt;&gt;"",COUNTIF(C$4:C93,C93)=1),1,0)</f>
        <v/>
      </c>
      <c r="E93">
        <f>IF(ROW()-3&gt;MAX(D$4:D$114),"",INDEX(C$4:C$114,MATCH(ROW()-3,D$4:D$114,0)))</f>
        <v/>
      </c>
    </row>
    <row r="94">
      <c r="A94">
        <f>IF(IFERROR('Final Calculation Sheet'!$B$20,"")="","",'Final Calculation Sheet'!$B$20)</f>
        <v/>
      </c>
      <c r="B94">
        <f>IF(A94="","",COUNTIFS(A$4:A$114,"&lt;"&amp;A94,A$4:A$114,"&lt;&gt;"&amp;"")+COUNTIF(A$4:A94,A94))</f>
        <v/>
      </c>
      <c r="C94">
        <f>IF(ROW()-3&gt;COUNTIF(A$4:A$114,"&lt;&gt;"&amp;""),"",INDEX(A$4:A$114,MATCH(ROW()-3,B$4:B$114,0)))</f>
        <v/>
      </c>
      <c r="D94">
        <f>D93+IF(AND(C94&lt;&gt;"",COUNTIF(C$4:C94,C94)=1),1,0)</f>
        <v/>
      </c>
      <c r="E94">
        <f>IF(ROW()-3&gt;MAX(D$4:D$114),"",INDEX(C$4:C$114,MATCH(ROW()-3,D$4:D$114,0)))</f>
        <v/>
      </c>
    </row>
    <row r="95">
      <c r="A95">
        <f>IF(IFERROR('Final Calculation Sheet'!$B$21,"")="","",'Final Calculation Sheet'!$B$21)</f>
        <v/>
      </c>
      <c r="B95">
        <f>IF(A95="","",COUNTIFS(A$4:A$114,"&lt;"&amp;A95,A$4:A$114,"&lt;&gt;"&amp;"")+COUNTIF(A$4:A95,A95))</f>
        <v/>
      </c>
      <c r="C95">
        <f>IF(ROW()-3&gt;COUNTIF(A$4:A$114,"&lt;&gt;"&amp;""),"",INDEX(A$4:A$114,MATCH(ROW()-3,B$4:B$114,0)))</f>
        <v/>
      </c>
      <c r="D95">
        <f>D94+IF(AND(C95&lt;&gt;"",COUNTIF(C$4:C95,C95)=1),1,0)</f>
        <v/>
      </c>
      <c r="E95">
        <f>IF(ROW()-3&gt;MAX(D$4:D$114),"",INDEX(C$4:C$114,MATCH(ROW()-3,D$4:D$114,0)))</f>
        <v/>
      </c>
    </row>
    <row r="96">
      <c r="A96">
        <f>IF(IFERROR('Final Calculation Sheet'!$B$22,"")="","",'Final Calculation Sheet'!$B$22)</f>
        <v/>
      </c>
      <c r="B96">
        <f>IF(A96="","",COUNTIFS(A$4:A$114,"&lt;"&amp;A96,A$4:A$114,"&lt;&gt;"&amp;"")+COUNTIF(A$4:A96,A96))</f>
        <v/>
      </c>
      <c r="C96">
        <f>IF(ROW()-3&gt;COUNTIF(A$4:A$114,"&lt;&gt;"&amp;""),"",INDEX(A$4:A$114,MATCH(ROW()-3,B$4:B$114,0)))</f>
        <v/>
      </c>
      <c r="D96">
        <f>D95+IF(AND(C96&lt;&gt;"",COUNTIF(C$4:C96,C96)=1),1,0)</f>
        <v/>
      </c>
      <c r="E96">
        <f>IF(ROW()-3&gt;MAX(D$4:D$114),"",INDEX(C$4:C$114,MATCH(ROW()-3,D$4:D$114,0)))</f>
        <v/>
      </c>
    </row>
    <row r="97">
      <c r="A97">
        <f>IF(IFERROR('Final Calculation Sheet'!$B$23,"")="","",'Final Calculation Sheet'!$B$23)</f>
        <v/>
      </c>
      <c r="B97">
        <f>IF(A97="","",COUNTIFS(A$4:A$114,"&lt;"&amp;A97,A$4:A$114,"&lt;&gt;"&amp;"")+COUNTIF(A$4:A97,A97))</f>
        <v/>
      </c>
      <c r="C97">
        <f>IF(ROW()-3&gt;COUNTIF(A$4:A$114,"&lt;&gt;"&amp;""),"",INDEX(A$4:A$114,MATCH(ROW()-3,B$4:B$114,0)))</f>
        <v/>
      </c>
      <c r="D97">
        <f>D96+IF(AND(C97&lt;&gt;"",COUNTIF(C$4:C97,C97)=1),1,0)</f>
        <v/>
      </c>
      <c r="E97">
        <f>IF(ROW()-3&gt;MAX(D$4:D$114),"",INDEX(C$4:C$114,MATCH(ROW()-3,D$4:D$114,0)))</f>
        <v/>
      </c>
    </row>
    <row r="98">
      <c r="A98">
        <f>IF(IFERROR('Final Calculation Sheet'!$B$24,"")="","",'Final Calculation Sheet'!$B$24)</f>
        <v/>
      </c>
      <c r="B98">
        <f>IF(A98="","",COUNTIFS(A$4:A$114,"&lt;"&amp;A98,A$4:A$114,"&lt;&gt;"&amp;"")+COUNTIF(A$4:A98,A98))</f>
        <v/>
      </c>
      <c r="C98">
        <f>IF(ROW()-3&gt;COUNTIF(A$4:A$114,"&lt;&gt;"&amp;""),"",INDEX(A$4:A$114,MATCH(ROW()-3,B$4:B$114,0)))</f>
        <v/>
      </c>
      <c r="D98">
        <f>D97+IF(AND(C98&lt;&gt;"",COUNTIF(C$4:C98,C98)=1),1,0)</f>
        <v/>
      </c>
      <c r="E98">
        <f>IF(ROW()-3&gt;MAX(D$4:D$114),"",INDEX(C$4:C$114,MATCH(ROW()-3,D$4:D$114,0)))</f>
        <v/>
      </c>
    </row>
    <row r="99">
      <c r="A99">
        <f>IF(IFERROR('Final Calculation Sheet'!$B$25,"")="","",'Final Calculation Sheet'!$B$25)</f>
        <v/>
      </c>
      <c r="B99">
        <f>IF(A99="","",COUNTIFS(A$4:A$114,"&lt;"&amp;A99,A$4:A$114,"&lt;&gt;"&amp;"")+COUNTIF(A$4:A99,A99))</f>
        <v/>
      </c>
      <c r="C99">
        <f>IF(ROW()-3&gt;COUNTIF(A$4:A$114,"&lt;&gt;"&amp;""),"",INDEX(A$4:A$114,MATCH(ROW()-3,B$4:B$114,0)))</f>
        <v/>
      </c>
      <c r="D99">
        <f>D98+IF(AND(C99&lt;&gt;"",COUNTIF(C$4:C99,C99)=1),1,0)</f>
        <v/>
      </c>
      <c r="E99">
        <f>IF(ROW()-3&gt;MAX(D$4:D$114),"",INDEX(C$4:C$114,MATCH(ROW()-3,D$4:D$114,0)))</f>
        <v/>
      </c>
    </row>
    <row r="100">
      <c r="A100">
        <f>IF(IFERROR('Final Calculation Sheet'!$B$26,"")="","",'Final Calculation Sheet'!$B$26)</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IF(IFERROR('Final Calculation Sheet'!$B$27,"")="","",'Final Calculation Sheet'!$B$27)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IF(IFERROR('Final Calculation Sheet'!$B$28,"")="","",'Final Calculation Sheet'!$B$28)</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IF(IFERROR('Final Calculation Sheet'!$B$29,"")="","",'Final Calculation Sheet'!$B$29)</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IF(IFERROR('Final Calculation Sheet'!$B$30,"")="","",'Final Calculation Sheet'!$B$30)</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IF(IFERROR('Final Calculation Sheet'!$B$31,"")="","",'Final Calculation Sheet'!$B$31)</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IF(IFERROR('Final Calculation Sheet'!$B$32,"")="","",'Final Calculation Sheet'!$B$32)</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IF(IFERROR('Final Calculation Sheet'!$B$33,"")="","",'Final Calculation Sheet'!$B$33)</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IF(IFERROR('Final Calculation Sheet'!$B$34,"")="","",'Final Calculation Sheet'!$B$34)</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IF(IFERROR('Final Calculation Sheet'!$B$35,"")="","",'Final Calculation Sheet'!$B$35)</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IF(IFERROR('Final Calculation Sheet'!$B$36,"")="","",'Final Calculation Sheet'!$B$36)</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IF(IFERROR('Final Calculation Sheet'!$B$37,"")="","",'Final Calculation Sheet'!$B$37)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IF(IFERROR('Final Calculation Sheet'!$B$38,"")="","",'Final Calculation Sheet'!$B$38)</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IF(IFERROR('Final Calculation Sheet'!$B$39,"")="","",'Final Calculation Sheet'!$B$39)</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IF(IFERROR('Final Calculation Sheet'!$B$40,"")="","",'Final Calculation Sheet'!$B$40)</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codeName="Sheet5">
    <outlinePr summaryBelow="1" summaryRight="1"/>
    <pageSetUpPr/>
  </sheetPr>
  <dimension ref="A1:AI38"/>
  <sheetViews>
    <sheetView zoomScaleNormal="100" workbookViewId="0">
      <selection activeCell="A1" sqref="A1"/>
    </sheetView>
  </sheetViews>
  <sheetFormatPr baseColWidth="8" defaultColWidth="8.7109375" defaultRowHeight="15"/>
  <sheetData>
    <row r="1">
      <c r="A1" t="inlineStr">
        <is>
          <t>#</t>
        </is>
      </c>
      <c r="B1" t="inlineStr">
        <is>
          <t>Lot No.</t>
        </is>
      </c>
      <c r="C1" t="inlineStr">
        <is>
          <t>Buyer</t>
        </is>
      </c>
      <c r="D1" t="inlineStr">
        <is>
          <t>Lot Name</t>
        </is>
      </c>
      <c r="E1" t="inlineStr">
        <is>
          <t>Bid Sheet</t>
        </is>
      </c>
      <c r="F1" t="inlineStr">
        <is>
          <t>Quantity</t>
        </is>
      </c>
      <c r="G1" t="inlineStr">
        <is>
          <t>Unit</t>
        </is>
      </c>
      <c r="H1" t="inlineStr">
        <is>
          <t>Rate</t>
        </is>
      </c>
      <c r="I1" t="inlineStr">
        <is>
          <t>Mat. Value</t>
        </is>
      </c>
      <c r="J1" t="inlineStr">
        <is>
          <t>GST</t>
        </is>
      </c>
      <c r="K1" t="inlineStr">
        <is>
          <t>Mat. Value + GST</t>
        </is>
      </c>
      <c r="L1" t="inlineStr">
        <is>
          <t>TCS</t>
        </is>
      </c>
      <c r="M1" t="inlineStr">
        <is>
          <t>TDS u/s 194(O)</t>
        </is>
      </c>
      <c r="N1" t="inlineStr">
        <is>
          <t>Service Charge to MSTC</t>
        </is>
      </c>
      <c r="O1" t="inlineStr">
        <is>
          <t>TDS u/s 194(H)</t>
        </is>
      </c>
      <c r="P1" t="inlineStr">
        <is>
          <t>Net Service Charge (post TDS 194H)</t>
        </is>
      </c>
      <c r="Q1" t="inlineStr">
        <is>
          <t>Service charge to MSTC</t>
        </is>
      </c>
      <c r="R1" t="inlineStr">
        <is>
          <t>GST TDS Rate</t>
        </is>
      </c>
      <c r="S1" t="inlineStr">
        <is>
          <t>GST TDS</t>
        </is>
      </c>
      <c r="T1" t="inlineStr">
        <is>
          <t>Total Receivables in Cash</t>
        </is>
      </c>
      <c r="U1" t="inlineStr">
        <is>
          <t>Security Deposit (Expected)</t>
        </is>
      </c>
      <c r="V1" t="inlineStr">
        <is>
          <t>Security Deposit (Received)</t>
        </is>
      </c>
      <c r="W1" t="inlineStr">
        <is>
          <t>Date of Receipt (col V)</t>
        </is>
      </c>
      <c r="X1" t="inlineStr">
        <is>
          <t>Final Payment (Expected)</t>
        </is>
      </c>
      <c r="Y1" t="inlineStr">
        <is>
          <t>Final Payment (Received)</t>
        </is>
      </c>
      <c r="Z1" t="inlineStr">
        <is>
          <t>Date of Receipt (col Y)</t>
        </is>
      </c>
      <c r="AA1" t="inlineStr">
        <is>
          <t>LPP Expected</t>
        </is>
      </c>
      <c r="AB1" t="inlineStr">
        <is>
          <t>LPP Received</t>
        </is>
      </c>
      <c r="AC1" t="inlineStr">
        <is>
          <t>Date of Recepit of LPP</t>
        </is>
      </c>
      <c r="AD1" t="inlineStr">
        <is>
          <t>Total Received</t>
        </is>
      </c>
      <c r="AE1" t="inlineStr">
        <is>
          <t>Outstanding</t>
        </is>
      </c>
      <c r="AF1" t="inlineStr">
        <is>
          <t>Invoice No.</t>
        </is>
      </c>
      <c r="AG1" t="inlineStr">
        <is>
          <t>SAP Document</t>
        </is>
      </c>
      <c r="AH1" t="inlineStr">
        <is>
          <t>Doc./Invoice Date</t>
        </is>
      </c>
      <c r="AI1" t="inlineStr">
        <is>
          <t>Payment Status</t>
        </is>
      </c>
    </row>
    <row r="2">
      <c r="A2">
        <f>IF($BJ5&gt;0,INDEX($BA$5:$BA$41,MATCH(5,$BB$5:$BB$41,0)),IF(OR($BI5=1,$BL5=1,$BH5&gt;0),"∑",""))</f>
        <v/>
      </c>
      <c r="B2">
        <f>IF($BJ5&gt;0,IF(INDEX('Final Calculation Sheet'!$F$4:$F$40,$BJ5-3)="","",INDEX('Final Calculation Sheet'!$F$4:$F$40,$BJ5-3)),"")</f>
        <v/>
      </c>
      <c r="C2">
        <f>IF($BJ5&gt;0,IF(INDEX('Final Calculation Sheet'!$G$4:$G$40,$BJ5-3)="","",INDEX('Final Calculation Sheet'!$G$4:$G$40,$BJ5-3)),IF(OR($BI5=1,$BL5=1,$BH5&gt;0),IF($BI5=1,37,IF($BL5=1,37-INDEX($BD$4:$BD$13,10),INDEX($BD$4:$BD$13,$BH5)))&amp;" lot(s)",""))</f>
        <v/>
      </c>
      <c r="D2">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2">
        <f>IF($BJ5&gt;0,IF(INDEX('Final Calculation Sheet'!$D$4:$D$40,$BJ5-3)="","",INDEX('Final Calculation Sheet'!$D$4:$D$40,$BJ5-3)),IF(OR($BI5=1,$BL5=1,$BH5&gt;0),"–",""))</f>
        <v/>
      </c>
      <c r="F2">
        <f>IF($BJ5&gt;0,IF(INDEX('Final Calculation Sheet'!$A$4:$A$40,$BJ5-3)="","",INDEX('Final Calculation Sheet'!$A$4:$A$40,$BJ5-3)),IF(OR($BI5=1,$BL5=1,$BH5&gt;0),IF($BI5=1,SUM('Final Calculation Sheet'!$A$4:$A$40),IF($BL5=1,SUM('Final Calculation Sheet'!$A$4:$A$40)-SUMIFS('Final Calculation Sheet'!$A$4:$A$40,$AZ$5:$AZ$41,10),SUMIFS('Final Calculation Sheet'!$A$4:$A$40,$AZ$5:$AZ$41,$BH5))),""))</f>
        <v/>
      </c>
      <c r="G2">
        <f>IF($BJ5&gt;0,IF(INDEX('Final Calculation Sheet'!$E$4:$E$40,$BJ5-3)="","",INDEX('Final Calculation Sheet'!$E$4:$E$40,$BJ5-3)),IF(OR($BI5=1,$BL5=1,$BH5&gt;0),"–",""))</f>
        <v/>
      </c>
      <c r="H2">
        <f>IF($BJ5&gt;0,IF(INDEX('Final Calculation Sheet'!$C$4:$C$40,$BJ5-3)="","",INDEX('Final Calculation Sheet'!$C$4:$C$40,$BJ5-3)),IF(OR($BI5=1,$BL5=1,$BH5&gt;0),"–",""))</f>
        <v/>
      </c>
      <c r="I2">
        <f>IF($BJ5&gt;0,IF(INDEX('Final Calculation Sheet'!$H$4:$H$40,$BJ5-3)="","",INDEX('Final Calculation Sheet'!$H$4:$H$40,$BJ5-3)),IF(OR($BI5=1,$BL5=1,$BH5&gt;0),IF($BI5=1,SUM('Final Calculation Sheet'!$H$4:$H$40),IF($BL5=1,SUM('Final Calculation Sheet'!$H$4:$H$40)-SUMIFS('Final Calculation Sheet'!$H$4:$H$40,$AZ$5:$AZ$41,10),SUMIFS('Final Calculation Sheet'!$H$4:$H$40,$AZ$5:$AZ$41,$BH5))),""))</f>
        <v/>
      </c>
      <c r="J2">
        <f>IF($BJ5&gt;0,IF(INDEX('Final Calculation Sheet'!$I$4:$I$40,$BJ5-3)="","",INDEX('Final Calculation Sheet'!$I$4:$I$40,$BJ5-3)),IF(OR($BI5=1,$BL5=1,$BH5&gt;0),IF($BI5=1,SUM('Final Calculation Sheet'!$I$4:$I$40),IF($BL5=1,SUM('Final Calculation Sheet'!$I$4:$I$40)-SUMIFS('Final Calculation Sheet'!$I$4:$I$40,$AZ$5:$AZ$41,10),SUMIFS('Final Calculation Sheet'!$I$4:$I$40,$AZ$5:$AZ$41,$BH5))),""))</f>
        <v/>
      </c>
      <c r="K2">
        <f>IF($BJ5&gt;0,IF(INDEX('Final Calculation Sheet'!$J$4:$J$40,$BJ5-3)="","",INDEX('Final Calculation Sheet'!$J$4:$J$40,$BJ5-3)),IF(OR($BI5=1,$BL5=1,$BH5&gt;0),IF($BI5=1,SUM('Final Calculation Sheet'!$J$4:$J$40),IF($BL5=1,SUM('Final Calculation Sheet'!$J$4:$J$40)-SUMIFS('Final Calculation Sheet'!$J$4:$J$40,$AZ$5:$AZ$41,10),SUMIFS('Final Calculation Sheet'!$J$4:$J$40,$AZ$5:$AZ$41,$BH5))),""))</f>
        <v/>
      </c>
      <c r="L2">
        <f>IF($BJ5&gt;0,IF(INDEX('Final Calculation Sheet'!$K$4:$K$40,$BJ5-3)="","",INDEX('Final Calculation Sheet'!$K$4:$K$40,$BJ5-3)),IF(OR($BI5=1,$BL5=1,$BH5&gt;0),IF($BI5=1,SUM('Final Calculation Sheet'!$K$4:$K$40),IF($BL5=1,SUM('Final Calculation Sheet'!$K$4:$K$40)-SUMIFS('Final Calculation Sheet'!$K$4:$K$40,$AZ$5:$AZ$41,10),SUMIFS('Final Calculation Sheet'!$K$4:$K$40,$AZ$5:$AZ$41,$BH5))),""))</f>
        <v/>
      </c>
      <c r="M2">
        <f>IF($BJ5&gt;0,IF(INDEX('Final Calculation Sheet'!$L$4:$L$40,$BJ5-3)="","",INDEX('Final Calculation Sheet'!$L$4:$L$40,$BJ5-3)),IF(OR($BI5=1,$BL5=1,$BH5&gt;0),IF($BI5=1,SUM('Final Calculation Sheet'!$L$4:$L$40),IF($BL5=1,SUM('Final Calculation Sheet'!$L$4:$L$40)-SUMIFS('Final Calculation Sheet'!$L$4:$L$40,$AZ$5:$AZ$41,10),SUMIFS('Final Calculation Sheet'!$L$4:$L$40,$AZ$5:$AZ$41,$BH5))),""))</f>
        <v/>
      </c>
      <c r="N2">
        <f>IF($BJ5&gt;0,IF(INDEX('Final Calculation Sheet'!$M$4:$M$40,$BJ5-3)="","",INDEX('Final Calculation Sheet'!$M$4:$M$40,$BJ5-3)),IF(OR($BI5=1,$BL5=1,$BH5&gt;0),IF($BI5=1,SUM('Final Calculation Sheet'!$M$4:$M$40),IF($BL5=1,SUM('Final Calculation Sheet'!$M$4:$M$40)-SUMIFS('Final Calculation Sheet'!$M$4:$M$40,$AZ$5:$AZ$41,10),SUMIFS('Final Calculation Sheet'!$M$4:$M$40,$AZ$5:$AZ$41,$BH5))),""))</f>
        <v/>
      </c>
      <c r="O2">
        <f>IF($BJ5&gt;0,IF(INDEX('Final Calculation Sheet'!$N$4:$N$40,$BJ5-3)="","",INDEX('Final Calculation Sheet'!$N$4:$N$40,$BJ5-3)),IF(OR($BI5=1,$BL5=1,$BH5&gt;0),IF($BI5=1,SUM('Final Calculation Sheet'!$N$4:$N$40),IF($BL5=1,SUM('Final Calculation Sheet'!$N$4:$N$40)-SUMIFS('Final Calculation Sheet'!$N$4:$N$40,$AZ$5:$AZ$41,10),SUMIFS('Final Calculation Sheet'!$N$4:$N$40,$AZ$5:$AZ$41,$BH5))),""))</f>
        <v/>
      </c>
      <c r="P2">
        <f>IF($BJ5&gt;0,IF(INDEX('Final Calculation Sheet'!$O$4:$O$40,$BJ5-3)="","",INDEX('Final Calculation Sheet'!$O$4:$O$40,$BJ5-3)),IF(OR($BI5=1,$BL5=1,$BH5&gt;0),IF($BI5=1,SUM('Final Calculation Sheet'!$O$4:$O$40),IF($BL5=1,SUM('Final Calculation Sheet'!$O$4:$O$40)-SUMIFS('Final Calculation Sheet'!$O$4:$O$40,$AZ$5:$AZ$41,10),SUMIFS('Final Calculation Sheet'!$O$4:$O$40,$AZ$5:$AZ$41,$BH5))),""))</f>
        <v/>
      </c>
      <c r="Q2">
        <f>IF($BJ5&gt;0,IF(INDEX('Final Calculation Sheet'!$P$4:$P$40,$BJ5-3)="","",INDEX('Final Calculation Sheet'!$P$4:$P$40,$BJ5-3)),IF(OR($BI5=1,$BL5=1,$BH5&gt;0),IF($BI5=1,SUM('Final Calculation Sheet'!$P$4:$P$40),IF($BL5=1,SUM('Final Calculation Sheet'!$P$4:$P$40)-SUMIFS('Final Calculation Sheet'!$P$4:$P$40,$AZ$5:$AZ$41,10),SUMIFS('Final Calculation Sheet'!$P$4:$P$40,$AZ$5:$AZ$41,$BH5))),""))</f>
        <v/>
      </c>
      <c r="R2">
        <f>IF($BJ5&gt;0,IF(INDEX('Final Calculation Sheet'!$Q$4:$Q$40,$BJ5-3)="","",INDEX('Final Calculation Sheet'!$Q$4:$Q$40,$BJ5-3)),IF(OR($BI5=1,$BL5=1,$BH5&gt;0),"–",""))</f>
        <v/>
      </c>
      <c r="S2">
        <f>IF($BJ5&gt;0,IF(INDEX('Final Calculation Sheet'!$R$4:$R$40,$BJ5-3)="","",INDEX('Final Calculation Sheet'!$R$4:$R$40,$BJ5-3)),IF(OR($BI5=1,$BL5=1,$BH5&gt;0),IF($BI5=1,SUM('Final Calculation Sheet'!$R$4:$R$40),IF($BL5=1,SUM('Final Calculation Sheet'!$R$4:$R$40)-SUMIFS('Final Calculation Sheet'!$R$4:$R$40,$AZ$5:$AZ$41,10),SUMIFS('Final Calculation Sheet'!$R$4:$R$40,$AZ$5:$AZ$41,$BH5))),""))</f>
        <v/>
      </c>
      <c r="T2">
        <f>IF($BJ5&gt;0,IF(INDEX('Final Calculation Sheet'!$S$4:$S$40,$BJ5-3)="","",INDEX('Final Calculation Sheet'!$S$4:$S$40,$BJ5-3)),IF(OR($BI5=1,$BL5=1,$BH5&gt;0),IF($BI5=1,SUM('Final Calculation Sheet'!$S$4:$S$40),IF($BL5=1,SUM('Final Calculation Sheet'!$S$4:$S$40)-SUMIFS('Final Calculation Sheet'!$S$4:$S$40,$AZ$5:$AZ$41,10),SUMIFS('Final Calculation Sheet'!$S$4:$S$40,$AZ$5:$AZ$41,$BH5))),""))</f>
        <v/>
      </c>
      <c r="U2">
        <f>IF($BJ5&gt;0,IF(INDEX('Final Calculation Sheet'!$T$4:$T$40,$BJ5-3)="","",INDEX('Final Calculation Sheet'!$T$4:$T$40,$BJ5-3)),IF(OR($BI5=1,$BL5=1,$BH5&gt;0),IF($BI5=1,SUM('Final Calculation Sheet'!$T$4:$T$40),IF($BL5=1,SUM('Final Calculation Sheet'!$T$4:$T$40)-SUMIFS('Final Calculation Sheet'!$T$4:$T$40,$AZ$5:$AZ$41,10),SUMIFS('Final Calculation Sheet'!$T$4:$T$40,$AZ$5:$AZ$41,$BH5))),""))</f>
        <v/>
      </c>
      <c r="V2">
        <f>IF($BJ5&gt;0,IF(INDEX('Final Calculation Sheet'!$U$4:$U$40,$BJ5-3)="","",INDEX('Final Calculation Sheet'!$U$4:$U$40,$BJ5-3)),IF(OR($BI5=1,$BL5=1,$BH5&gt;0),IF($BI5=1,SUM('Final Calculation Sheet'!$U$4:$U$40),IF($BL5=1,SUM('Final Calculation Sheet'!$U$4:$U$40)-SUMIFS('Final Calculation Sheet'!$U$4:$U$40,$AZ$5:$AZ$41,10),SUMIFS('Final Calculation Sheet'!$U$4:$U$40,$AZ$5:$AZ$41,$BH5))),""))</f>
        <v/>
      </c>
      <c r="W2">
        <f>IF($BJ5&gt;0,IF(INDEX('Final Calculation Sheet'!$V$4:$V$40,$BJ5-3)="","",INDEX('Final Calculation Sheet'!$V$4:$V$40,$BJ5-3)),IF(OR($BI5=1,$BL5=1,$BH5&gt;0),"–",""))</f>
        <v/>
      </c>
      <c r="X2">
        <f>IF($BJ5&gt;0,IF(INDEX('Final Calculation Sheet'!$W$4:$W$40,$BJ5-3)="","",INDEX('Final Calculation Sheet'!$W$4:$W$40,$BJ5-3)),IF(OR($BI5=1,$BL5=1,$BH5&gt;0),IF($BI5=1,SUM('Final Calculation Sheet'!$W$4:$W$40),IF($BL5=1,SUM('Final Calculation Sheet'!$W$4:$W$40)-SUMIFS('Final Calculation Sheet'!$W$4:$W$40,$AZ$5:$AZ$41,10),SUMIFS('Final Calculation Sheet'!$W$4:$W$40,$AZ$5:$AZ$41,$BH5))),""))</f>
        <v/>
      </c>
      <c r="Y2">
        <f>IF($BJ5&gt;0,IF(INDEX('Final Calculation Sheet'!$X$4:$X$40,$BJ5-3)="","",INDEX('Final Calculation Sheet'!$X$4:$X$40,$BJ5-3)),IF(OR($BI5=1,$BL5=1,$BH5&gt;0),IF($BI5=1,SUM('Final Calculation Sheet'!$X$4:$X$40),IF($BL5=1,SUM('Final Calculation Sheet'!$X$4:$X$40)-SUMIFS('Final Calculation Sheet'!$X$4:$X$40,$AZ$5:$AZ$41,10),SUMIFS('Final Calculation Sheet'!$X$4:$X$40,$AZ$5:$AZ$41,$BH5))),""))</f>
        <v/>
      </c>
      <c r="Z2">
        <f>IF($BJ5&gt;0,IF(INDEX('Final Calculation Sheet'!$Y$4:$Y$40,$BJ5-3)="","",INDEX('Final Calculation Sheet'!$Y$4:$Y$40,$BJ5-3)),IF(OR($BI5=1,$BL5=1,$BH5&gt;0),"–",""))</f>
        <v/>
      </c>
      <c r="AA2">
        <f>IF($BJ5&gt;0,IF(INDEX('Final Calculation Sheet'!$Z$4:$Z$40,$BJ5-3)="","",INDEX('Final Calculation Sheet'!$Z$4:$Z$40,$BJ5-3)),IF(OR($BI5=1,$BL5=1,$BH5&gt;0),IF($BI5=1,SUM('Final Calculation Sheet'!$Z$4:$Z$40),IF($BL5=1,SUM('Final Calculation Sheet'!$Z$4:$Z$40)-SUMIFS('Final Calculation Sheet'!$Z$4:$Z$40,$AZ$5:$AZ$41,10),SUMIFS('Final Calculation Sheet'!$Z$4:$Z$40,$AZ$5:$AZ$41,$BH5))),""))</f>
        <v/>
      </c>
      <c r="AB2">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2">
        <f>IF($BJ5&gt;0,IF(INDEX('Final Calculation Sheet'!$AB$4:$AB$40,$BJ5-3)="","",INDEX('Final Calculation Sheet'!$AB$4:$AB$40,$BJ5-3)),IF(OR($BI5=1,$BL5=1,$BH5&gt;0),"–",""))</f>
        <v/>
      </c>
      <c r="AD2">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2">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2">
        <f>IF($BJ5&gt;0,IF(INDEX('Final Calculation Sheet'!$AF$4:$AF$40,$BJ5-3)="","",INDEX('Final Calculation Sheet'!$AF$4:$AF$40,$BJ5-3)),IF(OR($BI5=1,$BL5=1,$BH5&gt;0),"–",""))</f>
        <v/>
      </c>
      <c r="AG2">
        <f>IF($BJ5&gt;0,IF(INDEX('Final Calculation Sheet'!$AG$4:$AG$40,$BJ5-3)="","",INDEX('Final Calculation Sheet'!$AG$4:$AG$40,$BJ5-3)),IF(OR($BI5=1,$BL5=1,$BH5&gt;0),"–",""))</f>
        <v/>
      </c>
      <c r="AH2">
        <f>IF($BJ5&gt;0,IF(INDEX('Final Calculation Sheet'!$AH$4:$AH$40,$BJ5-3)="","",INDEX('Final Calculation Sheet'!$AH$4:$AH$40,$BJ5-3)),IF(OR($BI5=1,$BL5=1,$BH5&gt;0),"–",""))</f>
        <v/>
      </c>
      <c r="AI2">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row>
    <row r="3">
      <c r="A3">
        <f>IF($BJ6&gt;0,INDEX($BA$5:$BA$41,MATCH(6,$BB$5:$BB$41,0)),IF(OR($BI6=1,$BL6=1,$BH6&gt;0),"∑",""))</f>
        <v/>
      </c>
      <c r="B3">
        <f>IF($BJ6&gt;0,IF(INDEX('Final Calculation Sheet'!$F$4:$F$40,$BJ6-3)="","",INDEX('Final Calculation Sheet'!$F$4:$F$40,$BJ6-3)),"")</f>
        <v/>
      </c>
      <c r="C3">
        <f>IF($BJ6&gt;0,IF(INDEX('Final Calculation Sheet'!$G$4:$G$40,$BJ6-3)="","",INDEX('Final Calculation Sheet'!$G$4:$G$40,$BJ6-3)),IF(OR($BI6=1,$BL6=1,$BH6&gt;0),IF($BI6=1,37,IF($BL6=1,37-INDEX($BD$4:$BD$13,10),INDEX($BD$4:$BD$13,$BH6)))&amp;" lot(s)",""))</f>
        <v/>
      </c>
      <c r="D3">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3">
        <f>IF($BJ6&gt;0,IF(INDEX('Final Calculation Sheet'!$D$4:$D$40,$BJ6-3)="","",INDEX('Final Calculation Sheet'!$D$4:$D$40,$BJ6-3)),IF(OR($BI6=1,$BL6=1,$BH6&gt;0),"–",""))</f>
        <v/>
      </c>
      <c r="F3">
        <f>IF($BJ6&gt;0,IF(INDEX('Final Calculation Sheet'!$A$4:$A$40,$BJ6-3)="","",INDEX('Final Calculation Sheet'!$A$4:$A$40,$BJ6-3)),IF(OR($BI6=1,$BL6=1,$BH6&gt;0),IF($BI6=1,SUM('Final Calculation Sheet'!$A$4:$A$40),IF($BL6=1,SUM('Final Calculation Sheet'!$A$4:$A$40)-SUMIFS('Final Calculation Sheet'!$A$4:$A$40,$AZ$5:$AZ$41,10),SUMIFS('Final Calculation Sheet'!$A$4:$A$40,$AZ$5:$AZ$41,$BH6))),""))</f>
        <v/>
      </c>
      <c r="G3">
        <f>IF($BJ6&gt;0,IF(INDEX('Final Calculation Sheet'!$E$4:$E$40,$BJ6-3)="","",INDEX('Final Calculation Sheet'!$E$4:$E$40,$BJ6-3)),IF(OR($BI6=1,$BL6=1,$BH6&gt;0),"–",""))</f>
        <v/>
      </c>
      <c r="H3">
        <f>IF($BJ6&gt;0,IF(INDEX('Final Calculation Sheet'!$C$4:$C$40,$BJ6-3)="","",INDEX('Final Calculation Sheet'!$C$4:$C$40,$BJ6-3)),IF(OR($BI6=1,$BL6=1,$BH6&gt;0),"–",""))</f>
        <v/>
      </c>
      <c r="I3">
        <f>IF($BJ6&gt;0,IF(INDEX('Final Calculation Sheet'!$H$4:$H$40,$BJ6-3)="","",INDEX('Final Calculation Sheet'!$H$4:$H$40,$BJ6-3)),IF(OR($BI6=1,$BL6=1,$BH6&gt;0),IF($BI6=1,SUM('Final Calculation Sheet'!$H$4:$H$40),IF($BL6=1,SUM('Final Calculation Sheet'!$H$4:$H$40)-SUMIFS('Final Calculation Sheet'!$H$4:$H$40,$AZ$5:$AZ$41,10),SUMIFS('Final Calculation Sheet'!$H$4:$H$40,$AZ$5:$AZ$41,$BH6))),""))</f>
        <v/>
      </c>
      <c r="J3">
        <f>IF($BJ6&gt;0,IF(INDEX('Final Calculation Sheet'!$I$4:$I$40,$BJ6-3)="","",INDEX('Final Calculation Sheet'!$I$4:$I$40,$BJ6-3)),IF(OR($BI6=1,$BL6=1,$BH6&gt;0),IF($BI6=1,SUM('Final Calculation Sheet'!$I$4:$I$40),IF($BL6=1,SUM('Final Calculation Sheet'!$I$4:$I$40)-SUMIFS('Final Calculation Sheet'!$I$4:$I$40,$AZ$5:$AZ$41,10),SUMIFS('Final Calculation Sheet'!$I$4:$I$40,$AZ$5:$AZ$41,$BH6))),""))</f>
        <v/>
      </c>
      <c r="K3">
        <f>IF($BJ6&gt;0,IF(INDEX('Final Calculation Sheet'!$J$4:$J$40,$BJ6-3)="","",INDEX('Final Calculation Sheet'!$J$4:$J$40,$BJ6-3)),IF(OR($BI6=1,$BL6=1,$BH6&gt;0),IF($BI6=1,SUM('Final Calculation Sheet'!$J$4:$J$40),IF($BL6=1,SUM('Final Calculation Sheet'!$J$4:$J$40)-SUMIFS('Final Calculation Sheet'!$J$4:$J$40,$AZ$5:$AZ$41,10),SUMIFS('Final Calculation Sheet'!$J$4:$J$40,$AZ$5:$AZ$41,$BH6))),""))</f>
        <v/>
      </c>
      <c r="L3">
        <f>IF($BJ6&gt;0,IF(INDEX('Final Calculation Sheet'!$K$4:$K$40,$BJ6-3)="","",INDEX('Final Calculation Sheet'!$K$4:$K$40,$BJ6-3)),IF(OR($BI6=1,$BL6=1,$BH6&gt;0),IF($BI6=1,SUM('Final Calculation Sheet'!$K$4:$K$40),IF($BL6=1,SUM('Final Calculation Sheet'!$K$4:$K$40)-SUMIFS('Final Calculation Sheet'!$K$4:$K$40,$AZ$5:$AZ$41,10),SUMIFS('Final Calculation Sheet'!$K$4:$K$40,$AZ$5:$AZ$41,$BH6))),""))</f>
        <v/>
      </c>
      <c r="M3">
        <f>IF($BJ6&gt;0,IF(INDEX('Final Calculation Sheet'!$L$4:$L$40,$BJ6-3)="","",INDEX('Final Calculation Sheet'!$L$4:$L$40,$BJ6-3)),IF(OR($BI6=1,$BL6=1,$BH6&gt;0),IF($BI6=1,SUM('Final Calculation Sheet'!$L$4:$L$40),IF($BL6=1,SUM('Final Calculation Sheet'!$L$4:$L$40)-SUMIFS('Final Calculation Sheet'!$L$4:$L$40,$AZ$5:$AZ$41,10),SUMIFS('Final Calculation Sheet'!$L$4:$L$40,$AZ$5:$AZ$41,$BH6))),""))</f>
        <v/>
      </c>
      <c r="N3">
        <f>IF($BJ6&gt;0,IF(INDEX('Final Calculation Sheet'!$M$4:$M$40,$BJ6-3)="","",INDEX('Final Calculation Sheet'!$M$4:$M$40,$BJ6-3)),IF(OR($BI6=1,$BL6=1,$BH6&gt;0),IF($BI6=1,SUM('Final Calculation Sheet'!$M$4:$M$40),IF($BL6=1,SUM('Final Calculation Sheet'!$M$4:$M$40)-SUMIFS('Final Calculation Sheet'!$M$4:$M$40,$AZ$5:$AZ$41,10),SUMIFS('Final Calculation Sheet'!$M$4:$M$40,$AZ$5:$AZ$41,$BH6))),""))</f>
        <v/>
      </c>
      <c r="O3">
        <f>IF($BJ6&gt;0,IF(INDEX('Final Calculation Sheet'!$N$4:$N$40,$BJ6-3)="","",INDEX('Final Calculation Sheet'!$N$4:$N$40,$BJ6-3)),IF(OR($BI6=1,$BL6=1,$BH6&gt;0),IF($BI6=1,SUM('Final Calculation Sheet'!$N$4:$N$40),IF($BL6=1,SUM('Final Calculation Sheet'!$N$4:$N$40)-SUMIFS('Final Calculation Sheet'!$N$4:$N$40,$AZ$5:$AZ$41,10),SUMIFS('Final Calculation Sheet'!$N$4:$N$40,$AZ$5:$AZ$41,$BH6))),""))</f>
        <v/>
      </c>
      <c r="P3">
        <f>IF($BJ6&gt;0,IF(INDEX('Final Calculation Sheet'!$O$4:$O$40,$BJ6-3)="","",INDEX('Final Calculation Sheet'!$O$4:$O$40,$BJ6-3)),IF(OR($BI6=1,$BL6=1,$BH6&gt;0),IF($BI6=1,SUM('Final Calculation Sheet'!$O$4:$O$40),IF($BL6=1,SUM('Final Calculation Sheet'!$O$4:$O$40)-SUMIFS('Final Calculation Sheet'!$O$4:$O$40,$AZ$5:$AZ$41,10),SUMIFS('Final Calculation Sheet'!$O$4:$O$40,$AZ$5:$AZ$41,$BH6))),""))</f>
        <v/>
      </c>
      <c r="Q3">
        <f>IF($BJ6&gt;0,IF(INDEX('Final Calculation Sheet'!$P$4:$P$40,$BJ6-3)="","",INDEX('Final Calculation Sheet'!$P$4:$P$40,$BJ6-3)),IF(OR($BI6=1,$BL6=1,$BH6&gt;0),IF($BI6=1,SUM('Final Calculation Sheet'!$P$4:$P$40),IF($BL6=1,SUM('Final Calculation Sheet'!$P$4:$P$40)-SUMIFS('Final Calculation Sheet'!$P$4:$P$40,$AZ$5:$AZ$41,10),SUMIFS('Final Calculation Sheet'!$P$4:$P$40,$AZ$5:$AZ$41,$BH6))),""))</f>
        <v/>
      </c>
      <c r="R3">
        <f>IF($BJ6&gt;0,IF(INDEX('Final Calculation Sheet'!$Q$4:$Q$40,$BJ6-3)="","",INDEX('Final Calculation Sheet'!$Q$4:$Q$40,$BJ6-3)),IF(OR($BI6=1,$BL6=1,$BH6&gt;0),"–",""))</f>
        <v/>
      </c>
      <c r="S3">
        <f>IF($BJ6&gt;0,IF(INDEX('Final Calculation Sheet'!$R$4:$R$40,$BJ6-3)="","",INDEX('Final Calculation Sheet'!$R$4:$R$40,$BJ6-3)),IF(OR($BI6=1,$BL6=1,$BH6&gt;0),IF($BI6=1,SUM('Final Calculation Sheet'!$R$4:$R$40),IF($BL6=1,SUM('Final Calculation Sheet'!$R$4:$R$40)-SUMIFS('Final Calculation Sheet'!$R$4:$R$40,$AZ$5:$AZ$41,10),SUMIFS('Final Calculation Sheet'!$R$4:$R$40,$AZ$5:$AZ$41,$BH6))),""))</f>
        <v/>
      </c>
      <c r="T3">
        <f>IF($BJ6&gt;0,IF(INDEX('Final Calculation Sheet'!$S$4:$S$40,$BJ6-3)="","",INDEX('Final Calculation Sheet'!$S$4:$S$40,$BJ6-3)),IF(OR($BI6=1,$BL6=1,$BH6&gt;0),IF($BI6=1,SUM('Final Calculation Sheet'!$S$4:$S$40),IF($BL6=1,SUM('Final Calculation Sheet'!$S$4:$S$40)-SUMIFS('Final Calculation Sheet'!$S$4:$S$40,$AZ$5:$AZ$41,10),SUMIFS('Final Calculation Sheet'!$S$4:$S$40,$AZ$5:$AZ$41,$BH6))),""))</f>
        <v/>
      </c>
      <c r="U3">
        <f>IF($BJ6&gt;0,IF(INDEX('Final Calculation Sheet'!$T$4:$T$40,$BJ6-3)="","",INDEX('Final Calculation Sheet'!$T$4:$T$40,$BJ6-3)),IF(OR($BI6=1,$BL6=1,$BH6&gt;0),IF($BI6=1,SUM('Final Calculation Sheet'!$T$4:$T$40),IF($BL6=1,SUM('Final Calculation Sheet'!$T$4:$T$40)-SUMIFS('Final Calculation Sheet'!$T$4:$T$40,$AZ$5:$AZ$41,10),SUMIFS('Final Calculation Sheet'!$T$4:$T$40,$AZ$5:$AZ$41,$BH6))),""))</f>
        <v/>
      </c>
      <c r="V3">
        <f>IF($BJ6&gt;0,IF(INDEX('Final Calculation Sheet'!$U$4:$U$40,$BJ6-3)="","",INDEX('Final Calculation Sheet'!$U$4:$U$40,$BJ6-3)),IF(OR($BI6=1,$BL6=1,$BH6&gt;0),IF($BI6=1,SUM('Final Calculation Sheet'!$U$4:$U$40),IF($BL6=1,SUM('Final Calculation Sheet'!$U$4:$U$40)-SUMIFS('Final Calculation Sheet'!$U$4:$U$40,$AZ$5:$AZ$41,10),SUMIFS('Final Calculation Sheet'!$U$4:$U$40,$AZ$5:$AZ$41,$BH6))),""))</f>
        <v/>
      </c>
      <c r="W3">
        <f>IF($BJ6&gt;0,IF(INDEX('Final Calculation Sheet'!$V$4:$V$40,$BJ6-3)="","",INDEX('Final Calculation Sheet'!$V$4:$V$40,$BJ6-3)),IF(OR($BI6=1,$BL6=1,$BH6&gt;0),"–",""))</f>
        <v/>
      </c>
      <c r="X3">
        <f>IF($BJ6&gt;0,IF(INDEX('Final Calculation Sheet'!$W$4:$W$40,$BJ6-3)="","",INDEX('Final Calculation Sheet'!$W$4:$W$40,$BJ6-3)),IF(OR($BI6=1,$BL6=1,$BH6&gt;0),IF($BI6=1,SUM('Final Calculation Sheet'!$W$4:$W$40),IF($BL6=1,SUM('Final Calculation Sheet'!$W$4:$W$40)-SUMIFS('Final Calculation Sheet'!$W$4:$W$40,$AZ$5:$AZ$41,10),SUMIFS('Final Calculation Sheet'!$W$4:$W$40,$AZ$5:$AZ$41,$BH6))),""))</f>
        <v/>
      </c>
      <c r="Y3">
        <f>IF($BJ6&gt;0,IF(INDEX('Final Calculation Sheet'!$X$4:$X$40,$BJ6-3)="","",INDEX('Final Calculation Sheet'!$X$4:$X$40,$BJ6-3)),IF(OR($BI6=1,$BL6=1,$BH6&gt;0),IF($BI6=1,SUM('Final Calculation Sheet'!$X$4:$X$40),IF($BL6=1,SUM('Final Calculation Sheet'!$X$4:$X$40)-SUMIFS('Final Calculation Sheet'!$X$4:$X$40,$AZ$5:$AZ$41,10),SUMIFS('Final Calculation Sheet'!$X$4:$X$40,$AZ$5:$AZ$41,$BH6))),""))</f>
        <v/>
      </c>
      <c r="Z3">
        <f>IF($BJ6&gt;0,IF(INDEX('Final Calculation Sheet'!$Y$4:$Y$40,$BJ6-3)="","",INDEX('Final Calculation Sheet'!$Y$4:$Y$40,$BJ6-3)),IF(OR($BI6=1,$BL6=1,$BH6&gt;0),"–",""))</f>
        <v/>
      </c>
      <c r="AA3">
        <f>IF($BJ6&gt;0,IF(INDEX('Final Calculation Sheet'!$Z$4:$Z$40,$BJ6-3)="","",INDEX('Final Calculation Sheet'!$Z$4:$Z$40,$BJ6-3)),IF(OR($BI6=1,$BL6=1,$BH6&gt;0),IF($BI6=1,SUM('Final Calculation Sheet'!$Z$4:$Z$40),IF($BL6=1,SUM('Final Calculation Sheet'!$Z$4:$Z$40)-SUMIFS('Final Calculation Sheet'!$Z$4:$Z$40,$AZ$5:$AZ$41,10),SUMIFS('Final Calculation Sheet'!$Z$4:$Z$40,$AZ$5:$AZ$41,$BH6))),""))</f>
        <v/>
      </c>
      <c r="AB3">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3">
        <f>IF($BJ6&gt;0,IF(INDEX('Final Calculation Sheet'!$AB$4:$AB$40,$BJ6-3)="","",INDEX('Final Calculation Sheet'!$AB$4:$AB$40,$BJ6-3)),IF(OR($BI6=1,$BL6=1,$BH6&gt;0),"–",""))</f>
        <v/>
      </c>
      <c r="AD3">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3">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3">
        <f>IF($BJ6&gt;0,IF(INDEX('Final Calculation Sheet'!$AF$4:$AF$40,$BJ6-3)="","",INDEX('Final Calculation Sheet'!$AF$4:$AF$40,$BJ6-3)),IF(OR($BI6=1,$BL6=1,$BH6&gt;0),"–",""))</f>
        <v/>
      </c>
      <c r="AG3">
        <f>IF($BJ6&gt;0,IF(INDEX('Final Calculation Sheet'!$AG$4:$AG$40,$BJ6-3)="","",INDEX('Final Calculation Sheet'!$AG$4:$AG$40,$BJ6-3)),IF(OR($BI6=1,$BL6=1,$BH6&gt;0),"–",""))</f>
        <v/>
      </c>
      <c r="AH3">
        <f>IF($BJ6&gt;0,IF(INDEX('Final Calculation Sheet'!$AH$4:$AH$40,$BJ6-3)="","",INDEX('Final Calculation Sheet'!$AH$4:$AH$40,$BJ6-3)),IF(OR($BI6=1,$BL6=1,$BH6&gt;0),"–",""))</f>
        <v/>
      </c>
      <c r="AI3">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row>
    <row r="4">
      <c r="A4">
        <f>IF($BJ7&gt;0,INDEX($BA$5:$BA$41,MATCH(7,$BB$5:$BB$41,0)),IF(OR($BI7=1,$BL7=1,$BH7&gt;0),"∑",""))</f>
        <v/>
      </c>
      <c r="B4">
        <f>IF($BJ7&gt;0,IF(INDEX('Final Calculation Sheet'!$F$4:$F$40,$BJ7-3)="","",INDEX('Final Calculation Sheet'!$F$4:$F$40,$BJ7-3)),"")</f>
        <v/>
      </c>
      <c r="C4">
        <f>IF($BJ7&gt;0,IF(INDEX('Final Calculation Sheet'!$G$4:$G$40,$BJ7-3)="","",INDEX('Final Calculation Sheet'!$G$4:$G$40,$BJ7-3)),IF(OR($BI7=1,$BL7=1,$BH7&gt;0),IF($BI7=1,37,IF($BL7=1,37-INDEX($BD$4:$BD$13,10),INDEX($BD$4:$BD$13,$BH7)))&amp;" lot(s)",""))</f>
        <v/>
      </c>
      <c r="D4">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4">
        <f>IF($BJ7&gt;0,IF(INDEX('Final Calculation Sheet'!$D$4:$D$40,$BJ7-3)="","",INDEX('Final Calculation Sheet'!$D$4:$D$40,$BJ7-3)),IF(OR($BI7=1,$BL7=1,$BH7&gt;0),"–",""))</f>
        <v/>
      </c>
      <c r="F4">
        <f>IF($BJ7&gt;0,IF(INDEX('Final Calculation Sheet'!$A$4:$A$40,$BJ7-3)="","",INDEX('Final Calculation Sheet'!$A$4:$A$40,$BJ7-3)),IF(OR($BI7=1,$BL7=1,$BH7&gt;0),IF($BI7=1,SUM('Final Calculation Sheet'!$A$4:$A$40),IF($BL7=1,SUM('Final Calculation Sheet'!$A$4:$A$40)-SUMIFS('Final Calculation Sheet'!$A$4:$A$40,$AZ$5:$AZ$41,10),SUMIFS('Final Calculation Sheet'!$A$4:$A$40,$AZ$5:$AZ$41,$BH7))),""))</f>
        <v/>
      </c>
      <c r="G4">
        <f>IF($BJ7&gt;0,IF(INDEX('Final Calculation Sheet'!$E$4:$E$40,$BJ7-3)="","",INDEX('Final Calculation Sheet'!$E$4:$E$40,$BJ7-3)),IF(OR($BI7=1,$BL7=1,$BH7&gt;0),"–",""))</f>
        <v/>
      </c>
      <c r="H4">
        <f>IF($BJ7&gt;0,IF(INDEX('Final Calculation Sheet'!$C$4:$C$40,$BJ7-3)="","",INDEX('Final Calculation Sheet'!$C$4:$C$40,$BJ7-3)),IF(OR($BI7=1,$BL7=1,$BH7&gt;0),"–",""))</f>
        <v/>
      </c>
      <c r="I4">
        <f>IF($BJ7&gt;0,IF(INDEX('Final Calculation Sheet'!$H$4:$H$40,$BJ7-3)="","",INDEX('Final Calculation Sheet'!$H$4:$H$40,$BJ7-3)),IF(OR($BI7=1,$BL7=1,$BH7&gt;0),IF($BI7=1,SUM('Final Calculation Sheet'!$H$4:$H$40),IF($BL7=1,SUM('Final Calculation Sheet'!$H$4:$H$40)-SUMIFS('Final Calculation Sheet'!$H$4:$H$40,$AZ$5:$AZ$41,10),SUMIFS('Final Calculation Sheet'!$H$4:$H$40,$AZ$5:$AZ$41,$BH7))),""))</f>
        <v/>
      </c>
      <c r="J4">
        <f>IF($BJ7&gt;0,IF(INDEX('Final Calculation Sheet'!$I$4:$I$40,$BJ7-3)="","",INDEX('Final Calculation Sheet'!$I$4:$I$40,$BJ7-3)),IF(OR($BI7=1,$BL7=1,$BH7&gt;0),IF($BI7=1,SUM('Final Calculation Sheet'!$I$4:$I$40),IF($BL7=1,SUM('Final Calculation Sheet'!$I$4:$I$40)-SUMIFS('Final Calculation Sheet'!$I$4:$I$40,$AZ$5:$AZ$41,10),SUMIFS('Final Calculation Sheet'!$I$4:$I$40,$AZ$5:$AZ$41,$BH7))),""))</f>
        <v/>
      </c>
      <c r="K4">
        <f>IF($BJ7&gt;0,IF(INDEX('Final Calculation Sheet'!$J$4:$J$40,$BJ7-3)="","",INDEX('Final Calculation Sheet'!$J$4:$J$40,$BJ7-3)),IF(OR($BI7=1,$BL7=1,$BH7&gt;0),IF($BI7=1,SUM('Final Calculation Sheet'!$J$4:$J$40),IF($BL7=1,SUM('Final Calculation Sheet'!$J$4:$J$40)-SUMIFS('Final Calculation Sheet'!$J$4:$J$40,$AZ$5:$AZ$41,10),SUMIFS('Final Calculation Sheet'!$J$4:$J$40,$AZ$5:$AZ$41,$BH7))),""))</f>
        <v/>
      </c>
      <c r="L4">
        <f>IF($BJ7&gt;0,IF(INDEX('Final Calculation Sheet'!$K$4:$K$40,$BJ7-3)="","",INDEX('Final Calculation Sheet'!$K$4:$K$40,$BJ7-3)),IF(OR($BI7=1,$BL7=1,$BH7&gt;0),IF($BI7=1,SUM('Final Calculation Sheet'!$K$4:$K$40),IF($BL7=1,SUM('Final Calculation Sheet'!$K$4:$K$40)-SUMIFS('Final Calculation Sheet'!$K$4:$K$40,$AZ$5:$AZ$41,10),SUMIFS('Final Calculation Sheet'!$K$4:$K$40,$AZ$5:$AZ$41,$BH7))),""))</f>
        <v/>
      </c>
      <c r="M4">
        <f>IF($BJ7&gt;0,IF(INDEX('Final Calculation Sheet'!$L$4:$L$40,$BJ7-3)="","",INDEX('Final Calculation Sheet'!$L$4:$L$40,$BJ7-3)),IF(OR($BI7=1,$BL7=1,$BH7&gt;0),IF($BI7=1,SUM('Final Calculation Sheet'!$L$4:$L$40),IF($BL7=1,SUM('Final Calculation Sheet'!$L$4:$L$40)-SUMIFS('Final Calculation Sheet'!$L$4:$L$40,$AZ$5:$AZ$41,10),SUMIFS('Final Calculation Sheet'!$L$4:$L$40,$AZ$5:$AZ$41,$BH7))),""))</f>
        <v/>
      </c>
      <c r="N4">
        <f>IF($BJ7&gt;0,IF(INDEX('Final Calculation Sheet'!$M$4:$M$40,$BJ7-3)="","",INDEX('Final Calculation Sheet'!$M$4:$M$40,$BJ7-3)),IF(OR($BI7=1,$BL7=1,$BH7&gt;0),IF($BI7=1,SUM('Final Calculation Sheet'!$M$4:$M$40),IF($BL7=1,SUM('Final Calculation Sheet'!$M$4:$M$40)-SUMIFS('Final Calculation Sheet'!$M$4:$M$40,$AZ$5:$AZ$41,10),SUMIFS('Final Calculation Sheet'!$M$4:$M$40,$AZ$5:$AZ$41,$BH7))),""))</f>
        <v/>
      </c>
      <c r="O4">
        <f>IF($BJ7&gt;0,IF(INDEX('Final Calculation Sheet'!$N$4:$N$40,$BJ7-3)="","",INDEX('Final Calculation Sheet'!$N$4:$N$40,$BJ7-3)),IF(OR($BI7=1,$BL7=1,$BH7&gt;0),IF($BI7=1,SUM('Final Calculation Sheet'!$N$4:$N$40),IF($BL7=1,SUM('Final Calculation Sheet'!$N$4:$N$40)-SUMIFS('Final Calculation Sheet'!$N$4:$N$40,$AZ$5:$AZ$41,10),SUMIFS('Final Calculation Sheet'!$N$4:$N$40,$AZ$5:$AZ$41,$BH7))),""))</f>
        <v/>
      </c>
      <c r="P4">
        <f>IF($BJ7&gt;0,IF(INDEX('Final Calculation Sheet'!$O$4:$O$40,$BJ7-3)="","",INDEX('Final Calculation Sheet'!$O$4:$O$40,$BJ7-3)),IF(OR($BI7=1,$BL7=1,$BH7&gt;0),IF($BI7=1,SUM('Final Calculation Sheet'!$O$4:$O$40),IF($BL7=1,SUM('Final Calculation Sheet'!$O$4:$O$40)-SUMIFS('Final Calculation Sheet'!$O$4:$O$40,$AZ$5:$AZ$41,10),SUMIFS('Final Calculation Sheet'!$O$4:$O$40,$AZ$5:$AZ$41,$BH7))),""))</f>
        <v/>
      </c>
      <c r="Q4">
        <f>IF($BJ7&gt;0,IF(INDEX('Final Calculation Sheet'!$P$4:$P$40,$BJ7-3)="","",INDEX('Final Calculation Sheet'!$P$4:$P$40,$BJ7-3)),IF(OR($BI7=1,$BL7=1,$BH7&gt;0),IF($BI7=1,SUM('Final Calculation Sheet'!$P$4:$P$40),IF($BL7=1,SUM('Final Calculation Sheet'!$P$4:$P$40)-SUMIFS('Final Calculation Sheet'!$P$4:$P$40,$AZ$5:$AZ$41,10),SUMIFS('Final Calculation Sheet'!$P$4:$P$40,$AZ$5:$AZ$41,$BH7))),""))</f>
        <v/>
      </c>
      <c r="R4">
        <f>IF($BJ7&gt;0,IF(INDEX('Final Calculation Sheet'!$Q$4:$Q$40,$BJ7-3)="","",INDEX('Final Calculation Sheet'!$Q$4:$Q$40,$BJ7-3)),IF(OR($BI7=1,$BL7=1,$BH7&gt;0),"–",""))</f>
        <v/>
      </c>
      <c r="S4">
        <f>IF($BJ7&gt;0,IF(INDEX('Final Calculation Sheet'!$R$4:$R$40,$BJ7-3)="","",INDEX('Final Calculation Sheet'!$R$4:$R$40,$BJ7-3)),IF(OR($BI7=1,$BL7=1,$BH7&gt;0),IF($BI7=1,SUM('Final Calculation Sheet'!$R$4:$R$40),IF($BL7=1,SUM('Final Calculation Sheet'!$R$4:$R$40)-SUMIFS('Final Calculation Sheet'!$R$4:$R$40,$AZ$5:$AZ$41,10),SUMIFS('Final Calculation Sheet'!$R$4:$R$40,$AZ$5:$AZ$41,$BH7))),""))</f>
        <v/>
      </c>
      <c r="T4">
        <f>IF($BJ7&gt;0,IF(INDEX('Final Calculation Sheet'!$S$4:$S$40,$BJ7-3)="","",INDEX('Final Calculation Sheet'!$S$4:$S$40,$BJ7-3)),IF(OR($BI7=1,$BL7=1,$BH7&gt;0),IF($BI7=1,SUM('Final Calculation Sheet'!$S$4:$S$40),IF($BL7=1,SUM('Final Calculation Sheet'!$S$4:$S$40)-SUMIFS('Final Calculation Sheet'!$S$4:$S$40,$AZ$5:$AZ$41,10),SUMIFS('Final Calculation Sheet'!$S$4:$S$40,$AZ$5:$AZ$41,$BH7))),""))</f>
        <v/>
      </c>
      <c r="U4">
        <f>IF($BJ7&gt;0,IF(INDEX('Final Calculation Sheet'!$T$4:$T$40,$BJ7-3)="","",INDEX('Final Calculation Sheet'!$T$4:$T$40,$BJ7-3)),IF(OR($BI7=1,$BL7=1,$BH7&gt;0),IF($BI7=1,SUM('Final Calculation Sheet'!$T$4:$T$40),IF($BL7=1,SUM('Final Calculation Sheet'!$T$4:$T$40)-SUMIFS('Final Calculation Sheet'!$T$4:$T$40,$AZ$5:$AZ$41,10),SUMIFS('Final Calculation Sheet'!$T$4:$T$40,$AZ$5:$AZ$41,$BH7))),""))</f>
        <v/>
      </c>
      <c r="V4">
        <f>IF($BJ7&gt;0,IF(INDEX('Final Calculation Sheet'!$U$4:$U$40,$BJ7-3)="","",INDEX('Final Calculation Sheet'!$U$4:$U$40,$BJ7-3)),IF(OR($BI7=1,$BL7=1,$BH7&gt;0),IF($BI7=1,SUM('Final Calculation Sheet'!$U$4:$U$40),IF($BL7=1,SUM('Final Calculation Sheet'!$U$4:$U$40)-SUMIFS('Final Calculation Sheet'!$U$4:$U$40,$AZ$5:$AZ$41,10),SUMIFS('Final Calculation Sheet'!$U$4:$U$40,$AZ$5:$AZ$41,$BH7))),""))</f>
        <v/>
      </c>
      <c r="W4">
        <f>IF($BJ7&gt;0,IF(INDEX('Final Calculation Sheet'!$V$4:$V$40,$BJ7-3)="","",INDEX('Final Calculation Sheet'!$V$4:$V$40,$BJ7-3)),IF(OR($BI7=1,$BL7=1,$BH7&gt;0),"–",""))</f>
        <v/>
      </c>
      <c r="X4">
        <f>IF($BJ7&gt;0,IF(INDEX('Final Calculation Sheet'!$W$4:$W$40,$BJ7-3)="","",INDEX('Final Calculation Sheet'!$W$4:$W$40,$BJ7-3)),IF(OR($BI7=1,$BL7=1,$BH7&gt;0),IF($BI7=1,SUM('Final Calculation Sheet'!$W$4:$W$40),IF($BL7=1,SUM('Final Calculation Sheet'!$W$4:$W$40)-SUMIFS('Final Calculation Sheet'!$W$4:$W$40,$AZ$5:$AZ$41,10),SUMIFS('Final Calculation Sheet'!$W$4:$W$40,$AZ$5:$AZ$41,$BH7))),""))</f>
        <v/>
      </c>
      <c r="Y4">
        <f>IF($BJ7&gt;0,IF(INDEX('Final Calculation Sheet'!$X$4:$X$40,$BJ7-3)="","",INDEX('Final Calculation Sheet'!$X$4:$X$40,$BJ7-3)),IF(OR($BI7=1,$BL7=1,$BH7&gt;0),IF($BI7=1,SUM('Final Calculation Sheet'!$X$4:$X$40),IF($BL7=1,SUM('Final Calculation Sheet'!$X$4:$X$40)-SUMIFS('Final Calculation Sheet'!$X$4:$X$40,$AZ$5:$AZ$41,10),SUMIFS('Final Calculation Sheet'!$X$4:$X$40,$AZ$5:$AZ$41,$BH7))),""))</f>
        <v/>
      </c>
      <c r="Z4">
        <f>IF($BJ7&gt;0,IF(INDEX('Final Calculation Sheet'!$Y$4:$Y$40,$BJ7-3)="","",INDEX('Final Calculation Sheet'!$Y$4:$Y$40,$BJ7-3)),IF(OR($BI7=1,$BL7=1,$BH7&gt;0),"–",""))</f>
        <v/>
      </c>
      <c r="AA4">
        <f>IF($BJ7&gt;0,IF(INDEX('Final Calculation Sheet'!$Z$4:$Z$40,$BJ7-3)="","",INDEX('Final Calculation Sheet'!$Z$4:$Z$40,$BJ7-3)),IF(OR($BI7=1,$BL7=1,$BH7&gt;0),IF($BI7=1,SUM('Final Calculation Sheet'!$Z$4:$Z$40),IF($BL7=1,SUM('Final Calculation Sheet'!$Z$4:$Z$40)-SUMIFS('Final Calculation Sheet'!$Z$4:$Z$40,$AZ$5:$AZ$41,10),SUMIFS('Final Calculation Sheet'!$Z$4:$Z$40,$AZ$5:$AZ$41,$BH7))),""))</f>
        <v/>
      </c>
      <c r="AB4">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4">
        <f>IF($BJ7&gt;0,IF(INDEX('Final Calculation Sheet'!$AB$4:$AB$40,$BJ7-3)="","",INDEX('Final Calculation Sheet'!$AB$4:$AB$40,$BJ7-3)),IF(OR($BI7=1,$BL7=1,$BH7&gt;0),"–",""))</f>
        <v/>
      </c>
      <c r="AD4">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4">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4">
        <f>IF($BJ7&gt;0,IF(INDEX('Final Calculation Sheet'!$AF$4:$AF$40,$BJ7-3)="","",INDEX('Final Calculation Sheet'!$AF$4:$AF$40,$BJ7-3)),IF(OR($BI7=1,$BL7=1,$BH7&gt;0),"–",""))</f>
        <v/>
      </c>
      <c r="AG4">
        <f>IF($BJ7&gt;0,IF(INDEX('Final Calculation Sheet'!$AG$4:$AG$40,$BJ7-3)="","",INDEX('Final Calculation Sheet'!$AG$4:$AG$40,$BJ7-3)),IF(OR($BI7=1,$BL7=1,$BH7&gt;0),"–",""))</f>
        <v/>
      </c>
      <c r="AH4">
        <f>IF($BJ7&gt;0,IF(INDEX('Final Calculation Sheet'!$AH$4:$AH$40,$BJ7-3)="","",INDEX('Final Calculation Sheet'!$AH$4:$AH$40,$BJ7-3)),IF(OR($BI7=1,$BL7=1,$BH7&gt;0),"–",""))</f>
        <v/>
      </c>
      <c r="AI4">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row>
    <row r="5">
      <c r="A5">
        <f>IF($BJ8&gt;0,INDEX($BA$5:$BA$41,MATCH(8,$BB$5:$BB$41,0)),IF(OR($BI8=1,$BL8=1,$BH8&gt;0),"∑",""))</f>
        <v/>
      </c>
      <c r="B5">
        <f>IF($BJ8&gt;0,IF(INDEX('Final Calculation Sheet'!$F$4:$F$40,$BJ8-3)="","",INDEX('Final Calculation Sheet'!$F$4:$F$40,$BJ8-3)),"")</f>
        <v/>
      </c>
      <c r="C5">
        <f>IF($BJ8&gt;0,IF(INDEX('Final Calculation Sheet'!$G$4:$G$40,$BJ8-3)="","",INDEX('Final Calculation Sheet'!$G$4:$G$40,$BJ8-3)),IF(OR($BI8=1,$BL8=1,$BH8&gt;0),IF($BI8=1,37,IF($BL8=1,37-INDEX($BD$4:$BD$13,10),INDEX($BD$4:$BD$13,$BH8)))&amp;" lot(s)",""))</f>
        <v/>
      </c>
      <c r="D5">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5">
        <f>IF($BJ8&gt;0,IF(INDEX('Final Calculation Sheet'!$D$4:$D$40,$BJ8-3)="","",INDEX('Final Calculation Sheet'!$D$4:$D$40,$BJ8-3)),IF(OR($BI8=1,$BL8=1,$BH8&gt;0),"–",""))</f>
        <v/>
      </c>
      <c r="F5">
        <f>IF($BJ8&gt;0,IF(INDEX('Final Calculation Sheet'!$A$4:$A$40,$BJ8-3)="","",INDEX('Final Calculation Sheet'!$A$4:$A$40,$BJ8-3)),IF(OR($BI8=1,$BL8=1,$BH8&gt;0),IF($BI8=1,SUM('Final Calculation Sheet'!$A$4:$A$40),IF($BL8=1,SUM('Final Calculation Sheet'!$A$4:$A$40)-SUMIFS('Final Calculation Sheet'!$A$4:$A$40,$AZ$5:$AZ$41,10),SUMIFS('Final Calculation Sheet'!$A$4:$A$40,$AZ$5:$AZ$41,$BH8))),""))</f>
        <v/>
      </c>
      <c r="G5">
        <f>IF($BJ8&gt;0,IF(INDEX('Final Calculation Sheet'!$E$4:$E$40,$BJ8-3)="","",INDEX('Final Calculation Sheet'!$E$4:$E$40,$BJ8-3)),IF(OR($BI8=1,$BL8=1,$BH8&gt;0),"–",""))</f>
        <v/>
      </c>
      <c r="H5">
        <f>IF($BJ8&gt;0,IF(INDEX('Final Calculation Sheet'!$C$4:$C$40,$BJ8-3)="","",INDEX('Final Calculation Sheet'!$C$4:$C$40,$BJ8-3)),IF(OR($BI8=1,$BL8=1,$BH8&gt;0),"–",""))</f>
        <v/>
      </c>
      <c r="I5">
        <f>IF($BJ8&gt;0,IF(INDEX('Final Calculation Sheet'!$H$4:$H$40,$BJ8-3)="","",INDEX('Final Calculation Sheet'!$H$4:$H$40,$BJ8-3)),IF(OR($BI8=1,$BL8=1,$BH8&gt;0),IF($BI8=1,SUM('Final Calculation Sheet'!$H$4:$H$40),IF($BL8=1,SUM('Final Calculation Sheet'!$H$4:$H$40)-SUMIFS('Final Calculation Sheet'!$H$4:$H$40,$AZ$5:$AZ$41,10),SUMIFS('Final Calculation Sheet'!$H$4:$H$40,$AZ$5:$AZ$41,$BH8))),""))</f>
        <v/>
      </c>
      <c r="J5">
        <f>IF($BJ8&gt;0,IF(INDEX('Final Calculation Sheet'!$I$4:$I$40,$BJ8-3)="","",INDEX('Final Calculation Sheet'!$I$4:$I$40,$BJ8-3)),IF(OR($BI8=1,$BL8=1,$BH8&gt;0),IF($BI8=1,SUM('Final Calculation Sheet'!$I$4:$I$40),IF($BL8=1,SUM('Final Calculation Sheet'!$I$4:$I$40)-SUMIFS('Final Calculation Sheet'!$I$4:$I$40,$AZ$5:$AZ$41,10),SUMIFS('Final Calculation Sheet'!$I$4:$I$40,$AZ$5:$AZ$41,$BH8))),""))</f>
        <v/>
      </c>
      <c r="K5">
        <f>IF($BJ8&gt;0,IF(INDEX('Final Calculation Sheet'!$J$4:$J$40,$BJ8-3)="","",INDEX('Final Calculation Sheet'!$J$4:$J$40,$BJ8-3)),IF(OR($BI8=1,$BL8=1,$BH8&gt;0),IF($BI8=1,SUM('Final Calculation Sheet'!$J$4:$J$40),IF($BL8=1,SUM('Final Calculation Sheet'!$J$4:$J$40)-SUMIFS('Final Calculation Sheet'!$J$4:$J$40,$AZ$5:$AZ$41,10),SUMIFS('Final Calculation Sheet'!$J$4:$J$40,$AZ$5:$AZ$41,$BH8))),""))</f>
        <v/>
      </c>
      <c r="L5">
        <f>IF($BJ8&gt;0,IF(INDEX('Final Calculation Sheet'!$K$4:$K$40,$BJ8-3)="","",INDEX('Final Calculation Sheet'!$K$4:$K$40,$BJ8-3)),IF(OR($BI8=1,$BL8=1,$BH8&gt;0),IF($BI8=1,SUM('Final Calculation Sheet'!$K$4:$K$40),IF($BL8=1,SUM('Final Calculation Sheet'!$K$4:$K$40)-SUMIFS('Final Calculation Sheet'!$K$4:$K$40,$AZ$5:$AZ$41,10),SUMIFS('Final Calculation Sheet'!$K$4:$K$40,$AZ$5:$AZ$41,$BH8))),""))</f>
        <v/>
      </c>
      <c r="M5">
        <f>IF($BJ8&gt;0,IF(INDEX('Final Calculation Sheet'!$L$4:$L$40,$BJ8-3)="","",INDEX('Final Calculation Sheet'!$L$4:$L$40,$BJ8-3)),IF(OR($BI8=1,$BL8=1,$BH8&gt;0),IF($BI8=1,SUM('Final Calculation Sheet'!$L$4:$L$40),IF($BL8=1,SUM('Final Calculation Sheet'!$L$4:$L$40)-SUMIFS('Final Calculation Sheet'!$L$4:$L$40,$AZ$5:$AZ$41,10),SUMIFS('Final Calculation Sheet'!$L$4:$L$40,$AZ$5:$AZ$41,$BH8))),""))</f>
        <v/>
      </c>
      <c r="N5">
        <f>IF($BJ8&gt;0,IF(INDEX('Final Calculation Sheet'!$M$4:$M$40,$BJ8-3)="","",INDEX('Final Calculation Sheet'!$M$4:$M$40,$BJ8-3)),IF(OR($BI8=1,$BL8=1,$BH8&gt;0),IF($BI8=1,SUM('Final Calculation Sheet'!$M$4:$M$40),IF($BL8=1,SUM('Final Calculation Sheet'!$M$4:$M$40)-SUMIFS('Final Calculation Sheet'!$M$4:$M$40,$AZ$5:$AZ$41,10),SUMIFS('Final Calculation Sheet'!$M$4:$M$40,$AZ$5:$AZ$41,$BH8))),""))</f>
        <v/>
      </c>
      <c r="O5">
        <f>IF($BJ8&gt;0,IF(INDEX('Final Calculation Sheet'!$N$4:$N$40,$BJ8-3)="","",INDEX('Final Calculation Sheet'!$N$4:$N$40,$BJ8-3)),IF(OR($BI8=1,$BL8=1,$BH8&gt;0),IF($BI8=1,SUM('Final Calculation Sheet'!$N$4:$N$40),IF($BL8=1,SUM('Final Calculation Sheet'!$N$4:$N$40)-SUMIFS('Final Calculation Sheet'!$N$4:$N$40,$AZ$5:$AZ$41,10),SUMIFS('Final Calculation Sheet'!$N$4:$N$40,$AZ$5:$AZ$41,$BH8))),""))</f>
        <v/>
      </c>
      <c r="P5">
        <f>IF($BJ8&gt;0,IF(INDEX('Final Calculation Sheet'!$O$4:$O$40,$BJ8-3)="","",INDEX('Final Calculation Sheet'!$O$4:$O$40,$BJ8-3)),IF(OR($BI8=1,$BL8=1,$BH8&gt;0),IF($BI8=1,SUM('Final Calculation Sheet'!$O$4:$O$40),IF($BL8=1,SUM('Final Calculation Sheet'!$O$4:$O$40)-SUMIFS('Final Calculation Sheet'!$O$4:$O$40,$AZ$5:$AZ$41,10),SUMIFS('Final Calculation Sheet'!$O$4:$O$40,$AZ$5:$AZ$41,$BH8))),""))</f>
        <v/>
      </c>
      <c r="Q5">
        <f>IF($BJ8&gt;0,IF(INDEX('Final Calculation Sheet'!$P$4:$P$40,$BJ8-3)="","",INDEX('Final Calculation Sheet'!$P$4:$P$40,$BJ8-3)),IF(OR($BI8=1,$BL8=1,$BH8&gt;0),IF($BI8=1,SUM('Final Calculation Sheet'!$P$4:$P$40),IF($BL8=1,SUM('Final Calculation Sheet'!$P$4:$P$40)-SUMIFS('Final Calculation Sheet'!$P$4:$P$40,$AZ$5:$AZ$41,10),SUMIFS('Final Calculation Sheet'!$P$4:$P$40,$AZ$5:$AZ$41,$BH8))),""))</f>
        <v/>
      </c>
      <c r="R5">
        <f>IF($BJ8&gt;0,IF(INDEX('Final Calculation Sheet'!$Q$4:$Q$40,$BJ8-3)="","",INDEX('Final Calculation Sheet'!$Q$4:$Q$40,$BJ8-3)),IF(OR($BI8=1,$BL8=1,$BH8&gt;0),"–",""))</f>
        <v/>
      </c>
      <c r="S5">
        <f>IF($BJ8&gt;0,IF(INDEX('Final Calculation Sheet'!$R$4:$R$40,$BJ8-3)="","",INDEX('Final Calculation Sheet'!$R$4:$R$40,$BJ8-3)),IF(OR($BI8=1,$BL8=1,$BH8&gt;0),IF($BI8=1,SUM('Final Calculation Sheet'!$R$4:$R$40),IF($BL8=1,SUM('Final Calculation Sheet'!$R$4:$R$40)-SUMIFS('Final Calculation Sheet'!$R$4:$R$40,$AZ$5:$AZ$41,10),SUMIFS('Final Calculation Sheet'!$R$4:$R$40,$AZ$5:$AZ$41,$BH8))),""))</f>
        <v/>
      </c>
      <c r="T5">
        <f>IF($BJ8&gt;0,IF(INDEX('Final Calculation Sheet'!$S$4:$S$40,$BJ8-3)="","",INDEX('Final Calculation Sheet'!$S$4:$S$40,$BJ8-3)),IF(OR($BI8=1,$BL8=1,$BH8&gt;0),IF($BI8=1,SUM('Final Calculation Sheet'!$S$4:$S$40),IF($BL8=1,SUM('Final Calculation Sheet'!$S$4:$S$40)-SUMIFS('Final Calculation Sheet'!$S$4:$S$40,$AZ$5:$AZ$41,10),SUMIFS('Final Calculation Sheet'!$S$4:$S$40,$AZ$5:$AZ$41,$BH8))),""))</f>
        <v/>
      </c>
      <c r="U5">
        <f>IF($BJ8&gt;0,IF(INDEX('Final Calculation Sheet'!$T$4:$T$40,$BJ8-3)="","",INDEX('Final Calculation Sheet'!$T$4:$T$40,$BJ8-3)),IF(OR($BI8=1,$BL8=1,$BH8&gt;0),IF($BI8=1,SUM('Final Calculation Sheet'!$T$4:$T$40),IF($BL8=1,SUM('Final Calculation Sheet'!$T$4:$T$40)-SUMIFS('Final Calculation Sheet'!$T$4:$T$40,$AZ$5:$AZ$41,10),SUMIFS('Final Calculation Sheet'!$T$4:$T$40,$AZ$5:$AZ$41,$BH8))),""))</f>
        <v/>
      </c>
      <c r="V5">
        <f>IF($BJ8&gt;0,IF(INDEX('Final Calculation Sheet'!$U$4:$U$40,$BJ8-3)="","",INDEX('Final Calculation Sheet'!$U$4:$U$40,$BJ8-3)),IF(OR($BI8=1,$BL8=1,$BH8&gt;0),IF($BI8=1,SUM('Final Calculation Sheet'!$U$4:$U$40),IF($BL8=1,SUM('Final Calculation Sheet'!$U$4:$U$40)-SUMIFS('Final Calculation Sheet'!$U$4:$U$40,$AZ$5:$AZ$41,10),SUMIFS('Final Calculation Sheet'!$U$4:$U$40,$AZ$5:$AZ$41,$BH8))),""))</f>
        <v/>
      </c>
      <c r="W5">
        <f>IF($BJ8&gt;0,IF(INDEX('Final Calculation Sheet'!$V$4:$V$40,$BJ8-3)="","",INDEX('Final Calculation Sheet'!$V$4:$V$40,$BJ8-3)),IF(OR($BI8=1,$BL8=1,$BH8&gt;0),"–",""))</f>
        <v/>
      </c>
      <c r="X5">
        <f>IF($BJ8&gt;0,IF(INDEX('Final Calculation Sheet'!$W$4:$W$40,$BJ8-3)="","",INDEX('Final Calculation Sheet'!$W$4:$W$40,$BJ8-3)),IF(OR($BI8=1,$BL8=1,$BH8&gt;0),IF($BI8=1,SUM('Final Calculation Sheet'!$W$4:$W$40),IF($BL8=1,SUM('Final Calculation Sheet'!$W$4:$W$40)-SUMIFS('Final Calculation Sheet'!$W$4:$W$40,$AZ$5:$AZ$41,10),SUMIFS('Final Calculation Sheet'!$W$4:$W$40,$AZ$5:$AZ$41,$BH8))),""))</f>
        <v/>
      </c>
      <c r="Y5">
        <f>IF($BJ8&gt;0,IF(INDEX('Final Calculation Sheet'!$X$4:$X$40,$BJ8-3)="","",INDEX('Final Calculation Sheet'!$X$4:$X$40,$BJ8-3)),IF(OR($BI8=1,$BL8=1,$BH8&gt;0),IF($BI8=1,SUM('Final Calculation Sheet'!$X$4:$X$40),IF($BL8=1,SUM('Final Calculation Sheet'!$X$4:$X$40)-SUMIFS('Final Calculation Sheet'!$X$4:$X$40,$AZ$5:$AZ$41,10),SUMIFS('Final Calculation Sheet'!$X$4:$X$40,$AZ$5:$AZ$41,$BH8))),""))</f>
        <v/>
      </c>
      <c r="Z5">
        <f>IF($BJ8&gt;0,IF(INDEX('Final Calculation Sheet'!$Y$4:$Y$40,$BJ8-3)="","",INDEX('Final Calculation Sheet'!$Y$4:$Y$40,$BJ8-3)),IF(OR($BI8=1,$BL8=1,$BH8&gt;0),"–",""))</f>
        <v/>
      </c>
      <c r="AA5">
        <f>IF($BJ8&gt;0,IF(INDEX('Final Calculation Sheet'!$Z$4:$Z$40,$BJ8-3)="","",INDEX('Final Calculation Sheet'!$Z$4:$Z$40,$BJ8-3)),IF(OR($BI8=1,$BL8=1,$BH8&gt;0),IF($BI8=1,SUM('Final Calculation Sheet'!$Z$4:$Z$40),IF($BL8=1,SUM('Final Calculation Sheet'!$Z$4:$Z$40)-SUMIFS('Final Calculation Sheet'!$Z$4:$Z$40,$AZ$5:$AZ$41,10),SUMIFS('Final Calculation Sheet'!$Z$4:$Z$40,$AZ$5:$AZ$41,$BH8))),""))</f>
        <v/>
      </c>
      <c r="AB5">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5">
        <f>IF($BJ8&gt;0,IF(INDEX('Final Calculation Sheet'!$AB$4:$AB$40,$BJ8-3)="","",INDEX('Final Calculation Sheet'!$AB$4:$AB$40,$BJ8-3)),IF(OR($BI8=1,$BL8=1,$BH8&gt;0),"–",""))</f>
        <v/>
      </c>
      <c r="AD5">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5">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5">
        <f>IF($BJ8&gt;0,IF(INDEX('Final Calculation Sheet'!$AF$4:$AF$40,$BJ8-3)="","",INDEX('Final Calculation Sheet'!$AF$4:$AF$40,$BJ8-3)),IF(OR($BI8=1,$BL8=1,$BH8&gt;0),"–",""))</f>
        <v/>
      </c>
      <c r="AG5">
        <f>IF($BJ8&gt;0,IF(INDEX('Final Calculation Sheet'!$AG$4:$AG$40,$BJ8-3)="","",INDEX('Final Calculation Sheet'!$AG$4:$AG$40,$BJ8-3)),IF(OR($BI8=1,$BL8=1,$BH8&gt;0),"–",""))</f>
        <v/>
      </c>
      <c r="AH5">
        <f>IF($BJ8&gt;0,IF(INDEX('Final Calculation Sheet'!$AH$4:$AH$40,$BJ8-3)="","",INDEX('Final Calculation Sheet'!$AH$4:$AH$40,$BJ8-3)),IF(OR($BI8=1,$BL8=1,$BH8&gt;0),"–",""))</f>
        <v/>
      </c>
      <c r="AI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row>
    <row r="6">
      <c r="A6">
        <f>IF($BJ9&gt;0,INDEX($BA$5:$BA$41,MATCH(9,$BB$5:$BB$41,0)),IF(OR($BI9=1,$BL9=1,$BH9&gt;0),"∑",""))</f>
        <v/>
      </c>
      <c r="B6">
        <f>IF($BJ9&gt;0,IF(INDEX('Final Calculation Sheet'!$F$4:$F$40,$BJ9-3)="","",INDEX('Final Calculation Sheet'!$F$4:$F$40,$BJ9-3)),"")</f>
        <v/>
      </c>
      <c r="C6">
        <f>IF($BJ9&gt;0,IF(INDEX('Final Calculation Sheet'!$G$4:$G$40,$BJ9-3)="","",INDEX('Final Calculation Sheet'!$G$4:$G$40,$BJ9-3)),IF(OR($BI9=1,$BL9=1,$BH9&gt;0),IF($BI9=1,37,IF($BL9=1,37-INDEX($BD$4:$BD$13,10),INDEX($BD$4:$BD$13,$BH9)))&amp;" lot(s)",""))</f>
        <v/>
      </c>
      <c r="D6">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6">
        <f>IF($BJ9&gt;0,IF(INDEX('Final Calculation Sheet'!$D$4:$D$40,$BJ9-3)="","",INDEX('Final Calculation Sheet'!$D$4:$D$40,$BJ9-3)),IF(OR($BI9=1,$BL9=1,$BH9&gt;0),"–",""))</f>
        <v/>
      </c>
      <c r="F6">
        <f>IF($BJ9&gt;0,IF(INDEX('Final Calculation Sheet'!$A$4:$A$40,$BJ9-3)="","",INDEX('Final Calculation Sheet'!$A$4:$A$40,$BJ9-3)),IF(OR($BI9=1,$BL9=1,$BH9&gt;0),IF($BI9=1,SUM('Final Calculation Sheet'!$A$4:$A$40),IF($BL9=1,SUM('Final Calculation Sheet'!$A$4:$A$40)-SUMIFS('Final Calculation Sheet'!$A$4:$A$40,$AZ$5:$AZ$41,10),SUMIFS('Final Calculation Sheet'!$A$4:$A$40,$AZ$5:$AZ$41,$BH9))),""))</f>
        <v/>
      </c>
      <c r="G6">
        <f>IF($BJ9&gt;0,IF(INDEX('Final Calculation Sheet'!$E$4:$E$40,$BJ9-3)="","",INDEX('Final Calculation Sheet'!$E$4:$E$40,$BJ9-3)),IF(OR($BI9=1,$BL9=1,$BH9&gt;0),"–",""))</f>
        <v/>
      </c>
      <c r="H6">
        <f>IF($BJ9&gt;0,IF(INDEX('Final Calculation Sheet'!$C$4:$C$40,$BJ9-3)="","",INDEX('Final Calculation Sheet'!$C$4:$C$40,$BJ9-3)),IF(OR($BI9=1,$BL9=1,$BH9&gt;0),"–",""))</f>
        <v/>
      </c>
      <c r="I6">
        <f>IF($BJ9&gt;0,IF(INDEX('Final Calculation Sheet'!$H$4:$H$40,$BJ9-3)="","",INDEX('Final Calculation Sheet'!$H$4:$H$40,$BJ9-3)),IF(OR($BI9=1,$BL9=1,$BH9&gt;0),IF($BI9=1,SUM('Final Calculation Sheet'!$H$4:$H$40),IF($BL9=1,SUM('Final Calculation Sheet'!$H$4:$H$40)-SUMIFS('Final Calculation Sheet'!$H$4:$H$40,$AZ$5:$AZ$41,10),SUMIFS('Final Calculation Sheet'!$H$4:$H$40,$AZ$5:$AZ$41,$BH9))),""))</f>
        <v/>
      </c>
      <c r="J6">
        <f>IF($BJ9&gt;0,IF(INDEX('Final Calculation Sheet'!$I$4:$I$40,$BJ9-3)="","",INDEX('Final Calculation Sheet'!$I$4:$I$40,$BJ9-3)),IF(OR($BI9=1,$BL9=1,$BH9&gt;0),IF($BI9=1,SUM('Final Calculation Sheet'!$I$4:$I$40),IF($BL9=1,SUM('Final Calculation Sheet'!$I$4:$I$40)-SUMIFS('Final Calculation Sheet'!$I$4:$I$40,$AZ$5:$AZ$41,10),SUMIFS('Final Calculation Sheet'!$I$4:$I$40,$AZ$5:$AZ$41,$BH9))),""))</f>
        <v/>
      </c>
      <c r="K6">
        <f>IF($BJ9&gt;0,IF(INDEX('Final Calculation Sheet'!$J$4:$J$40,$BJ9-3)="","",INDEX('Final Calculation Sheet'!$J$4:$J$40,$BJ9-3)),IF(OR($BI9=1,$BL9=1,$BH9&gt;0),IF($BI9=1,SUM('Final Calculation Sheet'!$J$4:$J$40),IF($BL9=1,SUM('Final Calculation Sheet'!$J$4:$J$40)-SUMIFS('Final Calculation Sheet'!$J$4:$J$40,$AZ$5:$AZ$41,10),SUMIFS('Final Calculation Sheet'!$J$4:$J$40,$AZ$5:$AZ$41,$BH9))),""))</f>
        <v/>
      </c>
      <c r="L6">
        <f>IF($BJ9&gt;0,IF(INDEX('Final Calculation Sheet'!$K$4:$K$40,$BJ9-3)="","",INDEX('Final Calculation Sheet'!$K$4:$K$40,$BJ9-3)),IF(OR($BI9=1,$BL9=1,$BH9&gt;0),IF($BI9=1,SUM('Final Calculation Sheet'!$K$4:$K$40),IF($BL9=1,SUM('Final Calculation Sheet'!$K$4:$K$40)-SUMIFS('Final Calculation Sheet'!$K$4:$K$40,$AZ$5:$AZ$41,10),SUMIFS('Final Calculation Sheet'!$K$4:$K$40,$AZ$5:$AZ$41,$BH9))),""))</f>
        <v/>
      </c>
      <c r="M6">
        <f>IF($BJ9&gt;0,IF(INDEX('Final Calculation Sheet'!$L$4:$L$40,$BJ9-3)="","",INDEX('Final Calculation Sheet'!$L$4:$L$40,$BJ9-3)),IF(OR($BI9=1,$BL9=1,$BH9&gt;0),IF($BI9=1,SUM('Final Calculation Sheet'!$L$4:$L$40),IF($BL9=1,SUM('Final Calculation Sheet'!$L$4:$L$40)-SUMIFS('Final Calculation Sheet'!$L$4:$L$40,$AZ$5:$AZ$41,10),SUMIFS('Final Calculation Sheet'!$L$4:$L$40,$AZ$5:$AZ$41,$BH9))),""))</f>
        <v/>
      </c>
      <c r="N6">
        <f>IF($BJ9&gt;0,IF(INDEX('Final Calculation Sheet'!$M$4:$M$40,$BJ9-3)="","",INDEX('Final Calculation Sheet'!$M$4:$M$40,$BJ9-3)),IF(OR($BI9=1,$BL9=1,$BH9&gt;0),IF($BI9=1,SUM('Final Calculation Sheet'!$M$4:$M$40),IF($BL9=1,SUM('Final Calculation Sheet'!$M$4:$M$40)-SUMIFS('Final Calculation Sheet'!$M$4:$M$40,$AZ$5:$AZ$41,10),SUMIFS('Final Calculation Sheet'!$M$4:$M$40,$AZ$5:$AZ$41,$BH9))),""))</f>
        <v/>
      </c>
      <c r="O6">
        <f>IF($BJ9&gt;0,IF(INDEX('Final Calculation Sheet'!$N$4:$N$40,$BJ9-3)="","",INDEX('Final Calculation Sheet'!$N$4:$N$40,$BJ9-3)),IF(OR($BI9=1,$BL9=1,$BH9&gt;0),IF($BI9=1,SUM('Final Calculation Sheet'!$N$4:$N$40),IF($BL9=1,SUM('Final Calculation Sheet'!$N$4:$N$40)-SUMIFS('Final Calculation Sheet'!$N$4:$N$40,$AZ$5:$AZ$41,10),SUMIFS('Final Calculation Sheet'!$N$4:$N$40,$AZ$5:$AZ$41,$BH9))),""))</f>
        <v/>
      </c>
      <c r="P6">
        <f>IF($BJ9&gt;0,IF(INDEX('Final Calculation Sheet'!$O$4:$O$40,$BJ9-3)="","",INDEX('Final Calculation Sheet'!$O$4:$O$40,$BJ9-3)),IF(OR($BI9=1,$BL9=1,$BH9&gt;0),IF($BI9=1,SUM('Final Calculation Sheet'!$O$4:$O$40),IF($BL9=1,SUM('Final Calculation Sheet'!$O$4:$O$40)-SUMIFS('Final Calculation Sheet'!$O$4:$O$40,$AZ$5:$AZ$41,10),SUMIFS('Final Calculation Sheet'!$O$4:$O$40,$AZ$5:$AZ$41,$BH9))),""))</f>
        <v/>
      </c>
      <c r="Q6">
        <f>IF($BJ9&gt;0,IF(INDEX('Final Calculation Sheet'!$P$4:$P$40,$BJ9-3)="","",INDEX('Final Calculation Sheet'!$P$4:$P$40,$BJ9-3)),IF(OR($BI9=1,$BL9=1,$BH9&gt;0),IF($BI9=1,SUM('Final Calculation Sheet'!$P$4:$P$40),IF($BL9=1,SUM('Final Calculation Sheet'!$P$4:$P$40)-SUMIFS('Final Calculation Sheet'!$P$4:$P$40,$AZ$5:$AZ$41,10),SUMIFS('Final Calculation Sheet'!$P$4:$P$40,$AZ$5:$AZ$41,$BH9))),""))</f>
        <v/>
      </c>
      <c r="R6">
        <f>IF($BJ9&gt;0,IF(INDEX('Final Calculation Sheet'!$Q$4:$Q$40,$BJ9-3)="","",INDEX('Final Calculation Sheet'!$Q$4:$Q$40,$BJ9-3)),IF(OR($BI9=1,$BL9=1,$BH9&gt;0),"–",""))</f>
        <v/>
      </c>
      <c r="S6">
        <f>IF($BJ9&gt;0,IF(INDEX('Final Calculation Sheet'!$R$4:$R$40,$BJ9-3)="","",INDEX('Final Calculation Sheet'!$R$4:$R$40,$BJ9-3)),IF(OR($BI9=1,$BL9=1,$BH9&gt;0),IF($BI9=1,SUM('Final Calculation Sheet'!$R$4:$R$40),IF($BL9=1,SUM('Final Calculation Sheet'!$R$4:$R$40)-SUMIFS('Final Calculation Sheet'!$R$4:$R$40,$AZ$5:$AZ$41,10),SUMIFS('Final Calculation Sheet'!$R$4:$R$40,$AZ$5:$AZ$41,$BH9))),""))</f>
        <v/>
      </c>
      <c r="T6">
        <f>IF($BJ9&gt;0,IF(INDEX('Final Calculation Sheet'!$S$4:$S$40,$BJ9-3)="","",INDEX('Final Calculation Sheet'!$S$4:$S$40,$BJ9-3)),IF(OR($BI9=1,$BL9=1,$BH9&gt;0),IF($BI9=1,SUM('Final Calculation Sheet'!$S$4:$S$40),IF($BL9=1,SUM('Final Calculation Sheet'!$S$4:$S$40)-SUMIFS('Final Calculation Sheet'!$S$4:$S$40,$AZ$5:$AZ$41,10),SUMIFS('Final Calculation Sheet'!$S$4:$S$40,$AZ$5:$AZ$41,$BH9))),""))</f>
        <v/>
      </c>
      <c r="U6">
        <f>IF($BJ9&gt;0,IF(INDEX('Final Calculation Sheet'!$T$4:$T$40,$BJ9-3)="","",INDEX('Final Calculation Sheet'!$T$4:$T$40,$BJ9-3)),IF(OR($BI9=1,$BL9=1,$BH9&gt;0),IF($BI9=1,SUM('Final Calculation Sheet'!$T$4:$T$40),IF($BL9=1,SUM('Final Calculation Sheet'!$T$4:$T$40)-SUMIFS('Final Calculation Sheet'!$T$4:$T$40,$AZ$5:$AZ$41,10),SUMIFS('Final Calculation Sheet'!$T$4:$T$40,$AZ$5:$AZ$41,$BH9))),""))</f>
        <v/>
      </c>
      <c r="V6">
        <f>IF($BJ9&gt;0,IF(INDEX('Final Calculation Sheet'!$U$4:$U$40,$BJ9-3)="","",INDEX('Final Calculation Sheet'!$U$4:$U$40,$BJ9-3)),IF(OR($BI9=1,$BL9=1,$BH9&gt;0),IF($BI9=1,SUM('Final Calculation Sheet'!$U$4:$U$40),IF($BL9=1,SUM('Final Calculation Sheet'!$U$4:$U$40)-SUMIFS('Final Calculation Sheet'!$U$4:$U$40,$AZ$5:$AZ$41,10),SUMIFS('Final Calculation Sheet'!$U$4:$U$40,$AZ$5:$AZ$41,$BH9))),""))</f>
        <v/>
      </c>
      <c r="W6">
        <f>IF($BJ9&gt;0,IF(INDEX('Final Calculation Sheet'!$V$4:$V$40,$BJ9-3)="","",INDEX('Final Calculation Sheet'!$V$4:$V$40,$BJ9-3)),IF(OR($BI9=1,$BL9=1,$BH9&gt;0),"–",""))</f>
        <v/>
      </c>
      <c r="X6">
        <f>IF($BJ9&gt;0,IF(INDEX('Final Calculation Sheet'!$W$4:$W$40,$BJ9-3)="","",INDEX('Final Calculation Sheet'!$W$4:$W$40,$BJ9-3)),IF(OR($BI9=1,$BL9=1,$BH9&gt;0),IF($BI9=1,SUM('Final Calculation Sheet'!$W$4:$W$40),IF($BL9=1,SUM('Final Calculation Sheet'!$W$4:$W$40)-SUMIFS('Final Calculation Sheet'!$W$4:$W$40,$AZ$5:$AZ$41,10),SUMIFS('Final Calculation Sheet'!$W$4:$W$40,$AZ$5:$AZ$41,$BH9))),""))</f>
        <v/>
      </c>
      <c r="Y6">
        <f>IF($BJ9&gt;0,IF(INDEX('Final Calculation Sheet'!$X$4:$X$40,$BJ9-3)="","",INDEX('Final Calculation Sheet'!$X$4:$X$40,$BJ9-3)),IF(OR($BI9=1,$BL9=1,$BH9&gt;0),IF($BI9=1,SUM('Final Calculation Sheet'!$X$4:$X$40),IF($BL9=1,SUM('Final Calculation Sheet'!$X$4:$X$40)-SUMIFS('Final Calculation Sheet'!$X$4:$X$40,$AZ$5:$AZ$41,10),SUMIFS('Final Calculation Sheet'!$X$4:$X$40,$AZ$5:$AZ$41,$BH9))),""))</f>
        <v/>
      </c>
      <c r="Z6">
        <f>IF($BJ9&gt;0,IF(INDEX('Final Calculation Sheet'!$Y$4:$Y$40,$BJ9-3)="","",INDEX('Final Calculation Sheet'!$Y$4:$Y$40,$BJ9-3)),IF(OR($BI9=1,$BL9=1,$BH9&gt;0),"–",""))</f>
        <v/>
      </c>
      <c r="AA6">
        <f>IF($BJ9&gt;0,IF(INDEX('Final Calculation Sheet'!$Z$4:$Z$40,$BJ9-3)="","",INDEX('Final Calculation Sheet'!$Z$4:$Z$40,$BJ9-3)),IF(OR($BI9=1,$BL9=1,$BH9&gt;0),IF($BI9=1,SUM('Final Calculation Sheet'!$Z$4:$Z$40),IF($BL9=1,SUM('Final Calculation Sheet'!$Z$4:$Z$40)-SUMIFS('Final Calculation Sheet'!$Z$4:$Z$40,$AZ$5:$AZ$41,10),SUMIFS('Final Calculation Sheet'!$Z$4:$Z$40,$AZ$5:$AZ$41,$BH9))),""))</f>
        <v/>
      </c>
      <c r="AB6">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6">
        <f>IF($BJ9&gt;0,IF(INDEX('Final Calculation Sheet'!$AB$4:$AB$40,$BJ9-3)="","",INDEX('Final Calculation Sheet'!$AB$4:$AB$40,$BJ9-3)),IF(OR($BI9=1,$BL9=1,$BH9&gt;0),"–",""))</f>
        <v/>
      </c>
      <c r="AD6">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6">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6">
        <f>IF($BJ9&gt;0,IF(INDEX('Final Calculation Sheet'!$AF$4:$AF$40,$BJ9-3)="","",INDEX('Final Calculation Sheet'!$AF$4:$AF$40,$BJ9-3)),IF(OR($BI9=1,$BL9=1,$BH9&gt;0),"–",""))</f>
        <v/>
      </c>
      <c r="AG6">
        <f>IF($BJ9&gt;0,IF(INDEX('Final Calculation Sheet'!$AG$4:$AG$40,$BJ9-3)="","",INDEX('Final Calculation Sheet'!$AG$4:$AG$40,$BJ9-3)),IF(OR($BI9=1,$BL9=1,$BH9&gt;0),"–",""))</f>
        <v/>
      </c>
      <c r="AH6">
        <f>IF($BJ9&gt;0,IF(INDEX('Final Calculation Sheet'!$AH$4:$AH$40,$BJ9-3)="","",INDEX('Final Calculation Sheet'!$AH$4:$AH$40,$BJ9-3)),IF(OR($BI9=1,$BL9=1,$BH9&gt;0),"–",""))</f>
        <v/>
      </c>
      <c r="AI6">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row>
    <row r="7">
      <c r="A7">
        <f>IF($BJ10&gt;0,INDEX($BA$5:$BA$41,MATCH(10,$BB$5:$BB$41,0)),IF(OR($BI10=1,$BL10=1,$BH10&gt;0),"∑",""))</f>
        <v/>
      </c>
      <c r="B7">
        <f>IF($BJ10&gt;0,IF(INDEX('Final Calculation Sheet'!$F$4:$F$40,$BJ10-3)="","",INDEX('Final Calculation Sheet'!$F$4:$F$40,$BJ10-3)),"")</f>
        <v/>
      </c>
      <c r="C7">
        <f>IF($BJ10&gt;0,IF(INDEX('Final Calculation Sheet'!$G$4:$G$40,$BJ10-3)="","",INDEX('Final Calculation Sheet'!$G$4:$G$40,$BJ10-3)),IF(OR($BI10=1,$BL10=1,$BH10&gt;0),IF($BI10=1,37,IF($BL10=1,37-INDEX($BD$4:$BD$13,10),INDEX($BD$4:$BD$13,$BH10)))&amp;" lot(s)",""))</f>
        <v/>
      </c>
      <c r="D7">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7">
        <f>IF($BJ10&gt;0,IF(INDEX('Final Calculation Sheet'!$D$4:$D$40,$BJ10-3)="","",INDEX('Final Calculation Sheet'!$D$4:$D$40,$BJ10-3)),IF(OR($BI10=1,$BL10=1,$BH10&gt;0),"–",""))</f>
        <v/>
      </c>
      <c r="F7">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7">
        <f>IF($BJ10&gt;0,IF(INDEX('Final Calculation Sheet'!$E$4:$E$40,$BJ10-3)="","",INDEX('Final Calculation Sheet'!$E$4:$E$40,$BJ10-3)),IF(OR($BI10=1,$BL10=1,$BH10&gt;0),"–",""))</f>
        <v/>
      </c>
      <c r="H7">
        <f>IF($BJ10&gt;0,IF(INDEX('Final Calculation Sheet'!$C$4:$C$40,$BJ10-3)="","",INDEX('Final Calculation Sheet'!$C$4:$C$40,$BJ10-3)),IF(OR($BI10=1,$BL10=1,$BH10&gt;0),"–",""))</f>
        <v/>
      </c>
      <c r="I7">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7">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7">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7">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7">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7">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7">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7">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7">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7">
        <f>IF($BJ10&gt;0,IF(INDEX('Final Calculation Sheet'!$Q$4:$Q$40,$BJ10-3)="","",INDEX('Final Calculation Sheet'!$Q$4:$Q$40,$BJ10-3)),IF(OR($BI10=1,$BL10=1,$BH10&gt;0),"–",""))</f>
        <v/>
      </c>
      <c r="S7">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7">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7">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7">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7">
        <f>IF($BJ10&gt;0,IF(INDEX('Final Calculation Sheet'!$V$4:$V$40,$BJ10-3)="","",INDEX('Final Calculation Sheet'!$V$4:$V$40,$BJ10-3)),IF(OR($BI10=1,$BL10=1,$BH10&gt;0),"–",""))</f>
        <v/>
      </c>
      <c r="X7">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7">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7">
        <f>IF($BJ10&gt;0,IF(INDEX('Final Calculation Sheet'!$Y$4:$Y$40,$BJ10-3)="","",INDEX('Final Calculation Sheet'!$Y$4:$Y$40,$BJ10-3)),IF(OR($BI10=1,$BL10=1,$BH10&gt;0),"–",""))</f>
        <v/>
      </c>
      <c r="AA7">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7">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7">
        <f>IF($BJ10&gt;0,IF(INDEX('Final Calculation Sheet'!$AB$4:$AB$40,$BJ10-3)="","",INDEX('Final Calculation Sheet'!$AB$4:$AB$40,$BJ10-3)),IF(OR($BI10=1,$BL10=1,$BH10&gt;0),"–",""))</f>
        <v/>
      </c>
      <c r="AD7">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7">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7">
        <f>IF($BJ10&gt;0,IF(INDEX('Final Calculation Sheet'!$AF$4:$AF$40,$BJ10-3)="","",INDEX('Final Calculation Sheet'!$AF$4:$AF$40,$BJ10-3)),IF(OR($BI10=1,$BL10=1,$BH10&gt;0),"–",""))</f>
        <v/>
      </c>
      <c r="AG7">
        <f>IF($BJ10&gt;0,IF(INDEX('Final Calculation Sheet'!$AG$4:$AG$40,$BJ10-3)="","",INDEX('Final Calculation Sheet'!$AG$4:$AG$40,$BJ10-3)),IF(OR($BI10=1,$BL10=1,$BH10&gt;0),"–",""))</f>
        <v/>
      </c>
      <c r="AH7">
        <f>IF($BJ10&gt;0,IF(INDEX('Final Calculation Sheet'!$AH$4:$AH$40,$BJ10-3)="","",INDEX('Final Calculation Sheet'!$AH$4:$AH$40,$BJ10-3)),IF(OR($BI10=1,$BL10=1,$BH10&gt;0),"–",""))</f>
        <v/>
      </c>
      <c r="AI7">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row>
    <row r="8">
      <c r="A8">
        <f>IF($BJ11&gt;0,INDEX($BA$5:$BA$41,MATCH(11,$BB$5:$BB$41,0)),IF(OR($BI11=1,$BL11=1,$BH11&gt;0),"∑",""))</f>
        <v/>
      </c>
      <c r="B8">
        <f>IF($BJ11&gt;0,IF(INDEX('Final Calculation Sheet'!$F$4:$F$40,$BJ11-3)="","",INDEX('Final Calculation Sheet'!$F$4:$F$40,$BJ11-3)),"")</f>
        <v/>
      </c>
      <c r="C8">
        <f>IF($BJ11&gt;0,IF(INDEX('Final Calculation Sheet'!$G$4:$G$40,$BJ11-3)="","",INDEX('Final Calculation Sheet'!$G$4:$G$40,$BJ11-3)),IF(OR($BI11=1,$BL11=1,$BH11&gt;0),IF($BI11=1,37,IF($BL11=1,37-INDEX($BD$4:$BD$13,10),INDEX($BD$4:$BD$13,$BH11)))&amp;" lot(s)",""))</f>
        <v/>
      </c>
      <c r="D8">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8">
        <f>IF($BJ11&gt;0,IF(INDEX('Final Calculation Sheet'!$D$4:$D$40,$BJ11-3)="","",INDEX('Final Calculation Sheet'!$D$4:$D$40,$BJ11-3)),IF(OR($BI11=1,$BL11=1,$BH11&gt;0),"–",""))</f>
        <v/>
      </c>
      <c r="F8">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8">
        <f>IF($BJ11&gt;0,IF(INDEX('Final Calculation Sheet'!$E$4:$E$40,$BJ11-3)="","",INDEX('Final Calculation Sheet'!$E$4:$E$40,$BJ11-3)),IF(OR($BI11=1,$BL11=1,$BH11&gt;0),"–",""))</f>
        <v/>
      </c>
      <c r="H8">
        <f>IF($BJ11&gt;0,IF(INDEX('Final Calculation Sheet'!$C$4:$C$40,$BJ11-3)="","",INDEX('Final Calculation Sheet'!$C$4:$C$40,$BJ11-3)),IF(OR($BI11=1,$BL11=1,$BH11&gt;0),"–",""))</f>
        <v/>
      </c>
      <c r="I8">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8">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8">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8">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8">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8">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8">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8">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8">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8">
        <f>IF($BJ11&gt;0,IF(INDEX('Final Calculation Sheet'!$Q$4:$Q$40,$BJ11-3)="","",INDEX('Final Calculation Sheet'!$Q$4:$Q$40,$BJ11-3)),IF(OR($BI11=1,$BL11=1,$BH11&gt;0),"–",""))</f>
        <v/>
      </c>
      <c r="S8">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8">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8">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8">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8">
        <f>IF($BJ11&gt;0,IF(INDEX('Final Calculation Sheet'!$V$4:$V$40,$BJ11-3)="","",INDEX('Final Calculation Sheet'!$V$4:$V$40,$BJ11-3)),IF(OR($BI11=1,$BL11=1,$BH11&gt;0),"–",""))</f>
        <v/>
      </c>
      <c r="X8">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8">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8">
        <f>IF($BJ11&gt;0,IF(INDEX('Final Calculation Sheet'!$Y$4:$Y$40,$BJ11-3)="","",INDEX('Final Calculation Sheet'!$Y$4:$Y$40,$BJ11-3)),IF(OR($BI11=1,$BL11=1,$BH11&gt;0),"–",""))</f>
        <v/>
      </c>
      <c r="AA8">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8">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8">
        <f>IF($BJ11&gt;0,IF(INDEX('Final Calculation Sheet'!$AB$4:$AB$40,$BJ11-3)="","",INDEX('Final Calculation Sheet'!$AB$4:$AB$40,$BJ11-3)),IF(OR($BI11=1,$BL11=1,$BH11&gt;0),"–",""))</f>
        <v/>
      </c>
      <c r="AD8">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8">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8">
        <f>IF($BJ11&gt;0,IF(INDEX('Final Calculation Sheet'!$AF$4:$AF$40,$BJ11-3)="","",INDEX('Final Calculation Sheet'!$AF$4:$AF$40,$BJ11-3)),IF(OR($BI11=1,$BL11=1,$BH11&gt;0),"–",""))</f>
        <v/>
      </c>
      <c r="AG8">
        <f>IF($BJ11&gt;0,IF(INDEX('Final Calculation Sheet'!$AG$4:$AG$40,$BJ11-3)="","",INDEX('Final Calculation Sheet'!$AG$4:$AG$40,$BJ11-3)),IF(OR($BI11=1,$BL11=1,$BH11&gt;0),"–",""))</f>
        <v/>
      </c>
      <c r="AH8">
        <f>IF($BJ11&gt;0,IF(INDEX('Final Calculation Sheet'!$AH$4:$AH$40,$BJ11-3)="","",INDEX('Final Calculation Sheet'!$AH$4:$AH$40,$BJ11-3)),IF(OR($BI11=1,$BL11=1,$BH11&gt;0),"–",""))</f>
        <v/>
      </c>
      <c r="AI8">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row>
    <row r="9">
      <c r="A9">
        <f>IF($BJ12&gt;0,INDEX($BA$5:$BA$41,MATCH(12,$BB$5:$BB$41,0)),IF(OR($BI12=1,$BL12=1,$BH12&gt;0),"∑",""))</f>
        <v/>
      </c>
      <c r="B9">
        <f>IF($BJ12&gt;0,IF(INDEX('Final Calculation Sheet'!$F$4:$F$40,$BJ12-3)="","",INDEX('Final Calculation Sheet'!$F$4:$F$40,$BJ12-3)),"")</f>
        <v/>
      </c>
      <c r="C9">
        <f>IF($BJ12&gt;0,IF(INDEX('Final Calculation Sheet'!$G$4:$G$40,$BJ12-3)="","",INDEX('Final Calculation Sheet'!$G$4:$G$40,$BJ12-3)),IF(OR($BI12=1,$BL12=1,$BH12&gt;0),IF($BI12=1,37,IF($BL12=1,37-INDEX($BD$4:$BD$13,10),INDEX($BD$4:$BD$13,$BH12)))&amp;" lot(s)",""))</f>
        <v/>
      </c>
      <c r="D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9">
        <f>IF($BJ12&gt;0,IF(INDEX('Final Calculation Sheet'!$D$4:$D$40,$BJ12-3)="","",INDEX('Final Calculation Sheet'!$D$4:$D$40,$BJ12-3)),IF(OR($BI12=1,$BL12=1,$BH12&gt;0),"–",""))</f>
        <v/>
      </c>
      <c r="F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9">
        <f>IF($BJ12&gt;0,IF(INDEX('Final Calculation Sheet'!$E$4:$E$40,$BJ12-3)="","",INDEX('Final Calculation Sheet'!$E$4:$E$40,$BJ12-3)),IF(OR($BI12=1,$BL12=1,$BH12&gt;0),"–",""))</f>
        <v/>
      </c>
      <c r="H9">
        <f>IF($BJ12&gt;0,IF(INDEX('Final Calculation Sheet'!$C$4:$C$40,$BJ12-3)="","",INDEX('Final Calculation Sheet'!$C$4:$C$40,$BJ12-3)),IF(OR($BI12=1,$BL12=1,$BH12&gt;0),"–",""))</f>
        <v/>
      </c>
      <c r="I9">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9">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9">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9">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9">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9">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9">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9">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9">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9">
        <f>IF($BJ12&gt;0,IF(INDEX('Final Calculation Sheet'!$Q$4:$Q$40,$BJ12-3)="","",INDEX('Final Calculation Sheet'!$Q$4:$Q$40,$BJ12-3)),IF(OR($BI12=1,$BL12=1,$BH12&gt;0),"–",""))</f>
        <v/>
      </c>
      <c r="S9">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9">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9">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9">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9">
        <f>IF($BJ12&gt;0,IF(INDEX('Final Calculation Sheet'!$V$4:$V$40,$BJ12-3)="","",INDEX('Final Calculation Sheet'!$V$4:$V$40,$BJ12-3)),IF(OR($BI12=1,$BL12=1,$BH12&gt;0),"–",""))</f>
        <v/>
      </c>
      <c r="X9">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9">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9">
        <f>IF($BJ12&gt;0,IF(INDEX('Final Calculation Sheet'!$Y$4:$Y$40,$BJ12-3)="","",INDEX('Final Calculation Sheet'!$Y$4:$Y$40,$BJ12-3)),IF(OR($BI12=1,$BL12=1,$BH12&gt;0),"–",""))</f>
        <v/>
      </c>
      <c r="AA9">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9">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9">
        <f>IF($BJ12&gt;0,IF(INDEX('Final Calculation Sheet'!$AB$4:$AB$40,$BJ12-3)="","",INDEX('Final Calculation Sheet'!$AB$4:$AB$40,$BJ12-3)),IF(OR($BI12=1,$BL12=1,$BH12&gt;0),"–",""))</f>
        <v/>
      </c>
      <c r="AD9">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9">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9">
        <f>IF($BJ12&gt;0,IF(INDEX('Final Calculation Sheet'!$AF$4:$AF$40,$BJ12-3)="","",INDEX('Final Calculation Sheet'!$AF$4:$AF$40,$BJ12-3)),IF(OR($BI12=1,$BL12=1,$BH12&gt;0),"–",""))</f>
        <v/>
      </c>
      <c r="AG9">
        <f>IF($BJ12&gt;0,IF(INDEX('Final Calculation Sheet'!$AG$4:$AG$40,$BJ12-3)="","",INDEX('Final Calculation Sheet'!$AG$4:$AG$40,$BJ12-3)),IF(OR($BI12=1,$BL12=1,$BH12&gt;0),"–",""))</f>
        <v/>
      </c>
      <c r="AH9">
        <f>IF($BJ12&gt;0,IF(INDEX('Final Calculation Sheet'!$AH$4:$AH$40,$BJ12-3)="","",INDEX('Final Calculation Sheet'!$AH$4:$AH$40,$BJ12-3)),IF(OR($BI12=1,$BL12=1,$BH12&gt;0),"–",""))</f>
        <v/>
      </c>
      <c r="AI9">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row>
    <row r="10">
      <c r="A10">
        <f>IF($BJ13&gt;0,INDEX($BA$5:$BA$41,MATCH(13,$BB$5:$BB$41,0)),IF(OR($BI13=1,$BL13=1,$BH13&gt;0),"∑",""))</f>
        <v/>
      </c>
      <c r="B10">
        <f>IF($BJ13&gt;0,IF(INDEX('Final Calculation Sheet'!$F$4:$F$40,$BJ13-3)="","",INDEX('Final Calculation Sheet'!$F$4:$F$40,$BJ13-3)),"")</f>
        <v/>
      </c>
      <c r="C10">
        <f>IF($BJ13&gt;0,IF(INDEX('Final Calculation Sheet'!$G$4:$G$40,$BJ13-3)="","",INDEX('Final Calculation Sheet'!$G$4:$G$40,$BJ13-3)),IF(OR($BI13=1,$BL13=1,$BH13&gt;0),IF($BI13=1,37,IF($BL13=1,37-INDEX($BD$4:$BD$13,10),INDEX($BD$4:$BD$13,$BH13)))&amp;" lot(s)",""))</f>
        <v/>
      </c>
      <c r="D10">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0">
        <f>IF($BJ13&gt;0,IF(INDEX('Final Calculation Sheet'!$D$4:$D$40,$BJ13-3)="","",INDEX('Final Calculation Sheet'!$D$4:$D$40,$BJ13-3)),IF(OR($BI13=1,$BL13=1,$BH13&gt;0),"–",""))</f>
        <v/>
      </c>
      <c r="F10">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0">
        <f>IF($BJ13&gt;0,IF(INDEX('Final Calculation Sheet'!$E$4:$E$40,$BJ13-3)="","",INDEX('Final Calculation Sheet'!$E$4:$E$40,$BJ13-3)),IF(OR($BI13=1,$BL13=1,$BH13&gt;0),"–",""))</f>
        <v/>
      </c>
      <c r="H10">
        <f>IF($BJ13&gt;0,IF(INDEX('Final Calculation Sheet'!$C$4:$C$40,$BJ13-3)="","",INDEX('Final Calculation Sheet'!$C$4:$C$40,$BJ13-3)),IF(OR($BI13=1,$BL13=1,$BH13&gt;0),"–",""))</f>
        <v/>
      </c>
      <c r="I1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0">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0">
        <f>IF($BJ13&gt;0,IF(INDEX('Final Calculation Sheet'!$Q$4:$Q$40,$BJ13-3)="","",INDEX('Final Calculation Sheet'!$Q$4:$Q$40,$BJ13-3)),IF(OR($BI13=1,$BL13=1,$BH13&gt;0),"–",""))</f>
        <v/>
      </c>
      <c r="S1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0">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0">
        <f>IF($BJ13&gt;0,IF(INDEX('Final Calculation Sheet'!$V$4:$V$40,$BJ13-3)="","",INDEX('Final Calculation Sheet'!$V$4:$V$40,$BJ13-3)),IF(OR($BI13=1,$BL13=1,$BH13&gt;0),"–",""))</f>
        <v/>
      </c>
      <c r="X1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0">
        <f>IF($BJ13&gt;0,IF(INDEX('Final Calculation Sheet'!$Y$4:$Y$40,$BJ13-3)="","",INDEX('Final Calculation Sheet'!$Y$4:$Y$40,$BJ13-3)),IF(OR($BI13=1,$BL13=1,$BH13&gt;0),"–",""))</f>
        <v/>
      </c>
      <c r="AA1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0">
        <f>IF($BJ13&gt;0,IF(INDEX('Final Calculation Sheet'!$AB$4:$AB$40,$BJ13-3)="","",INDEX('Final Calculation Sheet'!$AB$4:$AB$40,$BJ13-3)),IF(OR($BI13=1,$BL13=1,$BH13&gt;0),"–",""))</f>
        <v/>
      </c>
      <c r="AD1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0">
        <f>IF($BJ13&gt;0,IF(INDEX('Final Calculation Sheet'!$AF$4:$AF$40,$BJ13-3)="","",INDEX('Final Calculation Sheet'!$AF$4:$AF$40,$BJ13-3)),IF(OR($BI13=1,$BL13=1,$BH13&gt;0),"–",""))</f>
        <v/>
      </c>
      <c r="AG10">
        <f>IF($BJ13&gt;0,IF(INDEX('Final Calculation Sheet'!$AG$4:$AG$40,$BJ13-3)="","",INDEX('Final Calculation Sheet'!$AG$4:$AG$40,$BJ13-3)),IF(OR($BI13=1,$BL13=1,$BH13&gt;0),"–",""))</f>
        <v/>
      </c>
      <c r="AH10">
        <f>IF($BJ13&gt;0,IF(INDEX('Final Calculation Sheet'!$AH$4:$AH$40,$BJ13-3)="","",INDEX('Final Calculation Sheet'!$AH$4:$AH$40,$BJ13-3)),IF(OR($BI13=1,$BL13=1,$BH13&gt;0),"–",""))</f>
        <v/>
      </c>
      <c r="AI10">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row>
    <row r="11">
      <c r="A11">
        <f>IF($BJ14&gt;0,INDEX($BA$5:$BA$41,MATCH(14,$BB$5:$BB$41,0)),IF(OR($BI14=1,$BL14=1,$BH14&gt;0),"∑",""))</f>
        <v/>
      </c>
      <c r="B11">
        <f>IF($BJ14&gt;0,IF(INDEX('Final Calculation Sheet'!$F$4:$F$40,$BJ14-3)="","",INDEX('Final Calculation Sheet'!$F$4:$F$40,$BJ14-3)),"")</f>
        <v/>
      </c>
      <c r="C11">
        <f>IF($BJ14&gt;0,IF(INDEX('Final Calculation Sheet'!$G$4:$G$40,$BJ14-3)="","",INDEX('Final Calculation Sheet'!$G$4:$G$40,$BJ14-3)),IF(OR($BI14=1,$BL14=1,$BH14&gt;0),IF($BI14=1,37,IF($BL14=1,37-INDEX($BD$4:$BD$13,10),INDEX($BD$4:$BD$13,$BH14)))&amp;" lot(s)",""))</f>
        <v/>
      </c>
      <c r="D11">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1">
        <f>IF($BJ14&gt;0,IF(INDEX('Final Calculation Sheet'!$D$4:$D$40,$BJ14-3)="","",INDEX('Final Calculation Sheet'!$D$4:$D$40,$BJ14-3)),IF(OR($BI14=1,$BL14=1,$BH14&gt;0),"–",""))</f>
        <v/>
      </c>
      <c r="F11">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1">
        <f>IF($BJ14&gt;0,IF(INDEX('Final Calculation Sheet'!$E$4:$E$40,$BJ14-3)="","",INDEX('Final Calculation Sheet'!$E$4:$E$40,$BJ14-3)),IF(OR($BI14=1,$BL14=1,$BH14&gt;0),"–",""))</f>
        <v/>
      </c>
      <c r="H11">
        <f>IF($BJ14&gt;0,IF(INDEX('Final Calculation Sheet'!$C$4:$C$40,$BJ14-3)="","",INDEX('Final Calculation Sheet'!$C$4:$C$40,$BJ14-3)),IF(OR($BI14=1,$BL14=1,$BH14&gt;0),"–",""))</f>
        <v/>
      </c>
      <c r="I11">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1">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1">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1">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1">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1">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1">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1">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1">
        <f>IF($BJ14&gt;0,IF(INDEX('Final Calculation Sheet'!$Q$4:$Q$40,$BJ14-3)="","",INDEX('Final Calculation Sheet'!$Q$4:$Q$40,$BJ14-3)),IF(OR($BI14=1,$BL14=1,$BH14&gt;0),"–",""))</f>
        <v/>
      </c>
      <c r="S11">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1">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1">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1">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1">
        <f>IF($BJ14&gt;0,IF(INDEX('Final Calculation Sheet'!$V$4:$V$40,$BJ14-3)="","",INDEX('Final Calculation Sheet'!$V$4:$V$40,$BJ14-3)),IF(OR($BI14=1,$BL14=1,$BH14&gt;0),"–",""))</f>
        <v/>
      </c>
      <c r="X11">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1">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1">
        <f>IF($BJ14&gt;0,IF(INDEX('Final Calculation Sheet'!$Y$4:$Y$40,$BJ14-3)="","",INDEX('Final Calculation Sheet'!$Y$4:$Y$40,$BJ14-3)),IF(OR($BI14=1,$BL14=1,$BH14&gt;0),"–",""))</f>
        <v/>
      </c>
      <c r="AA11">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1">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1">
        <f>IF($BJ14&gt;0,IF(INDEX('Final Calculation Sheet'!$AB$4:$AB$40,$BJ14-3)="","",INDEX('Final Calculation Sheet'!$AB$4:$AB$40,$BJ14-3)),IF(OR($BI14=1,$BL14=1,$BH14&gt;0),"–",""))</f>
        <v/>
      </c>
      <c r="AD11">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1">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1">
        <f>IF($BJ14&gt;0,IF(INDEX('Final Calculation Sheet'!$AF$4:$AF$40,$BJ14-3)="","",INDEX('Final Calculation Sheet'!$AF$4:$AF$40,$BJ14-3)),IF(OR($BI14=1,$BL14=1,$BH14&gt;0),"–",""))</f>
        <v/>
      </c>
      <c r="AG11">
        <f>IF($BJ14&gt;0,IF(INDEX('Final Calculation Sheet'!$AG$4:$AG$40,$BJ14-3)="","",INDEX('Final Calculation Sheet'!$AG$4:$AG$40,$BJ14-3)),IF(OR($BI14=1,$BL14=1,$BH14&gt;0),"–",""))</f>
        <v/>
      </c>
      <c r="AH11">
        <f>IF($BJ14&gt;0,IF(INDEX('Final Calculation Sheet'!$AH$4:$AH$40,$BJ14-3)="","",INDEX('Final Calculation Sheet'!$AH$4:$AH$40,$BJ14-3)),IF(OR($BI14=1,$BL14=1,$BH14&gt;0),"–",""))</f>
        <v/>
      </c>
      <c r="AI11">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row>
    <row r="12">
      <c r="A12">
        <f>IF($BJ15&gt;0,INDEX($BA$5:$BA$41,MATCH(15,$BB$5:$BB$41,0)),IF(OR($BI15=1,$BL15=1,$BH15&gt;0),"∑",""))</f>
        <v/>
      </c>
      <c r="B12">
        <f>IF($BJ15&gt;0,IF(INDEX('Final Calculation Sheet'!$F$4:$F$40,$BJ15-3)="","",INDEX('Final Calculation Sheet'!$F$4:$F$40,$BJ15-3)),"")</f>
        <v/>
      </c>
      <c r="C12">
        <f>IF($BJ15&gt;0,IF(INDEX('Final Calculation Sheet'!$G$4:$G$40,$BJ15-3)="","",INDEX('Final Calculation Sheet'!$G$4:$G$40,$BJ15-3)),IF(OR($BI15=1,$BL15=1,$BH15&gt;0),IF($BI15=1,37,IF($BL15=1,37-INDEX($BD$4:$BD$13,10),INDEX($BD$4:$BD$13,$BH15)))&amp;" lot(s)",""))</f>
        <v/>
      </c>
      <c r="D12">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2">
        <f>IF($BJ15&gt;0,IF(INDEX('Final Calculation Sheet'!$D$4:$D$40,$BJ15-3)="","",INDEX('Final Calculation Sheet'!$D$4:$D$40,$BJ15-3)),IF(OR($BI15=1,$BL15=1,$BH15&gt;0),"–",""))</f>
        <v/>
      </c>
      <c r="F12">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2">
        <f>IF($BJ15&gt;0,IF(INDEX('Final Calculation Sheet'!$E$4:$E$40,$BJ15-3)="","",INDEX('Final Calculation Sheet'!$E$4:$E$40,$BJ15-3)),IF(OR($BI15=1,$BL15=1,$BH15&gt;0),"–",""))</f>
        <v/>
      </c>
      <c r="H12">
        <f>IF($BJ15&gt;0,IF(INDEX('Final Calculation Sheet'!$C$4:$C$40,$BJ15-3)="","",INDEX('Final Calculation Sheet'!$C$4:$C$40,$BJ15-3)),IF(OR($BI15=1,$BL15=1,$BH15&gt;0),"–",""))</f>
        <v/>
      </c>
      <c r="I12">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2">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2">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2">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2">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2">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2">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2">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2">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2">
        <f>IF($BJ15&gt;0,IF(INDEX('Final Calculation Sheet'!$Q$4:$Q$40,$BJ15-3)="","",INDEX('Final Calculation Sheet'!$Q$4:$Q$40,$BJ15-3)),IF(OR($BI15=1,$BL15=1,$BH15&gt;0),"–",""))</f>
        <v/>
      </c>
      <c r="S12">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2">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2">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2">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2">
        <f>IF($BJ15&gt;0,IF(INDEX('Final Calculation Sheet'!$V$4:$V$40,$BJ15-3)="","",INDEX('Final Calculation Sheet'!$V$4:$V$40,$BJ15-3)),IF(OR($BI15=1,$BL15=1,$BH15&gt;0),"–",""))</f>
        <v/>
      </c>
      <c r="X12">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2">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2">
        <f>IF($BJ15&gt;0,IF(INDEX('Final Calculation Sheet'!$Y$4:$Y$40,$BJ15-3)="","",INDEX('Final Calculation Sheet'!$Y$4:$Y$40,$BJ15-3)),IF(OR($BI15=1,$BL15=1,$BH15&gt;0),"–",""))</f>
        <v/>
      </c>
      <c r="AA12">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2">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2">
        <f>IF($BJ15&gt;0,IF(INDEX('Final Calculation Sheet'!$AB$4:$AB$40,$BJ15-3)="","",INDEX('Final Calculation Sheet'!$AB$4:$AB$40,$BJ15-3)),IF(OR($BI15=1,$BL15=1,$BH15&gt;0),"–",""))</f>
        <v/>
      </c>
      <c r="AD12">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2">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2">
        <f>IF($BJ15&gt;0,IF(INDEX('Final Calculation Sheet'!$AF$4:$AF$40,$BJ15-3)="","",INDEX('Final Calculation Sheet'!$AF$4:$AF$40,$BJ15-3)),IF(OR($BI15=1,$BL15=1,$BH15&gt;0),"–",""))</f>
        <v/>
      </c>
      <c r="AG12">
        <f>IF($BJ15&gt;0,IF(INDEX('Final Calculation Sheet'!$AG$4:$AG$40,$BJ15-3)="","",INDEX('Final Calculation Sheet'!$AG$4:$AG$40,$BJ15-3)),IF(OR($BI15=1,$BL15=1,$BH15&gt;0),"–",""))</f>
        <v/>
      </c>
      <c r="AH12">
        <f>IF($BJ15&gt;0,IF(INDEX('Final Calculation Sheet'!$AH$4:$AH$40,$BJ15-3)="","",INDEX('Final Calculation Sheet'!$AH$4:$AH$40,$BJ15-3)),IF(OR($BI15=1,$BL15=1,$BH15&gt;0),"–",""))</f>
        <v/>
      </c>
      <c r="AI12">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row>
    <row r="13">
      <c r="A13">
        <f>IF($BJ16&gt;0,INDEX($BA$5:$BA$41,MATCH(16,$BB$5:$BB$41,0)),IF(OR($BI16=1,$BL16=1,$BH16&gt;0),"∑",""))</f>
        <v/>
      </c>
      <c r="B13">
        <f>IF($BJ16&gt;0,IF(INDEX('Final Calculation Sheet'!$F$4:$F$40,$BJ16-3)="","",INDEX('Final Calculation Sheet'!$F$4:$F$40,$BJ16-3)),"")</f>
        <v/>
      </c>
      <c r="C13">
        <f>IF($BJ16&gt;0,IF(INDEX('Final Calculation Sheet'!$G$4:$G$40,$BJ16-3)="","",INDEX('Final Calculation Sheet'!$G$4:$G$40,$BJ16-3)),IF(OR($BI16=1,$BL16=1,$BH16&gt;0),IF($BI16=1,37,IF($BL16=1,37-INDEX($BD$4:$BD$13,10),INDEX($BD$4:$BD$13,$BH16)))&amp;" lot(s)",""))</f>
        <v/>
      </c>
      <c r="D13">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3">
        <f>IF($BJ16&gt;0,IF(INDEX('Final Calculation Sheet'!$D$4:$D$40,$BJ16-3)="","",INDEX('Final Calculation Sheet'!$D$4:$D$40,$BJ16-3)),IF(OR($BI16=1,$BL16=1,$BH16&gt;0),"–",""))</f>
        <v/>
      </c>
      <c r="F13">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3">
        <f>IF($BJ16&gt;0,IF(INDEX('Final Calculation Sheet'!$E$4:$E$40,$BJ16-3)="","",INDEX('Final Calculation Sheet'!$E$4:$E$40,$BJ16-3)),IF(OR($BI16=1,$BL16=1,$BH16&gt;0),"–",""))</f>
        <v/>
      </c>
      <c r="H13">
        <f>IF($BJ16&gt;0,IF(INDEX('Final Calculation Sheet'!$C$4:$C$40,$BJ16-3)="","",INDEX('Final Calculation Sheet'!$C$4:$C$40,$BJ16-3)),IF(OR($BI16=1,$BL16=1,$BH16&gt;0),"–",""))</f>
        <v/>
      </c>
      <c r="I13">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3">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3">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3">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3">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3">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3">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3">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3">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3">
        <f>IF($BJ16&gt;0,IF(INDEX('Final Calculation Sheet'!$Q$4:$Q$40,$BJ16-3)="","",INDEX('Final Calculation Sheet'!$Q$4:$Q$40,$BJ16-3)),IF(OR($BI16=1,$BL16=1,$BH16&gt;0),"–",""))</f>
        <v/>
      </c>
      <c r="S13">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3">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3">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3">
        <f>IF($BJ16&gt;0,IF(INDEX('Final Calculation Sheet'!$V$4:$V$40,$BJ16-3)="","",INDEX('Final Calculation Sheet'!$V$4:$V$40,$BJ16-3)),IF(OR($BI16=1,$BL16=1,$BH16&gt;0),"–",""))</f>
        <v/>
      </c>
      <c r="X13">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3">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3">
        <f>IF($BJ16&gt;0,IF(INDEX('Final Calculation Sheet'!$Y$4:$Y$40,$BJ16-3)="","",INDEX('Final Calculation Sheet'!$Y$4:$Y$40,$BJ16-3)),IF(OR($BI16=1,$BL16=1,$BH16&gt;0),"–",""))</f>
        <v/>
      </c>
      <c r="AA13">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3">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3">
        <f>IF($BJ16&gt;0,IF(INDEX('Final Calculation Sheet'!$AB$4:$AB$40,$BJ16-3)="","",INDEX('Final Calculation Sheet'!$AB$4:$AB$40,$BJ16-3)),IF(OR($BI16=1,$BL16=1,$BH16&gt;0),"–",""))</f>
        <v/>
      </c>
      <c r="AD13">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3">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3">
        <f>IF($BJ16&gt;0,IF(INDEX('Final Calculation Sheet'!$AF$4:$AF$40,$BJ16-3)="","",INDEX('Final Calculation Sheet'!$AF$4:$AF$40,$BJ16-3)),IF(OR($BI16=1,$BL16=1,$BH16&gt;0),"–",""))</f>
        <v/>
      </c>
      <c r="AG13">
        <f>IF($BJ16&gt;0,IF(INDEX('Final Calculation Sheet'!$AG$4:$AG$40,$BJ16-3)="","",INDEX('Final Calculation Sheet'!$AG$4:$AG$40,$BJ16-3)),IF(OR($BI16=1,$BL16=1,$BH16&gt;0),"–",""))</f>
        <v/>
      </c>
      <c r="AH13">
        <f>IF($BJ16&gt;0,IF(INDEX('Final Calculation Sheet'!$AH$4:$AH$40,$BJ16-3)="","",INDEX('Final Calculation Sheet'!$AH$4:$AH$40,$BJ16-3)),IF(OR($BI16=1,$BL16=1,$BH16&gt;0),"–",""))</f>
        <v/>
      </c>
      <c r="AI13">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row>
    <row r="14">
      <c r="A14">
        <f>IF($BJ17&gt;0,INDEX($BA$5:$BA$41,MATCH(17,$BB$5:$BB$41,0)),IF(OR($BI17=1,$BL17=1,$BH17&gt;0),"∑",""))</f>
        <v/>
      </c>
      <c r="B14">
        <f>IF($BJ17&gt;0,IF(INDEX('Final Calculation Sheet'!$F$4:$F$40,$BJ17-3)="","",INDEX('Final Calculation Sheet'!$F$4:$F$40,$BJ17-3)),"")</f>
        <v/>
      </c>
      <c r="C14">
        <f>IF($BJ17&gt;0,IF(INDEX('Final Calculation Sheet'!$G$4:$G$40,$BJ17-3)="","",INDEX('Final Calculation Sheet'!$G$4:$G$40,$BJ17-3)),IF(OR($BI17=1,$BL17=1,$BH17&gt;0),IF($BI17=1,37,IF($BL17=1,37-INDEX($BD$4:$BD$13,10),INDEX($BD$4:$BD$13,$BH17)))&amp;" lot(s)",""))</f>
        <v/>
      </c>
      <c r="D14">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4">
        <f>IF($BJ17&gt;0,IF(INDEX('Final Calculation Sheet'!$D$4:$D$40,$BJ17-3)="","",INDEX('Final Calculation Sheet'!$D$4:$D$40,$BJ17-3)),IF(OR($BI17=1,$BL17=1,$BH17&gt;0),"–",""))</f>
        <v/>
      </c>
      <c r="F14">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4">
        <f>IF($BJ17&gt;0,IF(INDEX('Final Calculation Sheet'!$E$4:$E$40,$BJ17-3)="","",INDEX('Final Calculation Sheet'!$E$4:$E$40,$BJ17-3)),IF(OR($BI17=1,$BL17=1,$BH17&gt;0),"–",""))</f>
        <v/>
      </c>
      <c r="H14">
        <f>IF($BJ17&gt;0,IF(INDEX('Final Calculation Sheet'!$C$4:$C$40,$BJ17-3)="","",INDEX('Final Calculation Sheet'!$C$4:$C$40,$BJ17-3)),IF(OR($BI17=1,$BL17=1,$BH17&gt;0),"–",""))</f>
        <v/>
      </c>
      <c r="I14">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4">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4">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4">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4">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4">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4">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4">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4">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4">
        <f>IF($BJ17&gt;0,IF(INDEX('Final Calculation Sheet'!$Q$4:$Q$40,$BJ17-3)="","",INDEX('Final Calculation Sheet'!$Q$4:$Q$40,$BJ17-3)),IF(OR($BI17=1,$BL17=1,$BH17&gt;0),"–",""))</f>
        <v/>
      </c>
      <c r="S14">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4">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4">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4">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4">
        <f>IF($BJ17&gt;0,IF(INDEX('Final Calculation Sheet'!$V$4:$V$40,$BJ17-3)="","",INDEX('Final Calculation Sheet'!$V$4:$V$40,$BJ17-3)),IF(OR($BI17=1,$BL17=1,$BH17&gt;0),"–",""))</f>
        <v/>
      </c>
      <c r="X14">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4">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4">
        <f>IF($BJ17&gt;0,IF(INDEX('Final Calculation Sheet'!$Y$4:$Y$40,$BJ17-3)="","",INDEX('Final Calculation Sheet'!$Y$4:$Y$40,$BJ17-3)),IF(OR($BI17=1,$BL17=1,$BH17&gt;0),"–",""))</f>
        <v/>
      </c>
      <c r="AA14">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4">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4">
        <f>IF($BJ17&gt;0,IF(INDEX('Final Calculation Sheet'!$AB$4:$AB$40,$BJ17-3)="","",INDEX('Final Calculation Sheet'!$AB$4:$AB$40,$BJ17-3)),IF(OR($BI17=1,$BL17=1,$BH17&gt;0),"–",""))</f>
        <v/>
      </c>
      <c r="AD14">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4">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4">
        <f>IF($BJ17&gt;0,IF(INDEX('Final Calculation Sheet'!$AF$4:$AF$40,$BJ17-3)="","",INDEX('Final Calculation Sheet'!$AF$4:$AF$40,$BJ17-3)),IF(OR($BI17=1,$BL17=1,$BH17&gt;0),"–",""))</f>
        <v/>
      </c>
      <c r="AG14">
        <f>IF($BJ17&gt;0,IF(INDEX('Final Calculation Sheet'!$AG$4:$AG$40,$BJ17-3)="","",INDEX('Final Calculation Sheet'!$AG$4:$AG$40,$BJ17-3)),IF(OR($BI17=1,$BL17=1,$BH17&gt;0),"–",""))</f>
        <v/>
      </c>
      <c r="AH14">
        <f>IF($BJ17&gt;0,IF(INDEX('Final Calculation Sheet'!$AH$4:$AH$40,$BJ17-3)="","",INDEX('Final Calculation Sheet'!$AH$4:$AH$40,$BJ17-3)),IF(OR($BI17=1,$BL17=1,$BH17&gt;0),"–",""))</f>
        <v/>
      </c>
      <c r="AI14">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row>
    <row r="15">
      <c r="A15">
        <f>IF($BJ18&gt;0,INDEX($BA$5:$BA$41,MATCH(18,$BB$5:$BB$41,0)),IF(OR($BI18=1,$BL18=1,$BH18&gt;0),"∑",""))</f>
        <v/>
      </c>
      <c r="B15">
        <f>IF($BJ18&gt;0,IF(INDEX('Final Calculation Sheet'!$F$4:$F$40,$BJ18-3)="","",INDEX('Final Calculation Sheet'!$F$4:$F$40,$BJ18-3)),"")</f>
        <v/>
      </c>
      <c r="C15">
        <f>IF($BJ18&gt;0,IF(INDEX('Final Calculation Sheet'!$G$4:$G$40,$BJ18-3)="","",INDEX('Final Calculation Sheet'!$G$4:$G$40,$BJ18-3)),IF(OR($BI18=1,$BL18=1,$BH18&gt;0),IF($BI18=1,37,IF($BL18=1,37-INDEX($BD$4:$BD$13,10),INDEX($BD$4:$BD$13,$BH18)))&amp;" lot(s)",""))</f>
        <v/>
      </c>
      <c r="D15">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5">
        <f>IF($BJ18&gt;0,IF(INDEX('Final Calculation Sheet'!$D$4:$D$40,$BJ18-3)="","",INDEX('Final Calculation Sheet'!$D$4:$D$40,$BJ18-3)),IF(OR($BI18=1,$BL18=1,$BH18&gt;0),"–",""))</f>
        <v/>
      </c>
      <c r="F15">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5">
        <f>IF($BJ18&gt;0,IF(INDEX('Final Calculation Sheet'!$E$4:$E$40,$BJ18-3)="","",INDEX('Final Calculation Sheet'!$E$4:$E$40,$BJ18-3)),IF(OR($BI18=1,$BL18=1,$BH18&gt;0),"–",""))</f>
        <v/>
      </c>
      <c r="H15">
        <f>IF($BJ18&gt;0,IF(INDEX('Final Calculation Sheet'!$C$4:$C$40,$BJ18-3)="","",INDEX('Final Calculation Sheet'!$C$4:$C$40,$BJ18-3)),IF(OR($BI18=1,$BL18=1,$BH18&gt;0),"–",""))</f>
        <v/>
      </c>
      <c r="I15">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5">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5">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5">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5">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5">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5">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5">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5">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5">
        <f>IF($BJ18&gt;0,IF(INDEX('Final Calculation Sheet'!$Q$4:$Q$40,$BJ18-3)="","",INDEX('Final Calculation Sheet'!$Q$4:$Q$40,$BJ18-3)),IF(OR($BI18=1,$BL18=1,$BH18&gt;0),"–",""))</f>
        <v/>
      </c>
      <c r="S15">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5">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5">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5">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5">
        <f>IF($BJ18&gt;0,IF(INDEX('Final Calculation Sheet'!$V$4:$V$40,$BJ18-3)="","",INDEX('Final Calculation Sheet'!$V$4:$V$40,$BJ18-3)),IF(OR($BI18=1,$BL18=1,$BH18&gt;0),"–",""))</f>
        <v/>
      </c>
      <c r="X15">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5">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5">
        <f>IF($BJ18&gt;0,IF(INDEX('Final Calculation Sheet'!$Y$4:$Y$40,$BJ18-3)="","",INDEX('Final Calculation Sheet'!$Y$4:$Y$40,$BJ18-3)),IF(OR($BI18=1,$BL18=1,$BH18&gt;0),"–",""))</f>
        <v/>
      </c>
      <c r="AA15">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5">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5">
        <f>IF($BJ18&gt;0,IF(INDEX('Final Calculation Sheet'!$AB$4:$AB$40,$BJ18-3)="","",INDEX('Final Calculation Sheet'!$AB$4:$AB$40,$BJ18-3)),IF(OR($BI18=1,$BL18=1,$BH18&gt;0),"–",""))</f>
        <v/>
      </c>
      <c r="AD15">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5">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5">
        <f>IF($BJ18&gt;0,IF(INDEX('Final Calculation Sheet'!$AF$4:$AF$40,$BJ18-3)="","",INDEX('Final Calculation Sheet'!$AF$4:$AF$40,$BJ18-3)),IF(OR($BI18=1,$BL18=1,$BH18&gt;0),"–",""))</f>
        <v/>
      </c>
      <c r="AG15">
        <f>IF($BJ18&gt;0,IF(INDEX('Final Calculation Sheet'!$AG$4:$AG$40,$BJ18-3)="","",INDEX('Final Calculation Sheet'!$AG$4:$AG$40,$BJ18-3)),IF(OR($BI18=1,$BL18=1,$BH18&gt;0),"–",""))</f>
        <v/>
      </c>
      <c r="AH15">
        <f>IF($BJ18&gt;0,IF(INDEX('Final Calculation Sheet'!$AH$4:$AH$40,$BJ18-3)="","",INDEX('Final Calculation Sheet'!$AH$4:$AH$40,$BJ18-3)),IF(OR($BI18=1,$BL18=1,$BH18&gt;0),"–",""))</f>
        <v/>
      </c>
      <c r="AI1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row>
    <row r="16">
      <c r="A16">
        <f>IF($BJ19&gt;0,INDEX($BA$5:$BA$41,MATCH(19,$BB$5:$BB$41,0)),IF(OR($BI19=1,$BL19=1,$BH19&gt;0),"∑",""))</f>
        <v/>
      </c>
      <c r="B16">
        <f>IF($BJ19&gt;0,IF(INDEX('Final Calculation Sheet'!$F$4:$F$40,$BJ19-3)="","",INDEX('Final Calculation Sheet'!$F$4:$F$40,$BJ19-3)),"")</f>
        <v/>
      </c>
      <c r="C16">
        <f>IF($BJ19&gt;0,IF(INDEX('Final Calculation Sheet'!$G$4:$G$40,$BJ19-3)="","",INDEX('Final Calculation Sheet'!$G$4:$G$40,$BJ19-3)),IF(OR($BI19=1,$BL19=1,$BH19&gt;0),IF($BI19=1,37,IF($BL19=1,37-INDEX($BD$4:$BD$13,10),INDEX($BD$4:$BD$13,$BH19)))&amp;" lot(s)",""))</f>
        <v/>
      </c>
      <c r="D16">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16">
        <f>IF($BJ19&gt;0,IF(INDEX('Final Calculation Sheet'!$D$4:$D$40,$BJ19-3)="","",INDEX('Final Calculation Sheet'!$D$4:$D$40,$BJ19-3)),IF(OR($BI19=1,$BL19=1,$BH19&gt;0),"–",""))</f>
        <v/>
      </c>
      <c r="F16">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16">
        <f>IF($BJ19&gt;0,IF(INDEX('Final Calculation Sheet'!$E$4:$E$40,$BJ19-3)="","",INDEX('Final Calculation Sheet'!$E$4:$E$40,$BJ19-3)),IF(OR($BI19=1,$BL19=1,$BH19&gt;0),"–",""))</f>
        <v/>
      </c>
      <c r="H16">
        <f>IF($BJ19&gt;0,IF(INDEX('Final Calculation Sheet'!$C$4:$C$40,$BJ19-3)="","",INDEX('Final Calculation Sheet'!$C$4:$C$40,$BJ19-3)),IF(OR($BI19=1,$BL19=1,$BH19&gt;0),"–",""))</f>
        <v/>
      </c>
      <c r="I16">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16">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16">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16">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16">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16">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16">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16">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16">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16">
        <f>IF($BJ19&gt;0,IF(INDEX('Final Calculation Sheet'!$Q$4:$Q$40,$BJ19-3)="","",INDEX('Final Calculation Sheet'!$Q$4:$Q$40,$BJ19-3)),IF(OR($BI19=1,$BL19=1,$BH19&gt;0),"–",""))</f>
        <v/>
      </c>
      <c r="S16">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16">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16">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16">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16">
        <f>IF($BJ19&gt;0,IF(INDEX('Final Calculation Sheet'!$V$4:$V$40,$BJ19-3)="","",INDEX('Final Calculation Sheet'!$V$4:$V$40,$BJ19-3)),IF(OR($BI19=1,$BL19=1,$BH19&gt;0),"–",""))</f>
        <v/>
      </c>
      <c r="X16">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16">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16">
        <f>IF($BJ19&gt;0,IF(INDEX('Final Calculation Sheet'!$Y$4:$Y$40,$BJ19-3)="","",INDEX('Final Calculation Sheet'!$Y$4:$Y$40,$BJ19-3)),IF(OR($BI19=1,$BL19=1,$BH19&gt;0),"–",""))</f>
        <v/>
      </c>
      <c r="AA16">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16">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16">
        <f>IF($BJ19&gt;0,IF(INDEX('Final Calculation Sheet'!$AB$4:$AB$40,$BJ19-3)="","",INDEX('Final Calculation Sheet'!$AB$4:$AB$40,$BJ19-3)),IF(OR($BI19=1,$BL19=1,$BH19&gt;0),"–",""))</f>
        <v/>
      </c>
      <c r="AD16">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16">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16">
        <f>IF($BJ19&gt;0,IF(INDEX('Final Calculation Sheet'!$AF$4:$AF$40,$BJ19-3)="","",INDEX('Final Calculation Sheet'!$AF$4:$AF$40,$BJ19-3)),IF(OR($BI19=1,$BL19=1,$BH19&gt;0),"–",""))</f>
        <v/>
      </c>
      <c r="AG16">
        <f>IF($BJ19&gt;0,IF(INDEX('Final Calculation Sheet'!$AG$4:$AG$40,$BJ19-3)="","",INDEX('Final Calculation Sheet'!$AG$4:$AG$40,$BJ19-3)),IF(OR($BI19=1,$BL19=1,$BH19&gt;0),"–",""))</f>
        <v/>
      </c>
      <c r="AH16">
        <f>IF($BJ19&gt;0,IF(INDEX('Final Calculation Sheet'!$AH$4:$AH$40,$BJ19-3)="","",INDEX('Final Calculation Sheet'!$AH$4:$AH$40,$BJ19-3)),IF(OR($BI19=1,$BL19=1,$BH19&gt;0),"–",""))</f>
        <v/>
      </c>
      <c r="AI16">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row>
    <row r="17">
      <c r="A17">
        <f>IF($BJ20&gt;0,INDEX($BA$5:$BA$41,MATCH(20,$BB$5:$BB$41,0)),IF(OR($BI20=1,$BL20=1,$BH20&gt;0),"∑",""))</f>
        <v/>
      </c>
      <c r="B17">
        <f>IF($BJ20&gt;0,IF(INDEX('Final Calculation Sheet'!$F$4:$F$40,$BJ20-3)="","",INDEX('Final Calculation Sheet'!$F$4:$F$40,$BJ20-3)),"")</f>
        <v/>
      </c>
      <c r="C17">
        <f>IF($BJ20&gt;0,IF(INDEX('Final Calculation Sheet'!$G$4:$G$40,$BJ20-3)="","",INDEX('Final Calculation Sheet'!$G$4:$G$40,$BJ20-3)),IF(OR($BI20=1,$BL20=1,$BH20&gt;0),IF($BI20=1,37,IF($BL20=1,37-INDEX($BD$4:$BD$13,10),INDEX($BD$4:$BD$13,$BH20)))&amp;" lot(s)",""))</f>
        <v/>
      </c>
      <c r="D17">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17">
        <f>IF($BJ20&gt;0,IF(INDEX('Final Calculation Sheet'!$D$4:$D$40,$BJ20-3)="","",INDEX('Final Calculation Sheet'!$D$4:$D$40,$BJ20-3)),IF(OR($BI20=1,$BL20=1,$BH20&gt;0),"–",""))</f>
        <v/>
      </c>
      <c r="F17">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17">
        <f>IF($BJ20&gt;0,IF(INDEX('Final Calculation Sheet'!$E$4:$E$40,$BJ20-3)="","",INDEX('Final Calculation Sheet'!$E$4:$E$40,$BJ20-3)),IF(OR($BI20=1,$BL20=1,$BH20&gt;0),"–",""))</f>
        <v/>
      </c>
      <c r="H17">
        <f>IF($BJ20&gt;0,IF(INDEX('Final Calculation Sheet'!$C$4:$C$40,$BJ20-3)="","",INDEX('Final Calculation Sheet'!$C$4:$C$40,$BJ20-3)),IF(OR($BI20=1,$BL20=1,$BH20&gt;0),"–",""))</f>
        <v/>
      </c>
      <c r="I17">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17">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17">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17">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17">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17">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17">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17">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17">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17">
        <f>IF($BJ20&gt;0,IF(INDEX('Final Calculation Sheet'!$Q$4:$Q$40,$BJ20-3)="","",INDEX('Final Calculation Sheet'!$Q$4:$Q$40,$BJ20-3)),IF(OR($BI20=1,$BL20=1,$BH20&gt;0),"–",""))</f>
        <v/>
      </c>
      <c r="S17">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17">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17">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17">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17">
        <f>IF($BJ20&gt;0,IF(INDEX('Final Calculation Sheet'!$V$4:$V$40,$BJ20-3)="","",INDEX('Final Calculation Sheet'!$V$4:$V$40,$BJ20-3)),IF(OR($BI20=1,$BL20=1,$BH20&gt;0),"–",""))</f>
        <v/>
      </c>
      <c r="X17">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17">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17">
        <f>IF($BJ20&gt;0,IF(INDEX('Final Calculation Sheet'!$Y$4:$Y$40,$BJ20-3)="","",INDEX('Final Calculation Sheet'!$Y$4:$Y$40,$BJ20-3)),IF(OR($BI20=1,$BL20=1,$BH20&gt;0),"–",""))</f>
        <v/>
      </c>
      <c r="AA17">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17">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17">
        <f>IF($BJ20&gt;0,IF(INDEX('Final Calculation Sheet'!$AB$4:$AB$40,$BJ20-3)="","",INDEX('Final Calculation Sheet'!$AB$4:$AB$40,$BJ20-3)),IF(OR($BI20=1,$BL20=1,$BH20&gt;0),"–",""))</f>
        <v/>
      </c>
      <c r="AD17">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17">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17">
        <f>IF($BJ20&gt;0,IF(INDEX('Final Calculation Sheet'!$AF$4:$AF$40,$BJ20-3)="","",INDEX('Final Calculation Sheet'!$AF$4:$AF$40,$BJ20-3)),IF(OR($BI20=1,$BL20=1,$BH20&gt;0),"–",""))</f>
        <v/>
      </c>
      <c r="AG17">
        <f>IF($BJ20&gt;0,IF(INDEX('Final Calculation Sheet'!$AG$4:$AG$40,$BJ20-3)="","",INDEX('Final Calculation Sheet'!$AG$4:$AG$40,$BJ20-3)),IF(OR($BI20=1,$BL20=1,$BH20&gt;0),"–",""))</f>
        <v/>
      </c>
      <c r="AH17">
        <f>IF($BJ20&gt;0,IF(INDEX('Final Calculation Sheet'!$AH$4:$AH$40,$BJ20-3)="","",INDEX('Final Calculation Sheet'!$AH$4:$AH$40,$BJ20-3)),IF(OR($BI20=1,$BL20=1,$BH20&gt;0),"–",""))</f>
        <v/>
      </c>
      <c r="AI17">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row>
    <row r="18">
      <c r="A18">
        <f>IF($BJ21&gt;0,INDEX($BA$5:$BA$41,MATCH(21,$BB$5:$BB$41,0)),IF(OR($BI21=1,$BL21=1,$BH21&gt;0),"∑",""))</f>
        <v/>
      </c>
      <c r="B18">
        <f>IF($BJ21&gt;0,IF(INDEX('Final Calculation Sheet'!$F$4:$F$40,$BJ21-3)="","",INDEX('Final Calculation Sheet'!$F$4:$F$40,$BJ21-3)),"")</f>
        <v/>
      </c>
      <c r="C18">
        <f>IF($BJ21&gt;0,IF(INDEX('Final Calculation Sheet'!$G$4:$G$40,$BJ21-3)="","",INDEX('Final Calculation Sheet'!$G$4:$G$40,$BJ21-3)),IF(OR($BI21=1,$BL21=1,$BH21&gt;0),IF($BI21=1,37,IF($BL21=1,37-INDEX($BD$4:$BD$13,10),INDEX($BD$4:$BD$13,$BH21)))&amp;" lot(s)",""))</f>
        <v/>
      </c>
      <c r="D18">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18">
        <f>IF($BJ21&gt;0,IF(INDEX('Final Calculation Sheet'!$D$4:$D$40,$BJ21-3)="","",INDEX('Final Calculation Sheet'!$D$4:$D$40,$BJ21-3)),IF(OR($BI21=1,$BL21=1,$BH21&gt;0),"–",""))</f>
        <v/>
      </c>
      <c r="F18">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18">
        <f>IF($BJ21&gt;0,IF(INDEX('Final Calculation Sheet'!$E$4:$E$40,$BJ21-3)="","",INDEX('Final Calculation Sheet'!$E$4:$E$40,$BJ21-3)),IF(OR($BI21=1,$BL21=1,$BH21&gt;0),"–",""))</f>
        <v/>
      </c>
      <c r="H18">
        <f>IF($BJ21&gt;0,IF(INDEX('Final Calculation Sheet'!$C$4:$C$40,$BJ21-3)="","",INDEX('Final Calculation Sheet'!$C$4:$C$40,$BJ21-3)),IF(OR($BI21=1,$BL21=1,$BH21&gt;0),"–",""))</f>
        <v/>
      </c>
      <c r="I18">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18">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18">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18">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18">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18">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18">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18">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18">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18">
        <f>IF($BJ21&gt;0,IF(INDEX('Final Calculation Sheet'!$Q$4:$Q$40,$BJ21-3)="","",INDEX('Final Calculation Sheet'!$Q$4:$Q$40,$BJ21-3)),IF(OR($BI21=1,$BL21=1,$BH21&gt;0),"–",""))</f>
        <v/>
      </c>
      <c r="S18">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18">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18">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18">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18">
        <f>IF($BJ21&gt;0,IF(INDEX('Final Calculation Sheet'!$V$4:$V$40,$BJ21-3)="","",INDEX('Final Calculation Sheet'!$V$4:$V$40,$BJ21-3)),IF(OR($BI21=1,$BL21=1,$BH21&gt;0),"–",""))</f>
        <v/>
      </c>
      <c r="X18">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18">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18">
        <f>IF($BJ21&gt;0,IF(INDEX('Final Calculation Sheet'!$Y$4:$Y$40,$BJ21-3)="","",INDEX('Final Calculation Sheet'!$Y$4:$Y$40,$BJ21-3)),IF(OR($BI21=1,$BL21=1,$BH21&gt;0),"–",""))</f>
        <v/>
      </c>
      <c r="AA18">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18">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18">
        <f>IF($BJ21&gt;0,IF(INDEX('Final Calculation Sheet'!$AB$4:$AB$40,$BJ21-3)="","",INDEX('Final Calculation Sheet'!$AB$4:$AB$40,$BJ21-3)),IF(OR($BI21=1,$BL21=1,$BH21&gt;0),"–",""))</f>
        <v/>
      </c>
      <c r="AD18">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18">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18">
        <f>IF($BJ21&gt;0,IF(INDEX('Final Calculation Sheet'!$AF$4:$AF$40,$BJ21-3)="","",INDEX('Final Calculation Sheet'!$AF$4:$AF$40,$BJ21-3)),IF(OR($BI21=1,$BL21=1,$BH21&gt;0),"–",""))</f>
        <v/>
      </c>
      <c r="AG18">
        <f>IF($BJ21&gt;0,IF(INDEX('Final Calculation Sheet'!$AG$4:$AG$40,$BJ21-3)="","",INDEX('Final Calculation Sheet'!$AG$4:$AG$40,$BJ21-3)),IF(OR($BI21=1,$BL21=1,$BH21&gt;0),"–",""))</f>
        <v/>
      </c>
      <c r="AH18">
        <f>IF($BJ21&gt;0,IF(INDEX('Final Calculation Sheet'!$AH$4:$AH$40,$BJ21-3)="","",INDEX('Final Calculation Sheet'!$AH$4:$AH$40,$BJ21-3)),IF(OR($BI21=1,$BL21=1,$BH21&gt;0),"–",""))</f>
        <v/>
      </c>
      <c r="AI18">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row>
    <row r="19">
      <c r="A19">
        <f>IF($BJ22&gt;0,INDEX($BA$5:$BA$41,MATCH(22,$BB$5:$BB$41,0)),IF(OR($BI22=1,$BL22=1,$BH22&gt;0),"∑",""))</f>
        <v/>
      </c>
      <c r="B19">
        <f>IF($BJ22&gt;0,IF(INDEX('Final Calculation Sheet'!$F$4:$F$40,$BJ22-3)="","",INDEX('Final Calculation Sheet'!$F$4:$F$40,$BJ22-3)),"")</f>
        <v/>
      </c>
      <c r="C19">
        <f>IF($BJ22&gt;0,IF(INDEX('Final Calculation Sheet'!$G$4:$G$40,$BJ22-3)="","",INDEX('Final Calculation Sheet'!$G$4:$G$40,$BJ22-3)),IF(OR($BI22=1,$BL22=1,$BH22&gt;0),IF($BI22=1,37,IF($BL22=1,37-INDEX($BD$4:$BD$13,10),INDEX($BD$4:$BD$13,$BH22)))&amp;" lot(s)",""))</f>
        <v/>
      </c>
      <c r="D1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19">
        <f>IF($BJ22&gt;0,IF(INDEX('Final Calculation Sheet'!$D$4:$D$40,$BJ22-3)="","",INDEX('Final Calculation Sheet'!$D$4:$D$40,$BJ22-3)),IF(OR($BI22=1,$BL22=1,$BH22&gt;0),"–",""))</f>
        <v/>
      </c>
      <c r="F1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19">
        <f>IF($BJ22&gt;0,IF(INDEX('Final Calculation Sheet'!$E$4:$E$40,$BJ22-3)="","",INDEX('Final Calculation Sheet'!$E$4:$E$40,$BJ22-3)),IF(OR($BI22=1,$BL22=1,$BH22&gt;0),"–",""))</f>
        <v/>
      </c>
      <c r="H19">
        <f>IF($BJ22&gt;0,IF(INDEX('Final Calculation Sheet'!$C$4:$C$40,$BJ22-3)="","",INDEX('Final Calculation Sheet'!$C$4:$C$40,$BJ22-3)),IF(OR($BI22=1,$BL22=1,$BH22&gt;0),"–",""))</f>
        <v/>
      </c>
      <c r="I19">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19">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19">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19">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19">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19">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19">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19">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19">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19">
        <f>IF($BJ22&gt;0,IF(INDEX('Final Calculation Sheet'!$Q$4:$Q$40,$BJ22-3)="","",INDEX('Final Calculation Sheet'!$Q$4:$Q$40,$BJ22-3)),IF(OR($BI22=1,$BL22=1,$BH22&gt;0),"–",""))</f>
        <v/>
      </c>
      <c r="S19">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19">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19">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19">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19">
        <f>IF($BJ22&gt;0,IF(INDEX('Final Calculation Sheet'!$V$4:$V$40,$BJ22-3)="","",INDEX('Final Calculation Sheet'!$V$4:$V$40,$BJ22-3)),IF(OR($BI22=1,$BL22=1,$BH22&gt;0),"–",""))</f>
        <v/>
      </c>
      <c r="X19">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19">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19">
        <f>IF($BJ22&gt;0,IF(INDEX('Final Calculation Sheet'!$Y$4:$Y$40,$BJ22-3)="","",INDEX('Final Calculation Sheet'!$Y$4:$Y$40,$BJ22-3)),IF(OR($BI22=1,$BL22=1,$BH22&gt;0),"–",""))</f>
        <v/>
      </c>
      <c r="AA19">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19">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19">
        <f>IF($BJ22&gt;0,IF(INDEX('Final Calculation Sheet'!$AB$4:$AB$40,$BJ22-3)="","",INDEX('Final Calculation Sheet'!$AB$4:$AB$40,$BJ22-3)),IF(OR($BI22=1,$BL22=1,$BH22&gt;0),"–",""))</f>
        <v/>
      </c>
      <c r="AD19">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19">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19">
        <f>IF($BJ22&gt;0,IF(INDEX('Final Calculation Sheet'!$AF$4:$AF$40,$BJ22-3)="","",INDEX('Final Calculation Sheet'!$AF$4:$AF$40,$BJ22-3)),IF(OR($BI22=1,$BL22=1,$BH22&gt;0),"–",""))</f>
        <v/>
      </c>
      <c r="AG19">
        <f>IF($BJ22&gt;0,IF(INDEX('Final Calculation Sheet'!$AG$4:$AG$40,$BJ22-3)="","",INDEX('Final Calculation Sheet'!$AG$4:$AG$40,$BJ22-3)),IF(OR($BI22=1,$BL22=1,$BH22&gt;0),"–",""))</f>
        <v/>
      </c>
      <c r="AH19">
        <f>IF($BJ22&gt;0,IF(INDEX('Final Calculation Sheet'!$AH$4:$AH$40,$BJ22-3)="","",INDEX('Final Calculation Sheet'!$AH$4:$AH$40,$BJ22-3)),IF(OR($BI22=1,$BL22=1,$BH22&gt;0),"–",""))</f>
        <v/>
      </c>
      <c r="AI19">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row>
    <row r="20">
      <c r="A20">
        <f>IF($BJ23&gt;0,INDEX($BA$5:$BA$41,MATCH(23,$BB$5:$BB$41,0)),IF(OR($BI23=1,$BL23=1,$BH23&gt;0),"∑",""))</f>
        <v/>
      </c>
      <c r="B20">
        <f>IF($BJ23&gt;0,IF(INDEX('Final Calculation Sheet'!$F$4:$F$40,$BJ23-3)="","",INDEX('Final Calculation Sheet'!$F$4:$F$40,$BJ23-3)),"")</f>
        <v/>
      </c>
      <c r="C20">
        <f>IF($BJ23&gt;0,IF(INDEX('Final Calculation Sheet'!$G$4:$G$40,$BJ23-3)="","",INDEX('Final Calculation Sheet'!$G$4:$G$40,$BJ23-3)),IF(OR($BI23=1,$BL23=1,$BH23&gt;0),IF($BI23=1,37,IF($BL23=1,37-INDEX($BD$4:$BD$13,10),INDEX($BD$4:$BD$13,$BH23)))&amp;" lot(s)",""))</f>
        <v/>
      </c>
      <c r="D20">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0">
        <f>IF($BJ23&gt;0,IF(INDEX('Final Calculation Sheet'!$D$4:$D$40,$BJ23-3)="","",INDEX('Final Calculation Sheet'!$D$4:$D$40,$BJ23-3)),IF(OR($BI23=1,$BL23=1,$BH23&gt;0),"–",""))</f>
        <v/>
      </c>
      <c r="F20">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0">
        <f>IF($BJ23&gt;0,IF(INDEX('Final Calculation Sheet'!$E$4:$E$40,$BJ23-3)="","",INDEX('Final Calculation Sheet'!$E$4:$E$40,$BJ23-3)),IF(OR($BI23=1,$BL23=1,$BH23&gt;0),"–",""))</f>
        <v/>
      </c>
      <c r="H20">
        <f>IF($BJ23&gt;0,IF(INDEX('Final Calculation Sheet'!$C$4:$C$40,$BJ23-3)="","",INDEX('Final Calculation Sheet'!$C$4:$C$40,$BJ23-3)),IF(OR($BI23=1,$BL23=1,$BH23&gt;0),"–",""))</f>
        <v/>
      </c>
      <c r="I2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0">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0">
        <f>IF($BJ23&gt;0,IF(INDEX('Final Calculation Sheet'!$Q$4:$Q$40,$BJ23-3)="","",INDEX('Final Calculation Sheet'!$Q$4:$Q$40,$BJ23-3)),IF(OR($BI23=1,$BL23=1,$BH23&gt;0),"–",""))</f>
        <v/>
      </c>
      <c r="S2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0">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0">
        <f>IF($BJ23&gt;0,IF(INDEX('Final Calculation Sheet'!$V$4:$V$40,$BJ23-3)="","",INDEX('Final Calculation Sheet'!$V$4:$V$40,$BJ23-3)),IF(OR($BI23=1,$BL23=1,$BH23&gt;0),"–",""))</f>
        <v/>
      </c>
      <c r="X2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0">
        <f>IF($BJ23&gt;0,IF(INDEX('Final Calculation Sheet'!$Y$4:$Y$40,$BJ23-3)="","",INDEX('Final Calculation Sheet'!$Y$4:$Y$40,$BJ23-3)),IF(OR($BI23=1,$BL23=1,$BH23&gt;0),"–",""))</f>
        <v/>
      </c>
      <c r="AA2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0">
        <f>IF($BJ23&gt;0,IF(INDEX('Final Calculation Sheet'!$AB$4:$AB$40,$BJ23-3)="","",INDEX('Final Calculation Sheet'!$AB$4:$AB$40,$BJ23-3)),IF(OR($BI23=1,$BL23=1,$BH23&gt;0),"–",""))</f>
        <v/>
      </c>
      <c r="AD2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0">
        <f>IF($BJ23&gt;0,IF(INDEX('Final Calculation Sheet'!$AF$4:$AF$40,$BJ23-3)="","",INDEX('Final Calculation Sheet'!$AF$4:$AF$40,$BJ23-3)),IF(OR($BI23=1,$BL23=1,$BH23&gt;0),"–",""))</f>
        <v/>
      </c>
      <c r="AG20">
        <f>IF($BJ23&gt;0,IF(INDEX('Final Calculation Sheet'!$AG$4:$AG$40,$BJ23-3)="","",INDEX('Final Calculation Sheet'!$AG$4:$AG$40,$BJ23-3)),IF(OR($BI23=1,$BL23=1,$BH23&gt;0),"–",""))</f>
        <v/>
      </c>
      <c r="AH20">
        <f>IF($BJ23&gt;0,IF(INDEX('Final Calculation Sheet'!$AH$4:$AH$40,$BJ23-3)="","",INDEX('Final Calculation Sheet'!$AH$4:$AH$40,$BJ23-3)),IF(OR($BI23=1,$BL23=1,$BH23&gt;0),"–",""))</f>
        <v/>
      </c>
      <c r="AI20">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row>
    <row r="21">
      <c r="A21">
        <f>IF($BJ24&gt;0,INDEX($BA$5:$BA$41,MATCH(24,$BB$5:$BB$41,0)),IF(OR($BI24=1,$BL24=1,$BH24&gt;0),"∑",""))</f>
        <v/>
      </c>
      <c r="B21">
        <f>IF($BJ24&gt;0,IF(INDEX('Final Calculation Sheet'!$F$4:$F$40,$BJ24-3)="","",INDEX('Final Calculation Sheet'!$F$4:$F$40,$BJ24-3)),"")</f>
        <v/>
      </c>
      <c r="C21">
        <f>IF($BJ24&gt;0,IF(INDEX('Final Calculation Sheet'!$G$4:$G$40,$BJ24-3)="","",INDEX('Final Calculation Sheet'!$G$4:$G$40,$BJ24-3)),IF(OR($BI24=1,$BL24=1,$BH24&gt;0),IF($BI24=1,37,IF($BL24=1,37-INDEX($BD$4:$BD$13,10),INDEX($BD$4:$BD$13,$BH24)))&amp;" lot(s)",""))</f>
        <v/>
      </c>
      <c r="D21">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1">
        <f>IF($BJ24&gt;0,IF(INDEX('Final Calculation Sheet'!$D$4:$D$40,$BJ24-3)="","",INDEX('Final Calculation Sheet'!$D$4:$D$40,$BJ24-3)),IF(OR($BI24=1,$BL24=1,$BH24&gt;0),"–",""))</f>
        <v/>
      </c>
      <c r="F21">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1">
        <f>IF($BJ24&gt;0,IF(INDEX('Final Calculation Sheet'!$E$4:$E$40,$BJ24-3)="","",INDEX('Final Calculation Sheet'!$E$4:$E$40,$BJ24-3)),IF(OR($BI24=1,$BL24=1,$BH24&gt;0),"–",""))</f>
        <v/>
      </c>
      <c r="H21">
        <f>IF($BJ24&gt;0,IF(INDEX('Final Calculation Sheet'!$C$4:$C$40,$BJ24-3)="","",INDEX('Final Calculation Sheet'!$C$4:$C$40,$BJ24-3)),IF(OR($BI24=1,$BL24=1,$BH24&gt;0),"–",""))</f>
        <v/>
      </c>
      <c r="I21">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1">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1">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1">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1">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1">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1">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1">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1">
        <f>IF($BJ24&gt;0,IF(INDEX('Final Calculation Sheet'!$Q$4:$Q$40,$BJ24-3)="","",INDEX('Final Calculation Sheet'!$Q$4:$Q$40,$BJ24-3)),IF(OR($BI24=1,$BL24=1,$BH24&gt;0),"–",""))</f>
        <v/>
      </c>
      <c r="S21">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1">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1">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1">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1">
        <f>IF($BJ24&gt;0,IF(INDEX('Final Calculation Sheet'!$V$4:$V$40,$BJ24-3)="","",INDEX('Final Calculation Sheet'!$V$4:$V$40,$BJ24-3)),IF(OR($BI24=1,$BL24=1,$BH24&gt;0),"–",""))</f>
        <v/>
      </c>
      <c r="X21">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1">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1">
        <f>IF($BJ24&gt;0,IF(INDEX('Final Calculation Sheet'!$Y$4:$Y$40,$BJ24-3)="","",INDEX('Final Calculation Sheet'!$Y$4:$Y$40,$BJ24-3)),IF(OR($BI24=1,$BL24=1,$BH24&gt;0),"–",""))</f>
        <v/>
      </c>
      <c r="AA21">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1">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1">
        <f>IF($BJ24&gt;0,IF(INDEX('Final Calculation Sheet'!$AB$4:$AB$40,$BJ24-3)="","",INDEX('Final Calculation Sheet'!$AB$4:$AB$40,$BJ24-3)),IF(OR($BI24=1,$BL24=1,$BH24&gt;0),"–",""))</f>
        <v/>
      </c>
      <c r="AD21">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1">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1">
        <f>IF($BJ24&gt;0,IF(INDEX('Final Calculation Sheet'!$AF$4:$AF$40,$BJ24-3)="","",INDEX('Final Calculation Sheet'!$AF$4:$AF$40,$BJ24-3)),IF(OR($BI24=1,$BL24=1,$BH24&gt;0),"–",""))</f>
        <v/>
      </c>
      <c r="AG21">
        <f>IF($BJ24&gt;0,IF(INDEX('Final Calculation Sheet'!$AG$4:$AG$40,$BJ24-3)="","",INDEX('Final Calculation Sheet'!$AG$4:$AG$40,$BJ24-3)),IF(OR($BI24=1,$BL24=1,$BH24&gt;0),"–",""))</f>
        <v/>
      </c>
      <c r="AH21">
        <f>IF($BJ24&gt;0,IF(INDEX('Final Calculation Sheet'!$AH$4:$AH$40,$BJ24-3)="","",INDEX('Final Calculation Sheet'!$AH$4:$AH$40,$BJ24-3)),IF(OR($BI24=1,$BL24=1,$BH24&gt;0),"–",""))</f>
        <v/>
      </c>
      <c r="AI21">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row>
    <row r="22">
      <c r="A22">
        <f>IF($BJ25&gt;0,INDEX($BA$5:$BA$41,MATCH(25,$BB$5:$BB$41,0)),IF(OR($BI25=1,$BL25=1,$BH25&gt;0),"∑",""))</f>
        <v/>
      </c>
      <c r="B22">
        <f>IF($BJ25&gt;0,IF(INDEX('Final Calculation Sheet'!$F$4:$F$40,$BJ25-3)="","",INDEX('Final Calculation Sheet'!$F$4:$F$40,$BJ25-3)),"")</f>
        <v/>
      </c>
      <c r="C22">
        <f>IF($BJ25&gt;0,IF(INDEX('Final Calculation Sheet'!$G$4:$G$40,$BJ25-3)="","",INDEX('Final Calculation Sheet'!$G$4:$G$40,$BJ25-3)),IF(OR($BI25=1,$BL25=1,$BH25&gt;0),IF($BI25=1,37,IF($BL25=1,37-INDEX($BD$4:$BD$13,10),INDEX($BD$4:$BD$13,$BH25)))&amp;" lot(s)",""))</f>
        <v/>
      </c>
      <c r="D22">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2">
        <f>IF($BJ25&gt;0,IF(INDEX('Final Calculation Sheet'!$D$4:$D$40,$BJ25-3)="","",INDEX('Final Calculation Sheet'!$D$4:$D$40,$BJ25-3)),IF(OR($BI25=1,$BL25=1,$BH25&gt;0),"–",""))</f>
        <v/>
      </c>
      <c r="F22">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2">
        <f>IF($BJ25&gt;0,IF(INDEX('Final Calculation Sheet'!$E$4:$E$40,$BJ25-3)="","",INDEX('Final Calculation Sheet'!$E$4:$E$40,$BJ25-3)),IF(OR($BI25=1,$BL25=1,$BH25&gt;0),"–",""))</f>
        <v/>
      </c>
      <c r="H22">
        <f>IF($BJ25&gt;0,IF(INDEX('Final Calculation Sheet'!$C$4:$C$40,$BJ25-3)="","",INDEX('Final Calculation Sheet'!$C$4:$C$40,$BJ25-3)),IF(OR($BI25=1,$BL25=1,$BH25&gt;0),"–",""))</f>
        <v/>
      </c>
      <c r="I22">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2">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2">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2">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2">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2">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2">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2">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2">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2">
        <f>IF($BJ25&gt;0,IF(INDEX('Final Calculation Sheet'!$Q$4:$Q$40,$BJ25-3)="","",INDEX('Final Calculation Sheet'!$Q$4:$Q$40,$BJ25-3)),IF(OR($BI25=1,$BL25=1,$BH25&gt;0),"–",""))</f>
        <v/>
      </c>
      <c r="S22">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2">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2">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2">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2">
        <f>IF($BJ25&gt;0,IF(INDEX('Final Calculation Sheet'!$V$4:$V$40,$BJ25-3)="","",INDEX('Final Calculation Sheet'!$V$4:$V$40,$BJ25-3)),IF(OR($BI25=1,$BL25=1,$BH25&gt;0),"–",""))</f>
        <v/>
      </c>
      <c r="X22">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2">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2">
        <f>IF($BJ25&gt;0,IF(INDEX('Final Calculation Sheet'!$Y$4:$Y$40,$BJ25-3)="","",INDEX('Final Calculation Sheet'!$Y$4:$Y$40,$BJ25-3)),IF(OR($BI25=1,$BL25=1,$BH25&gt;0),"–",""))</f>
        <v/>
      </c>
      <c r="AA22">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2">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2">
        <f>IF($BJ25&gt;0,IF(INDEX('Final Calculation Sheet'!$AB$4:$AB$40,$BJ25-3)="","",INDEX('Final Calculation Sheet'!$AB$4:$AB$40,$BJ25-3)),IF(OR($BI25=1,$BL25=1,$BH25&gt;0),"–",""))</f>
        <v/>
      </c>
      <c r="AD22">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2">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2">
        <f>IF($BJ25&gt;0,IF(INDEX('Final Calculation Sheet'!$AF$4:$AF$40,$BJ25-3)="","",INDEX('Final Calculation Sheet'!$AF$4:$AF$40,$BJ25-3)),IF(OR($BI25=1,$BL25=1,$BH25&gt;0),"–",""))</f>
        <v/>
      </c>
      <c r="AG22">
        <f>IF($BJ25&gt;0,IF(INDEX('Final Calculation Sheet'!$AG$4:$AG$40,$BJ25-3)="","",INDEX('Final Calculation Sheet'!$AG$4:$AG$40,$BJ25-3)),IF(OR($BI25=1,$BL25=1,$BH25&gt;0),"–",""))</f>
        <v/>
      </c>
      <c r="AH22">
        <f>IF($BJ25&gt;0,IF(INDEX('Final Calculation Sheet'!$AH$4:$AH$40,$BJ25-3)="","",INDEX('Final Calculation Sheet'!$AH$4:$AH$40,$BJ25-3)),IF(OR($BI25=1,$BL25=1,$BH25&gt;0),"–",""))</f>
        <v/>
      </c>
      <c r="AI22">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row>
    <row r="23">
      <c r="A23">
        <f>IF($BJ26&gt;0,INDEX($BA$5:$BA$41,MATCH(26,$BB$5:$BB$41,0)),IF(OR($BI26=1,$BL26=1,$BH26&gt;0),"∑",""))</f>
        <v/>
      </c>
      <c r="B23">
        <f>IF($BJ26&gt;0,IF(INDEX('Final Calculation Sheet'!$F$4:$F$40,$BJ26-3)="","",INDEX('Final Calculation Sheet'!$F$4:$F$40,$BJ26-3)),"")</f>
        <v/>
      </c>
      <c r="C23">
        <f>IF($BJ26&gt;0,IF(INDEX('Final Calculation Sheet'!$G$4:$G$40,$BJ26-3)="","",INDEX('Final Calculation Sheet'!$G$4:$G$40,$BJ26-3)),IF(OR($BI26=1,$BL26=1,$BH26&gt;0),IF($BI26=1,37,IF($BL26=1,37-INDEX($BD$4:$BD$13,10),INDEX($BD$4:$BD$13,$BH26)))&amp;" lot(s)",""))</f>
        <v/>
      </c>
      <c r="D23">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3">
        <f>IF($BJ26&gt;0,IF(INDEX('Final Calculation Sheet'!$D$4:$D$40,$BJ26-3)="","",INDEX('Final Calculation Sheet'!$D$4:$D$40,$BJ26-3)),IF(OR($BI26=1,$BL26=1,$BH26&gt;0),"–",""))</f>
        <v/>
      </c>
      <c r="F23">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3">
        <f>IF($BJ26&gt;0,IF(INDEX('Final Calculation Sheet'!$E$4:$E$40,$BJ26-3)="","",INDEX('Final Calculation Sheet'!$E$4:$E$40,$BJ26-3)),IF(OR($BI26=1,$BL26=1,$BH26&gt;0),"–",""))</f>
        <v/>
      </c>
      <c r="H23">
        <f>IF($BJ26&gt;0,IF(INDEX('Final Calculation Sheet'!$C$4:$C$40,$BJ26-3)="","",INDEX('Final Calculation Sheet'!$C$4:$C$40,$BJ26-3)),IF(OR($BI26=1,$BL26=1,$BH26&gt;0),"–",""))</f>
        <v/>
      </c>
      <c r="I23">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3">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3">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3">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3">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3">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3">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3">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3">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3">
        <f>IF($BJ26&gt;0,IF(INDEX('Final Calculation Sheet'!$Q$4:$Q$40,$BJ26-3)="","",INDEX('Final Calculation Sheet'!$Q$4:$Q$40,$BJ26-3)),IF(OR($BI26=1,$BL26=1,$BH26&gt;0),"–",""))</f>
        <v/>
      </c>
      <c r="S23">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3">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3">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3">
        <f>IF($BJ26&gt;0,IF(INDEX('Final Calculation Sheet'!$V$4:$V$40,$BJ26-3)="","",INDEX('Final Calculation Sheet'!$V$4:$V$40,$BJ26-3)),IF(OR($BI26=1,$BL26=1,$BH26&gt;0),"–",""))</f>
        <v/>
      </c>
      <c r="X23">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3">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3">
        <f>IF($BJ26&gt;0,IF(INDEX('Final Calculation Sheet'!$Y$4:$Y$40,$BJ26-3)="","",INDEX('Final Calculation Sheet'!$Y$4:$Y$40,$BJ26-3)),IF(OR($BI26=1,$BL26=1,$BH26&gt;0),"–",""))</f>
        <v/>
      </c>
      <c r="AA23">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3">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3">
        <f>IF($BJ26&gt;0,IF(INDEX('Final Calculation Sheet'!$AB$4:$AB$40,$BJ26-3)="","",INDEX('Final Calculation Sheet'!$AB$4:$AB$40,$BJ26-3)),IF(OR($BI26=1,$BL26=1,$BH26&gt;0),"–",""))</f>
        <v/>
      </c>
      <c r="AD23">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3">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3">
        <f>IF($BJ26&gt;0,IF(INDEX('Final Calculation Sheet'!$AF$4:$AF$40,$BJ26-3)="","",INDEX('Final Calculation Sheet'!$AF$4:$AF$40,$BJ26-3)),IF(OR($BI26=1,$BL26=1,$BH26&gt;0),"–",""))</f>
        <v/>
      </c>
      <c r="AG23">
        <f>IF($BJ26&gt;0,IF(INDEX('Final Calculation Sheet'!$AG$4:$AG$40,$BJ26-3)="","",INDEX('Final Calculation Sheet'!$AG$4:$AG$40,$BJ26-3)),IF(OR($BI26=1,$BL26=1,$BH26&gt;0),"–",""))</f>
        <v/>
      </c>
      <c r="AH23">
        <f>IF($BJ26&gt;0,IF(INDEX('Final Calculation Sheet'!$AH$4:$AH$40,$BJ26-3)="","",INDEX('Final Calculation Sheet'!$AH$4:$AH$40,$BJ26-3)),IF(OR($BI26=1,$BL26=1,$BH26&gt;0),"–",""))</f>
        <v/>
      </c>
      <c r="AI23">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row>
    <row r="24">
      <c r="A24">
        <f>IF($BJ27&gt;0,INDEX($BA$5:$BA$41,MATCH(27,$BB$5:$BB$41,0)),IF(OR($BI27=1,$BL27=1,$BH27&gt;0),"∑",""))</f>
        <v/>
      </c>
      <c r="B24">
        <f>IF($BJ27&gt;0,IF(INDEX('Final Calculation Sheet'!$F$4:$F$40,$BJ27-3)="","",INDEX('Final Calculation Sheet'!$F$4:$F$40,$BJ27-3)),"")</f>
        <v/>
      </c>
      <c r="C24">
        <f>IF($BJ27&gt;0,IF(INDEX('Final Calculation Sheet'!$G$4:$G$40,$BJ27-3)="","",INDEX('Final Calculation Sheet'!$G$4:$G$40,$BJ27-3)),IF(OR($BI27=1,$BL27=1,$BH27&gt;0),IF($BI27=1,37,IF($BL27=1,37-INDEX($BD$4:$BD$13,10),INDEX($BD$4:$BD$13,$BH27)))&amp;" lot(s)",""))</f>
        <v/>
      </c>
      <c r="D24">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4">
        <f>IF($BJ27&gt;0,IF(INDEX('Final Calculation Sheet'!$D$4:$D$40,$BJ27-3)="","",INDEX('Final Calculation Sheet'!$D$4:$D$40,$BJ27-3)),IF(OR($BI27=1,$BL27=1,$BH27&gt;0),"–",""))</f>
        <v/>
      </c>
      <c r="F24">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4">
        <f>IF($BJ27&gt;0,IF(INDEX('Final Calculation Sheet'!$E$4:$E$40,$BJ27-3)="","",INDEX('Final Calculation Sheet'!$E$4:$E$40,$BJ27-3)),IF(OR($BI27=1,$BL27=1,$BH27&gt;0),"–",""))</f>
        <v/>
      </c>
      <c r="H24">
        <f>IF($BJ27&gt;0,IF(INDEX('Final Calculation Sheet'!$C$4:$C$40,$BJ27-3)="","",INDEX('Final Calculation Sheet'!$C$4:$C$40,$BJ27-3)),IF(OR($BI27=1,$BL27=1,$BH27&gt;0),"–",""))</f>
        <v/>
      </c>
      <c r="I24">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4">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4">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4">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4">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4">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4">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4">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4">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4">
        <f>IF($BJ27&gt;0,IF(INDEX('Final Calculation Sheet'!$Q$4:$Q$40,$BJ27-3)="","",INDEX('Final Calculation Sheet'!$Q$4:$Q$40,$BJ27-3)),IF(OR($BI27=1,$BL27=1,$BH27&gt;0),"–",""))</f>
        <v/>
      </c>
      <c r="S24">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4">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4">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4">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4">
        <f>IF($BJ27&gt;0,IF(INDEX('Final Calculation Sheet'!$V$4:$V$40,$BJ27-3)="","",INDEX('Final Calculation Sheet'!$V$4:$V$40,$BJ27-3)),IF(OR($BI27=1,$BL27=1,$BH27&gt;0),"–",""))</f>
        <v/>
      </c>
      <c r="X24">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4">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4">
        <f>IF($BJ27&gt;0,IF(INDEX('Final Calculation Sheet'!$Y$4:$Y$40,$BJ27-3)="","",INDEX('Final Calculation Sheet'!$Y$4:$Y$40,$BJ27-3)),IF(OR($BI27=1,$BL27=1,$BH27&gt;0),"–",""))</f>
        <v/>
      </c>
      <c r="AA24">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4">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4">
        <f>IF($BJ27&gt;0,IF(INDEX('Final Calculation Sheet'!$AB$4:$AB$40,$BJ27-3)="","",INDEX('Final Calculation Sheet'!$AB$4:$AB$40,$BJ27-3)),IF(OR($BI27=1,$BL27=1,$BH27&gt;0),"–",""))</f>
        <v/>
      </c>
      <c r="AD24">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4">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4">
        <f>IF($BJ27&gt;0,IF(INDEX('Final Calculation Sheet'!$AF$4:$AF$40,$BJ27-3)="","",INDEX('Final Calculation Sheet'!$AF$4:$AF$40,$BJ27-3)),IF(OR($BI27=1,$BL27=1,$BH27&gt;0),"–",""))</f>
        <v/>
      </c>
      <c r="AG24">
        <f>IF($BJ27&gt;0,IF(INDEX('Final Calculation Sheet'!$AG$4:$AG$40,$BJ27-3)="","",INDEX('Final Calculation Sheet'!$AG$4:$AG$40,$BJ27-3)),IF(OR($BI27=1,$BL27=1,$BH27&gt;0),"–",""))</f>
        <v/>
      </c>
      <c r="AH24">
        <f>IF($BJ27&gt;0,IF(INDEX('Final Calculation Sheet'!$AH$4:$AH$40,$BJ27-3)="","",INDEX('Final Calculation Sheet'!$AH$4:$AH$40,$BJ27-3)),IF(OR($BI27=1,$BL27=1,$BH27&gt;0),"–",""))</f>
        <v/>
      </c>
      <c r="AI24">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row>
    <row r="25">
      <c r="A25">
        <f>IF($BJ28&gt;0,INDEX($BA$5:$BA$41,MATCH(28,$BB$5:$BB$41,0)),IF(OR($BI28=1,$BL28=1,$BH28&gt;0),"∑",""))</f>
        <v/>
      </c>
      <c r="B25">
        <f>IF($BJ28&gt;0,IF(INDEX('Final Calculation Sheet'!$F$4:$F$40,$BJ28-3)="","",INDEX('Final Calculation Sheet'!$F$4:$F$40,$BJ28-3)),"")</f>
        <v/>
      </c>
      <c r="C25">
        <f>IF($BJ28&gt;0,IF(INDEX('Final Calculation Sheet'!$G$4:$G$40,$BJ28-3)="","",INDEX('Final Calculation Sheet'!$G$4:$G$40,$BJ28-3)),IF(OR($BI28=1,$BL28=1,$BH28&gt;0),IF($BI28=1,37,IF($BL28=1,37-INDEX($BD$4:$BD$13,10),INDEX($BD$4:$BD$13,$BH28)))&amp;" lot(s)",""))</f>
        <v/>
      </c>
      <c r="D25">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5">
        <f>IF($BJ28&gt;0,IF(INDEX('Final Calculation Sheet'!$D$4:$D$40,$BJ28-3)="","",INDEX('Final Calculation Sheet'!$D$4:$D$40,$BJ28-3)),IF(OR($BI28=1,$BL28=1,$BH28&gt;0),"–",""))</f>
        <v/>
      </c>
      <c r="F25">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5">
        <f>IF($BJ28&gt;0,IF(INDEX('Final Calculation Sheet'!$E$4:$E$40,$BJ28-3)="","",INDEX('Final Calculation Sheet'!$E$4:$E$40,$BJ28-3)),IF(OR($BI28=1,$BL28=1,$BH28&gt;0),"–",""))</f>
        <v/>
      </c>
      <c r="H25">
        <f>IF($BJ28&gt;0,IF(INDEX('Final Calculation Sheet'!$C$4:$C$40,$BJ28-3)="","",INDEX('Final Calculation Sheet'!$C$4:$C$40,$BJ28-3)),IF(OR($BI28=1,$BL28=1,$BH28&gt;0),"–",""))</f>
        <v/>
      </c>
      <c r="I25">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5">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5">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5">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5">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5">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5">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5">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5">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5">
        <f>IF($BJ28&gt;0,IF(INDEX('Final Calculation Sheet'!$Q$4:$Q$40,$BJ28-3)="","",INDEX('Final Calculation Sheet'!$Q$4:$Q$40,$BJ28-3)),IF(OR($BI28=1,$BL28=1,$BH28&gt;0),"–",""))</f>
        <v/>
      </c>
      <c r="S25">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5">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5">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5">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5">
        <f>IF($BJ28&gt;0,IF(INDEX('Final Calculation Sheet'!$V$4:$V$40,$BJ28-3)="","",INDEX('Final Calculation Sheet'!$V$4:$V$40,$BJ28-3)),IF(OR($BI28=1,$BL28=1,$BH28&gt;0),"–",""))</f>
        <v/>
      </c>
      <c r="X25">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5">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5">
        <f>IF($BJ28&gt;0,IF(INDEX('Final Calculation Sheet'!$Y$4:$Y$40,$BJ28-3)="","",INDEX('Final Calculation Sheet'!$Y$4:$Y$40,$BJ28-3)),IF(OR($BI28=1,$BL28=1,$BH28&gt;0),"–",""))</f>
        <v/>
      </c>
      <c r="AA25">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5">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5">
        <f>IF($BJ28&gt;0,IF(INDEX('Final Calculation Sheet'!$AB$4:$AB$40,$BJ28-3)="","",INDEX('Final Calculation Sheet'!$AB$4:$AB$40,$BJ28-3)),IF(OR($BI28=1,$BL28=1,$BH28&gt;0),"–",""))</f>
        <v/>
      </c>
      <c r="AD25">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5">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5">
        <f>IF($BJ28&gt;0,IF(INDEX('Final Calculation Sheet'!$AF$4:$AF$40,$BJ28-3)="","",INDEX('Final Calculation Sheet'!$AF$4:$AF$40,$BJ28-3)),IF(OR($BI28=1,$BL28=1,$BH28&gt;0),"–",""))</f>
        <v/>
      </c>
      <c r="AG25">
        <f>IF($BJ28&gt;0,IF(INDEX('Final Calculation Sheet'!$AG$4:$AG$40,$BJ28-3)="","",INDEX('Final Calculation Sheet'!$AG$4:$AG$40,$BJ28-3)),IF(OR($BI28=1,$BL28=1,$BH28&gt;0),"–",""))</f>
        <v/>
      </c>
      <c r="AH25">
        <f>IF($BJ28&gt;0,IF(INDEX('Final Calculation Sheet'!$AH$4:$AH$40,$BJ28-3)="","",INDEX('Final Calculation Sheet'!$AH$4:$AH$40,$BJ28-3)),IF(OR($BI28=1,$BL28=1,$BH28&gt;0),"–",""))</f>
        <v/>
      </c>
      <c r="AI2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row>
    <row r="26">
      <c r="A26">
        <f>IF($BJ29&gt;0,INDEX($BA$5:$BA$41,MATCH(29,$BB$5:$BB$41,0)),IF(OR($BI29=1,$BL29=1,$BH29&gt;0),"∑",""))</f>
        <v/>
      </c>
      <c r="B26">
        <f>IF($BJ29&gt;0,IF(INDEX('Final Calculation Sheet'!$F$4:$F$40,$BJ29-3)="","",INDEX('Final Calculation Sheet'!$F$4:$F$40,$BJ29-3)),"")</f>
        <v/>
      </c>
      <c r="C26">
        <f>IF($BJ29&gt;0,IF(INDEX('Final Calculation Sheet'!$G$4:$G$40,$BJ29-3)="","",INDEX('Final Calculation Sheet'!$G$4:$G$40,$BJ29-3)),IF(OR($BI29=1,$BL29=1,$BH29&gt;0),IF($BI29=1,37,IF($BL29=1,37-INDEX($BD$4:$BD$13,10),INDEX($BD$4:$BD$13,$BH29)))&amp;" lot(s)",""))</f>
        <v/>
      </c>
      <c r="D26">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26">
        <f>IF($BJ29&gt;0,IF(INDEX('Final Calculation Sheet'!$D$4:$D$40,$BJ29-3)="","",INDEX('Final Calculation Sheet'!$D$4:$D$40,$BJ29-3)),IF(OR($BI29=1,$BL29=1,$BH29&gt;0),"–",""))</f>
        <v/>
      </c>
      <c r="F26">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26">
        <f>IF($BJ29&gt;0,IF(INDEX('Final Calculation Sheet'!$E$4:$E$40,$BJ29-3)="","",INDEX('Final Calculation Sheet'!$E$4:$E$40,$BJ29-3)),IF(OR($BI29=1,$BL29=1,$BH29&gt;0),"–",""))</f>
        <v/>
      </c>
      <c r="H26">
        <f>IF($BJ29&gt;0,IF(INDEX('Final Calculation Sheet'!$C$4:$C$40,$BJ29-3)="","",INDEX('Final Calculation Sheet'!$C$4:$C$40,$BJ29-3)),IF(OR($BI29=1,$BL29=1,$BH29&gt;0),"–",""))</f>
        <v/>
      </c>
      <c r="I26">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26">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26">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26">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26">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26">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26">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26">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26">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26">
        <f>IF($BJ29&gt;0,IF(INDEX('Final Calculation Sheet'!$Q$4:$Q$40,$BJ29-3)="","",INDEX('Final Calculation Sheet'!$Q$4:$Q$40,$BJ29-3)),IF(OR($BI29=1,$BL29=1,$BH29&gt;0),"–",""))</f>
        <v/>
      </c>
      <c r="S26">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26">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26">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26">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26">
        <f>IF($BJ29&gt;0,IF(INDEX('Final Calculation Sheet'!$V$4:$V$40,$BJ29-3)="","",INDEX('Final Calculation Sheet'!$V$4:$V$40,$BJ29-3)),IF(OR($BI29=1,$BL29=1,$BH29&gt;0),"–",""))</f>
        <v/>
      </c>
      <c r="X26">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26">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26">
        <f>IF($BJ29&gt;0,IF(INDEX('Final Calculation Sheet'!$Y$4:$Y$40,$BJ29-3)="","",INDEX('Final Calculation Sheet'!$Y$4:$Y$40,$BJ29-3)),IF(OR($BI29=1,$BL29=1,$BH29&gt;0),"–",""))</f>
        <v/>
      </c>
      <c r="AA26">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26">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26">
        <f>IF($BJ29&gt;0,IF(INDEX('Final Calculation Sheet'!$AB$4:$AB$40,$BJ29-3)="","",INDEX('Final Calculation Sheet'!$AB$4:$AB$40,$BJ29-3)),IF(OR($BI29=1,$BL29=1,$BH29&gt;0),"–",""))</f>
        <v/>
      </c>
      <c r="AD26">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26">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26">
        <f>IF($BJ29&gt;0,IF(INDEX('Final Calculation Sheet'!$AF$4:$AF$40,$BJ29-3)="","",INDEX('Final Calculation Sheet'!$AF$4:$AF$40,$BJ29-3)),IF(OR($BI29=1,$BL29=1,$BH29&gt;0),"–",""))</f>
        <v/>
      </c>
      <c r="AG26">
        <f>IF($BJ29&gt;0,IF(INDEX('Final Calculation Sheet'!$AG$4:$AG$40,$BJ29-3)="","",INDEX('Final Calculation Sheet'!$AG$4:$AG$40,$BJ29-3)),IF(OR($BI29=1,$BL29=1,$BH29&gt;0),"–",""))</f>
        <v/>
      </c>
      <c r="AH26">
        <f>IF($BJ29&gt;0,IF(INDEX('Final Calculation Sheet'!$AH$4:$AH$40,$BJ29-3)="","",INDEX('Final Calculation Sheet'!$AH$4:$AH$40,$BJ29-3)),IF(OR($BI29=1,$BL29=1,$BH29&gt;0),"–",""))</f>
        <v/>
      </c>
      <c r="AI26">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row>
    <row r="27">
      <c r="A27">
        <f>IF($BJ30&gt;0,INDEX($BA$5:$BA$41,MATCH(30,$BB$5:$BB$41,0)),IF(OR($BI30=1,$BL30=1,$BH30&gt;0),"∑",""))</f>
        <v/>
      </c>
      <c r="B27">
        <f>IF($BJ30&gt;0,IF(INDEX('Final Calculation Sheet'!$F$4:$F$40,$BJ30-3)="","",INDEX('Final Calculation Sheet'!$F$4:$F$40,$BJ30-3)),"")</f>
        <v/>
      </c>
      <c r="C27">
        <f>IF($BJ30&gt;0,IF(INDEX('Final Calculation Sheet'!$G$4:$G$40,$BJ30-3)="","",INDEX('Final Calculation Sheet'!$G$4:$G$40,$BJ30-3)),IF(OR($BI30=1,$BL30=1,$BH30&gt;0),IF($BI30=1,37,IF($BL30=1,37-INDEX($BD$4:$BD$13,10),INDEX($BD$4:$BD$13,$BH30)))&amp;" lot(s)",""))</f>
        <v/>
      </c>
      <c r="D27">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27">
        <f>IF($BJ30&gt;0,IF(INDEX('Final Calculation Sheet'!$D$4:$D$40,$BJ30-3)="","",INDEX('Final Calculation Sheet'!$D$4:$D$40,$BJ30-3)),IF(OR($BI30=1,$BL30=1,$BH30&gt;0),"–",""))</f>
        <v/>
      </c>
      <c r="F27">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27">
        <f>IF($BJ30&gt;0,IF(INDEX('Final Calculation Sheet'!$E$4:$E$40,$BJ30-3)="","",INDEX('Final Calculation Sheet'!$E$4:$E$40,$BJ30-3)),IF(OR($BI30=1,$BL30=1,$BH30&gt;0),"–",""))</f>
        <v/>
      </c>
      <c r="H27">
        <f>IF($BJ30&gt;0,IF(INDEX('Final Calculation Sheet'!$C$4:$C$40,$BJ30-3)="","",INDEX('Final Calculation Sheet'!$C$4:$C$40,$BJ30-3)),IF(OR($BI30=1,$BL30=1,$BH30&gt;0),"–",""))</f>
        <v/>
      </c>
      <c r="I27">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27">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27">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27">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27">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27">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27">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27">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27">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27">
        <f>IF($BJ30&gt;0,IF(INDEX('Final Calculation Sheet'!$Q$4:$Q$40,$BJ30-3)="","",INDEX('Final Calculation Sheet'!$Q$4:$Q$40,$BJ30-3)),IF(OR($BI30=1,$BL30=1,$BH30&gt;0),"–",""))</f>
        <v/>
      </c>
      <c r="S27">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27">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27">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27">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27">
        <f>IF($BJ30&gt;0,IF(INDEX('Final Calculation Sheet'!$V$4:$V$40,$BJ30-3)="","",INDEX('Final Calculation Sheet'!$V$4:$V$40,$BJ30-3)),IF(OR($BI30=1,$BL30=1,$BH30&gt;0),"–",""))</f>
        <v/>
      </c>
      <c r="X27">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27">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27">
        <f>IF($BJ30&gt;0,IF(INDEX('Final Calculation Sheet'!$Y$4:$Y$40,$BJ30-3)="","",INDEX('Final Calculation Sheet'!$Y$4:$Y$40,$BJ30-3)),IF(OR($BI30=1,$BL30=1,$BH30&gt;0),"–",""))</f>
        <v/>
      </c>
      <c r="AA27">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27">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27">
        <f>IF($BJ30&gt;0,IF(INDEX('Final Calculation Sheet'!$AB$4:$AB$40,$BJ30-3)="","",INDEX('Final Calculation Sheet'!$AB$4:$AB$40,$BJ30-3)),IF(OR($BI30=1,$BL30=1,$BH30&gt;0),"–",""))</f>
        <v/>
      </c>
      <c r="AD27">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27">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27">
        <f>IF($BJ30&gt;0,IF(INDEX('Final Calculation Sheet'!$AF$4:$AF$40,$BJ30-3)="","",INDEX('Final Calculation Sheet'!$AF$4:$AF$40,$BJ30-3)),IF(OR($BI30=1,$BL30=1,$BH30&gt;0),"–",""))</f>
        <v/>
      </c>
      <c r="AG27">
        <f>IF($BJ30&gt;0,IF(INDEX('Final Calculation Sheet'!$AG$4:$AG$40,$BJ30-3)="","",INDEX('Final Calculation Sheet'!$AG$4:$AG$40,$BJ30-3)),IF(OR($BI30=1,$BL30=1,$BH30&gt;0),"–",""))</f>
        <v/>
      </c>
      <c r="AH27">
        <f>IF($BJ30&gt;0,IF(INDEX('Final Calculation Sheet'!$AH$4:$AH$40,$BJ30-3)="","",INDEX('Final Calculation Sheet'!$AH$4:$AH$40,$BJ30-3)),IF(OR($BI30=1,$BL30=1,$BH30&gt;0),"–",""))</f>
        <v/>
      </c>
      <c r="AI27">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row>
    <row r="28">
      <c r="A28">
        <f>IF($BJ31&gt;0,INDEX($BA$5:$BA$41,MATCH(31,$BB$5:$BB$41,0)),IF(OR($BI31=1,$BL31=1,$BH31&gt;0),"∑",""))</f>
        <v/>
      </c>
      <c r="B28">
        <f>IF($BJ31&gt;0,IF(INDEX('Final Calculation Sheet'!$F$4:$F$40,$BJ31-3)="","",INDEX('Final Calculation Sheet'!$F$4:$F$40,$BJ31-3)),"")</f>
        <v/>
      </c>
      <c r="C28">
        <f>IF($BJ31&gt;0,IF(INDEX('Final Calculation Sheet'!$G$4:$G$40,$BJ31-3)="","",INDEX('Final Calculation Sheet'!$G$4:$G$40,$BJ31-3)),IF(OR($BI31=1,$BL31=1,$BH31&gt;0),IF($BI31=1,37,IF($BL31=1,37-INDEX($BD$4:$BD$13,10),INDEX($BD$4:$BD$13,$BH31)))&amp;" lot(s)",""))</f>
        <v/>
      </c>
      <c r="D28">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28">
        <f>IF($BJ31&gt;0,IF(INDEX('Final Calculation Sheet'!$D$4:$D$40,$BJ31-3)="","",INDEX('Final Calculation Sheet'!$D$4:$D$40,$BJ31-3)),IF(OR($BI31=1,$BL31=1,$BH31&gt;0),"–",""))</f>
        <v/>
      </c>
      <c r="F28">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28">
        <f>IF($BJ31&gt;0,IF(INDEX('Final Calculation Sheet'!$E$4:$E$40,$BJ31-3)="","",INDEX('Final Calculation Sheet'!$E$4:$E$40,$BJ31-3)),IF(OR($BI31=1,$BL31=1,$BH31&gt;0),"–",""))</f>
        <v/>
      </c>
      <c r="H28">
        <f>IF($BJ31&gt;0,IF(INDEX('Final Calculation Sheet'!$C$4:$C$40,$BJ31-3)="","",INDEX('Final Calculation Sheet'!$C$4:$C$40,$BJ31-3)),IF(OR($BI31=1,$BL31=1,$BH31&gt;0),"–",""))</f>
        <v/>
      </c>
      <c r="I28">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28">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28">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28">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28">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28">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28">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28">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28">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28">
        <f>IF($BJ31&gt;0,IF(INDEX('Final Calculation Sheet'!$Q$4:$Q$40,$BJ31-3)="","",INDEX('Final Calculation Sheet'!$Q$4:$Q$40,$BJ31-3)),IF(OR($BI31=1,$BL31=1,$BH31&gt;0),"–",""))</f>
        <v/>
      </c>
      <c r="S28">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28">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28">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28">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28">
        <f>IF($BJ31&gt;0,IF(INDEX('Final Calculation Sheet'!$V$4:$V$40,$BJ31-3)="","",INDEX('Final Calculation Sheet'!$V$4:$V$40,$BJ31-3)),IF(OR($BI31=1,$BL31=1,$BH31&gt;0),"–",""))</f>
        <v/>
      </c>
      <c r="X28">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28">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28">
        <f>IF($BJ31&gt;0,IF(INDEX('Final Calculation Sheet'!$Y$4:$Y$40,$BJ31-3)="","",INDEX('Final Calculation Sheet'!$Y$4:$Y$40,$BJ31-3)),IF(OR($BI31=1,$BL31=1,$BH31&gt;0),"–",""))</f>
        <v/>
      </c>
      <c r="AA28">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28">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28">
        <f>IF($BJ31&gt;0,IF(INDEX('Final Calculation Sheet'!$AB$4:$AB$40,$BJ31-3)="","",INDEX('Final Calculation Sheet'!$AB$4:$AB$40,$BJ31-3)),IF(OR($BI31=1,$BL31=1,$BH31&gt;0),"–",""))</f>
        <v/>
      </c>
      <c r="AD28">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28">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28">
        <f>IF($BJ31&gt;0,IF(INDEX('Final Calculation Sheet'!$AF$4:$AF$40,$BJ31-3)="","",INDEX('Final Calculation Sheet'!$AF$4:$AF$40,$BJ31-3)),IF(OR($BI31=1,$BL31=1,$BH31&gt;0),"–",""))</f>
        <v/>
      </c>
      <c r="AG28">
        <f>IF($BJ31&gt;0,IF(INDEX('Final Calculation Sheet'!$AG$4:$AG$40,$BJ31-3)="","",INDEX('Final Calculation Sheet'!$AG$4:$AG$40,$BJ31-3)),IF(OR($BI31=1,$BL31=1,$BH31&gt;0),"–",""))</f>
        <v/>
      </c>
      <c r="AH28">
        <f>IF($BJ31&gt;0,IF(INDEX('Final Calculation Sheet'!$AH$4:$AH$40,$BJ31-3)="","",INDEX('Final Calculation Sheet'!$AH$4:$AH$40,$BJ31-3)),IF(OR($BI31=1,$BL31=1,$BH31&gt;0),"–",""))</f>
        <v/>
      </c>
      <c r="AI28">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row>
    <row r="29">
      <c r="A29">
        <f>IF($BJ32&gt;0,INDEX($BA$5:$BA$41,MATCH(32,$BB$5:$BB$41,0)),IF(OR($BI32=1,$BL32=1,$BH32&gt;0),"∑",""))</f>
        <v/>
      </c>
      <c r="B29">
        <f>IF($BJ32&gt;0,IF(INDEX('Final Calculation Sheet'!$F$4:$F$40,$BJ32-3)="","",INDEX('Final Calculation Sheet'!$F$4:$F$40,$BJ32-3)),"")</f>
        <v/>
      </c>
      <c r="C29">
        <f>IF($BJ32&gt;0,IF(INDEX('Final Calculation Sheet'!$G$4:$G$40,$BJ32-3)="","",INDEX('Final Calculation Sheet'!$G$4:$G$40,$BJ32-3)),IF(OR($BI32=1,$BL32=1,$BH32&gt;0),IF($BI32=1,37,IF($BL32=1,37-INDEX($BD$4:$BD$13,10),INDEX($BD$4:$BD$13,$BH32)))&amp;" lot(s)",""))</f>
        <v/>
      </c>
      <c r="D2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29">
        <f>IF($BJ32&gt;0,IF(INDEX('Final Calculation Sheet'!$D$4:$D$40,$BJ32-3)="","",INDEX('Final Calculation Sheet'!$D$4:$D$40,$BJ32-3)),IF(OR($BI32=1,$BL32=1,$BH32&gt;0),"–",""))</f>
        <v/>
      </c>
      <c r="F2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29">
        <f>IF($BJ32&gt;0,IF(INDEX('Final Calculation Sheet'!$E$4:$E$40,$BJ32-3)="","",INDEX('Final Calculation Sheet'!$E$4:$E$40,$BJ32-3)),IF(OR($BI32=1,$BL32=1,$BH32&gt;0),"–",""))</f>
        <v/>
      </c>
      <c r="H29">
        <f>IF($BJ32&gt;0,IF(INDEX('Final Calculation Sheet'!$C$4:$C$40,$BJ32-3)="","",INDEX('Final Calculation Sheet'!$C$4:$C$40,$BJ32-3)),IF(OR($BI32=1,$BL32=1,$BH32&gt;0),"–",""))</f>
        <v/>
      </c>
      <c r="I29">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29">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29">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29">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29">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29">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29">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29">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29">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29">
        <f>IF($BJ32&gt;0,IF(INDEX('Final Calculation Sheet'!$Q$4:$Q$40,$BJ32-3)="","",INDEX('Final Calculation Sheet'!$Q$4:$Q$40,$BJ32-3)),IF(OR($BI32=1,$BL32=1,$BH32&gt;0),"–",""))</f>
        <v/>
      </c>
      <c r="S29">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29">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29">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29">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29">
        <f>IF($BJ32&gt;0,IF(INDEX('Final Calculation Sheet'!$V$4:$V$40,$BJ32-3)="","",INDEX('Final Calculation Sheet'!$V$4:$V$40,$BJ32-3)),IF(OR($BI32=1,$BL32=1,$BH32&gt;0),"–",""))</f>
        <v/>
      </c>
      <c r="X29">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29">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29">
        <f>IF($BJ32&gt;0,IF(INDEX('Final Calculation Sheet'!$Y$4:$Y$40,$BJ32-3)="","",INDEX('Final Calculation Sheet'!$Y$4:$Y$40,$BJ32-3)),IF(OR($BI32=1,$BL32=1,$BH32&gt;0),"–",""))</f>
        <v/>
      </c>
      <c r="AA29">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29">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29">
        <f>IF($BJ32&gt;0,IF(INDEX('Final Calculation Sheet'!$AB$4:$AB$40,$BJ32-3)="","",INDEX('Final Calculation Sheet'!$AB$4:$AB$40,$BJ32-3)),IF(OR($BI32=1,$BL32=1,$BH32&gt;0),"–",""))</f>
        <v/>
      </c>
      <c r="AD29">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29">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29">
        <f>IF($BJ32&gt;0,IF(INDEX('Final Calculation Sheet'!$AF$4:$AF$40,$BJ32-3)="","",INDEX('Final Calculation Sheet'!$AF$4:$AF$40,$BJ32-3)),IF(OR($BI32=1,$BL32=1,$BH32&gt;0),"–",""))</f>
        <v/>
      </c>
      <c r="AG29">
        <f>IF($BJ32&gt;0,IF(INDEX('Final Calculation Sheet'!$AG$4:$AG$40,$BJ32-3)="","",INDEX('Final Calculation Sheet'!$AG$4:$AG$40,$BJ32-3)),IF(OR($BI32=1,$BL32=1,$BH32&gt;0),"–",""))</f>
        <v/>
      </c>
      <c r="AH29">
        <f>IF($BJ32&gt;0,IF(INDEX('Final Calculation Sheet'!$AH$4:$AH$40,$BJ32-3)="","",INDEX('Final Calculation Sheet'!$AH$4:$AH$40,$BJ32-3)),IF(OR($BI32=1,$BL32=1,$BH32&gt;0),"–",""))</f>
        <v/>
      </c>
      <c r="AI29">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row>
    <row r="30">
      <c r="A30">
        <f>IF($BJ33&gt;0,INDEX($BA$5:$BA$41,MATCH(33,$BB$5:$BB$41,0)),IF(OR($BI33=1,$BL33=1,$BH33&gt;0),"∑",""))</f>
        <v/>
      </c>
      <c r="B30">
        <f>IF($BJ33&gt;0,IF(INDEX('Final Calculation Sheet'!$F$4:$F$40,$BJ33-3)="","",INDEX('Final Calculation Sheet'!$F$4:$F$40,$BJ33-3)),"")</f>
        <v/>
      </c>
      <c r="C30">
        <f>IF($BJ33&gt;0,IF(INDEX('Final Calculation Sheet'!$G$4:$G$40,$BJ33-3)="","",INDEX('Final Calculation Sheet'!$G$4:$G$40,$BJ33-3)),IF(OR($BI33=1,$BL33=1,$BH33&gt;0),IF($BI33=1,37,IF($BL33=1,37-INDEX($BD$4:$BD$13,10),INDEX($BD$4:$BD$13,$BH33)))&amp;" lot(s)",""))</f>
        <v/>
      </c>
      <c r="D30">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0">
        <f>IF($BJ33&gt;0,IF(INDEX('Final Calculation Sheet'!$D$4:$D$40,$BJ33-3)="","",INDEX('Final Calculation Sheet'!$D$4:$D$40,$BJ33-3)),IF(OR($BI33=1,$BL33=1,$BH33&gt;0),"–",""))</f>
        <v/>
      </c>
      <c r="F30">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0">
        <f>IF($BJ33&gt;0,IF(INDEX('Final Calculation Sheet'!$E$4:$E$40,$BJ33-3)="","",INDEX('Final Calculation Sheet'!$E$4:$E$40,$BJ33-3)),IF(OR($BI33=1,$BL33=1,$BH33&gt;0),"–",""))</f>
        <v/>
      </c>
      <c r="H30">
        <f>IF($BJ33&gt;0,IF(INDEX('Final Calculation Sheet'!$C$4:$C$40,$BJ33-3)="","",INDEX('Final Calculation Sheet'!$C$4:$C$40,$BJ33-3)),IF(OR($BI33=1,$BL33=1,$BH33&gt;0),"–",""))</f>
        <v/>
      </c>
      <c r="I3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0">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0">
        <f>IF($BJ33&gt;0,IF(INDEX('Final Calculation Sheet'!$Q$4:$Q$40,$BJ33-3)="","",INDEX('Final Calculation Sheet'!$Q$4:$Q$40,$BJ33-3)),IF(OR($BI33=1,$BL33=1,$BH33&gt;0),"–",""))</f>
        <v/>
      </c>
      <c r="S3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0">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0">
        <f>IF($BJ33&gt;0,IF(INDEX('Final Calculation Sheet'!$V$4:$V$40,$BJ33-3)="","",INDEX('Final Calculation Sheet'!$V$4:$V$40,$BJ33-3)),IF(OR($BI33=1,$BL33=1,$BH33&gt;0),"–",""))</f>
        <v/>
      </c>
      <c r="X3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0">
        <f>IF($BJ33&gt;0,IF(INDEX('Final Calculation Sheet'!$Y$4:$Y$40,$BJ33-3)="","",INDEX('Final Calculation Sheet'!$Y$4:$Y$40,$BJ33-3)),IF(OR($BI33=1,$BL33=1,$BH33&gt;0),"–",""))</f>
        <v/>
      </c>
      <c r="AA3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0">
        <f>IF($BJ33&gt;0,IF(INDEX('Final Calculation Sheet'!$AB$4:$AB$40,$BJ33-3)="","",INDEX('Final Calculation Sheet'!$AB$4:$AB$40,$BJ33-3)),IF(OR($BI33=1,$BL33=1,$BH33&gt;0),"–",""))</f>
        <v/>
      </c>
      <c r="AD3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0">
        <f>IF($BJ33&gt;0,IF(INDEX('Final Calculation Sheet'!$AF$4:$AF$40,$BJ33-3)="","",INDEX('Final Calculation Sheet'!$AF$4:$AF$40,$BJ33-3)),IF(OR($BI33=1,$BL33=1,$BH33&gt;0),"–",""))</f>
        <v/>
      </c>
      <c r="AG30">
        <f>IF($BJ33&gt;0,IF(INDEX('Final Calculation Sheet'!$AG$4:$AG$40,$BJ33-3)="","",INDEX('Final Calculation Sheet'!$AG$4:$AG$40,$BJ33-3)),IF(OR($BI33=1,$BL33=1,$BH33&gt;0),"–",""))</f>
        <v/>
      </c>
      <c r="AH30">
        <f>IF($BJ33&gt;0,IF(INDEX('Final Calculation Sheet'!$AH$4:$AH$40,$BJ33-3)="","",INDEX('Final Calculation Sheet'!$AH$4:$AH$40,$BJ33-3)),IF(OR($BI33=1,$BL33=1,$BH33&gt;0),"–",""))</f>
        <v/>
      </c>
      <c r="AI30">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row>
    <row r="31">
      <c r="A31">
        <f>IF($BJ34&gt;0,INDEX($BA$5:$BA$41,MATCH(34,$BB$5:$BB$41,0)),IF(OR($BI34=1,$BL34=1,$BH34&gt;0),"∑",""))</f>
        <v/>
      </c>
      <c r="B31">
        <f>IF($BJ34&gt;0,IF(INDEX('Final Calculation Sheet'!$F$4:$F$40,$BJ34-3)="","",INDEX('Final Calculation Sheet'!$F$4:$F$40,$BJ34-3)),"")</f>
        <v/>
      </c>
      <c r="C31">
        <f>IF($BJ34&gt;0,IF(INDEX('Final Calculation Sheet'!$G$4:$G$40,$BJ34-3)="","",INDEX('Final Calculation Sheet'!$G$4:$G$40,$BJ34-3)),IF(OR($BI34=1,$BL34=1,$BH34&gt;0),IF($BI34=1,37,IF($BL34=1,37-INDEX($BD$4:$BD$13,10),INDEX($BD$4:$BD$13,$BH34)))&amp;" lot(s)",""))</f>
        <v/>
      </c>
      <c r="D31">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1">
        <f>IF($BJ34&gt;0,IF(INDEX('Final Calculation Sheet'!$D$4:$D$40,$BJ34-3)="","",INDEX('Final Calculation Sheet'!$D$4:$D$40,$BJ34-3)),IF(OR($BI34=1,$BL34=1,$BH34&gt;0),"–",""))</f>
        <v/>
      </c>
      <c r="F31">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1">
        <f>IF($BJ34&gt;0,IF(INDEX('Final Calculation Sheet'!$E$4:$E$40,$BJ34-3)="","",INDEX('Final Calculation Sheet'!$E$4:$E$40,$BJ34-3)),IF(OR($BI34=1,$BL34=1,$BH34&gt;0),"–",""))</f>
        <v/>
      </c>
      <c r="H31">
        <f>IF($BJ34&gt;0,IF(INDEX('Final Calculation Sheet'!$C$4:$C$40,$BJ34-3)="","",INDEX('Final Calculation Sheet'!$C$4:$C$40,$BJ34-3)),IF(OR($BI34=1,$BL34=1,$BH34&gt;0),"–",""))</f>
        <v/>
      </c>
      <c r="I31">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1">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1">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1">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1">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1">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1">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1">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1">
        <f>IF($BJ34&gt;0,IF(INDEX('Final Calculation Sheet'!$Q$4:$Q$40,$BJ34-3)="","",INDEX('Final Calculation Sheet'!$Q$4:$Q$40,$BJ34-3)),IF(OR($BI34=1,$BL34=1,$BH34&gt;0),"–",""))</f>
        <v/>
      </c>
      <c r="S31">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1">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1">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1">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1">
        <f>IF($BJ34&gt;0,IF(INDEX('Final Calculation Sheet'!$V$4:$V$40,$BJ34-3)="","",INDEX('Final Calculation Sheet'!$V$4:$V$40,$BJ34-3)),IF(OR($BI34=1,$BL34=1,$BH34&gt;0),"–",""))</f>
        <v/>
      </c>
      <c r="X31">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1">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1">
        <f>IF($BJ34&gt;0,IF(INDEX('Final Calculation Sheet'!$Y$4:$Y$40,$BJ34-3)="","",INDEX('Final Calculation Sheet'!$Y$4:$Y$40,$BJ34-3)),IF(OR($BI34=1,$BL34=1,$BH34&gt;0),"–",""))</f>
        <v/>
      </c>
      <c r="AA31">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1">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1">
        <f>IF($BJ34&gt;0,IF(INDEX('Final Calculation Sheet'!$AB$4:$AB$40,$BJ34-3)="","",INDEX('Final Calculation Sheet'!$AB$4:$AB$40,$BJ34-3)),IF(OR($BI34=1,$BL34=1,$BH34&gt;0),"–",""))</f>
        <v/>
      </c>
      <c r="AD31">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1">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1">
        <f>IF($BJ34&gt;0,IF(INDEX('Final Calculation Sheet'!$AF$4:$AF$40,$BJ34-3)="","",INDEX('Final Calculation Sheet'!$AF$4:$AF$40,$BJ34-3)),IF(OR($BI34=1,$BL34=1,$BH34&gt;0),"–",""))</f>
        <v/>
      </c>
      <c r="AG31">
        <f>IF($BJ34&gt;0,IF(INDEX('Final Calculation Sheet'!$AG$4:$AG$40,$BJ34-3)="","",INDEX('Final Calculation Sheet'!$AG$4:$AG$40,$BJ34-3)),IF(OR($BI34=1,$BL34=1,$BH34&gt;0),"–",""))</f>
        <v/>
      </c>
      <c r="AH31">
        <f>IF($BJ34&gt;0,IF(INDEX('Final Calculation Sheet'!$AH$4:$AH$40,$BJ34-3)="","",INDEX('Final Calculation Sheet'!$AH$4:$AH$40,$BJ34-3)),IF(OR($BI34=1,$BL34=1,$BH34&gt;0),"–",""))</f>
        <v/>
      </c>
      <c r="AI31">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row>
    <row r="32">
      <c r="A32">
        <f>IF($BJ35&gt;0,INDEX($BA$5:$BA$41,MATCH(35,$BB$5:$BB$41,0)),IF(OR($BI35=1,$BL35=1,$BH35&gt;0),"∑",""))</f>
        <v/>
      </c>
      <c r="B32">
        <f>IF($BJ35&gt;0,IF(INDEX('Final Calculation Sheet'!$F$4:$F$40,$BJ35-3)="","",INDEX('Final Calculation Sheet'!$F$4:$F$40,$BJ35-3)),"")</f>
        <v/>
      </c>
      <c r="C32">
        <f>IF($BJ35&gt;0,IF(INDEX('Final Calculation Sheet'!$G$4:$G$40,$BJ35-3)="","",INDEX('Final Calculation Sheet'!$G$4:$G$40,$BJ35-3)),IF(OR($BI35=1,$BL35=1,$BH35&gt;0),IF($BI35=1,37,IF($BL35=1,37-INDEX($BD$4:$BD$13,10),INDEX($BD$4:$BD$13,$BH35)))&amp;" lot(s)",""))</f>
        <v/>
      </c>
      <c r="D32">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2">
        <f>IF($BJ35&gt;0,IF(INDEX('Final Calculation Sheet'!$D$4:$D$40,$BJ35-3)="","",INDEX('Final Calculation Sheet'!$D$4:$D$40,$BJ35-3)),IF(OR($BI35=1,$BL35=1,$BH35&gt;0),"–",""))</f>
        <v/>
      </c>
      <c r="F32">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2">
        <f>IF($BJ35&gt;0,IF(INDEX('Final Calculation Sheet'!$E$4:$E$40,$BJ35-3)="","",INDEX('Final Calculation Sheet'!$E$4:$E$40,$BJ35-3)),IF(OR($BI35=1,$BL35=1,$BH35&gt;0),"–",""))</f>
        <v/>
      </c>
      <c r="H32">
        <f>IF($BJ35&gt;0,IF(INDEX('Final Calculation Sheet'!$C$4:$C$40,$BJ35-3)="","",INDEX('Final Calculation Sheet'!$C$4:$C$40,$BJ35-3)),IF(OR($BI35=1,$BL35=1,$BH35&gt;0),"–",""))</f>
        <v/>
      </c>
      <c r="I32">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2">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2">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2">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2">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2">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2">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2">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2">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2">
        <f>IF($BJ35&gt;0,IF(INDEX('Final Calculation Sheet'!$Q$4:$Q$40,$BJ35-3)="","",INDEX('Final Calculation Sheet'!$Q$4:$Q$40,$BJ35-3)),IF(OR($BI35=1,$BL35=1,$BH35&gt;0),"–",""))</f>
        <v/>
      </c>
      <c r="S32">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2">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2">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2">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2">
        <f>IF($BJ35&gt;0,IF(INDEX('Final Calculation Sheet'!$V$4:$V$40,$BJ35-3)="","",INDEX('Final Calculation Sheet'!$V$4:$V$40,$BJ35-3)),IF(OR($BI35=1,$BL35=1,$BH35&gt;0),"–",""))</f>
        <v/>
      </c>
      <c r="X32">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2">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2">
        <f>IF($BJ35&gt;0,IF(INDEX('Final Calculation Sheet'!$Y$4:$Y$40,$BJ35-3)="","",INDEX('Final Calculation Sheet'!$Y$4:$Y$40,$BJ35-3)),IF(OR($BI35=1,$BL35=1,$BH35&gt;0),"–",""))</f>
        <v/>
      </c>
      <c r="AA32">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2">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2">
        <f>IF($BJ35&gt;0,IF(INDEX('Final Calculation Sheet'!$AB$4:$AB$40,$BJ35-3)="","",INDEX('Final Calculation Sheet'!$AB$4:$AB$40,$BJ35-3)),IF(OR($BI35=1,$BL35=1,$BH35&gt;0),"–",""))</f>
        <v/>
      </c>
      <c r="AD32">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2">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2">
        <f>IF($BJ35&gt;0,IF(INDEX('Final Calculation Sheet'!$AF$4:$AF$40,$BJ35-3)="","",INDEX('Final Calculation Sheet'!$AF$4:$AF$40,$BJ35-3)),IF(OR($BI35=1,$BL35=1,$BH35&gt;0),"–",""))</f>
        <v/>
      </c>
      <c r="AG32">
        <f>IF($BJ35&gt;0,IF(INDEX('Final Calculation Sheet'!$AG$4:$AG$40,$BJ35-3)="","",INDEX('Final Calculation Sheet'!$AG$4:$AG$40,$BJ35-3)),IF(OR($BI35=1,$BL35=1,$BH35&gt;0),"–",""))</f>
        <v/>
      </c>
      <c r="AH32">
        <f>IF($BJ35&gt;0,IF(INDEX('Final Calculation Sheet'!$AH$4:$AH$40,$BJ35-3)="","",INDEX('Final Calculation Sheet'!$AH$4:$AH$40,$BJ35-3)),IF(OR($BI35=1,$BL35=1,$BH35&gt;0),"–",""))</f>
        <v/>
      </c>
      <c r="AI32">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row>
    <row r="33">
      <c r="A33">
        <f>IF($BJ36&gt;0,INDEX($BA$5:$BA$41,MATCH(36,$BB$5:$BB$41,0)),IF(OR($BI36=1,$BL36=1,$BH36&gt;0),"∑",""))</f>
        <v/>
      </c>
      <c r="B33">
        <f>IF($BJ36&gt;0,IF(INDEX('Final Calculation Sheet'!$F$4:$F$40,$BJ36-3)="","",INDEX('Final Calculation Sheet'!$F$4:$F$40,$BJ36-3)),"")</f>
        <v/>
      </c>
      <c r="C33">
        <f>IF($BJ36&gt;0,IF(INDEX('Final Calculation Sheet'!$G$4:$G$40,$BJ36-3)="","",INDEX('Final Calculation Sheet'!$G$4:$G$40,$BJ36-3)),IF(OR($BI36=1,$BL36=1,$BH36&gt;0),IF($BI36=1,37,IF($BL36=1,37-INDEX($BD$4:$BD$13,10),INDEX($BD$4:$BD$13,$BH36)))&amp;" lot(s)",""))</f>
        <v/>
      </c>
      <c r="D33">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3">
        <f>IF($BJ36&gt;0,IF(INDEX('Final Calculation Sheet'!$D$4:$D$40,$BJ36-3)="","",INDEX('Final Calculation Sheet'!$D$4:$D$40,$BJ36-3)),IF(OR($BI36=1,$BL36=1,$BH36&gt;0),"–",""))</f>
        <v/>
      </c>
      <c r="F33">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3">
        <f>IF($BJ36&gt;0,IF(INDEX('Final Calculation Sheet'!$E$4:$E$40,$BJ36-3)="","",INDEX('Final Calculation Sheet'!$E$4:$E$40,$BJ36-3)),IF(OR($BI36=1,$BL36=1,$BH36&gt;0),"–",""))</f>
        <v/>
      </c>
      <c r="H33">
        <f>IF($BJ36&gt;0,IF(INDEX('Final Calculation Sheet'!$C$4:$C$40,$BJ36-3)="","",INDEX('Final Calculation Sheet'!$C$4:$C$40,$BJ36-3)),IF(OR($BI36=1,$BL36=1,$BH36&gt;0),"–",""))</f>
        <v/>
      </c>
      <c r="I33">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3">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3">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3">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3">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3">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3">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3">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3">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3">
        <f>IF($BJ36&gt;0,IF(INDEX('Final Calculation Sheet'!$Q$4:$Q$40,$BJ36-3)="","",INDEX('Final Calculation Sheet'!$Q$4:$Q$40,$BJ36-3)),IF(OR($BI36=1,$BL36=1,$BH36&gt;0),"–",""))</f>
        <v/>
      </c>
      <c r="S33">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3">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3">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3">
        <f>IF($BJ36&gt;0,IF(INDEX('Final Calculation Sheet'!$V$4:$V$40,$BJ36-3)="","",INDEX('Final Calculation Sheet'!$V$4:$V$40,$BJ36-3)),IF(OR($BI36=1,$BL36=1,$BH36&gt;0),"–",""))</f>
        <v/>
      </c>
      <c r="X33">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3">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3">
        <f>IF($BJ36&gt;0,IF(INDEX('Final Calculation Sheet'!$Y$4:$Y$40,$BJ36-3)="","",INDEX('Final Calculation Sheet'!$Y$4:$Y$40,$BJ36-3)),IF(OR($BI36=1,$BL36=1,$BH36&gt;0),"–",""))</f>
        <v/>
      </c>
      <c r="AA33">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3">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3">
        <f>IF($BJ36&gt;0,IF(INDEX('Final Calculation Sheet'!$AB$4:$AB$40,$BJ36-3)="","",INDEX('Final Calculation Sheet'!$AB$4:$AB$40,$BJ36-3)),IF(OR($BI36=1,$BL36=1,$BH36&gt;0),"–",""))</f>
        <v/>
      </c>
      <c r="AD33">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3">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3">
        <f>IF($BJ36&gt;0,IF(INDEX('Final Calculation Sheet'!$AF$4:$AF$40,$BJ36-3)="","",INDEX('Final Calculation Sheet'!$AF$4:$AF$40,$BJ36-3)),IF(OR($BI36=1,$BL36=1,$BH36&gt;0),"–",""))</f>
        <v/>
      </c>
      <c r="AG33">
        <f>IF($BJ36&gt;0,IF(INDEX('Final Calculation Sheet'!$AG$4:$AG$40,$BJ36-3)="","",INDEX('Final Calculation Sheet'!$AG$4:$AG$40,$BJ36-3)),IF(OR($BI36=1,$BL36=1,$BH36&gt;0),"–",""))</f>
        <v/>
      </c>
      <c r="AH33">
        <f>IF($BJ36&gt;0,IF(INDEX('Final Calculation Sheet'!$AH$4:$AH$40,$BJ36-3)="","",INDEX('Final Calculation Sheet'!$AH$4:$AH$40,$BJ36-3)),IF(OR($BI36=1,$BL36=1,$BH36&gt;0),"–",""))</f>
        <v/>
      </c>
      <c r="AI33">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row>
    <row r="34">
      <c r="A34">
        <f>IF($BJ37&gt;0,INDEX($BA$5:$BA$41,MATCH(37,$BB$5:$BB$41,0)),IF(OR($BI37=1,$BL37=1,$BH37&gt;0),"∑",""))</f>
        <v/>
      </c>
      <c r="B34">
        <f>IF($BJ37&gt;0,IF(INDEX('Final Calculation Sheet'!$F$4:$F$40,$BJ37-3)="","",INDEX('Final Calculation Sheet'!$F$4:$F$40,$BJ37-3)),"")</f>
        <v/>
      </c>
      <c r="C34">
        <f>IF($BJ37&gt;0,IF(INDEX('Final Calculation Sheet'!$G$4:$G$40,$BJ37-3)="","",INDEX('Final Calculation Sheet'!$G$4:$G$40,$BJ37-3)),IF(OR($BI37=1,$BL37=1,$BH37&gt;0),IF($BI37=1,37,IF($BL37=1,37-INDEX($BD$4:$BD$13,10),INDEX($BD$4:$BD$13,$BH37)))&amp;" lot(s)",""))</f>
        <v/>
      </c>
      <c r="D34">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4">
        <f>IF($BJ37&gt;0,IF(INDEX('Final Calculation Sheet'!$D$4:$D$40,$BJ37-3)="","",INDEX('Final Calculation Sheet'!$D$4:$D$40,$BJ37-3)),IF(OR($BI37=1,$BL37=1,$BH37&gt;0),"–",""))</f>
        <v/>
      </c>
      <c r="F34">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4">
        <f>IF($BJ37&gt;0,IF(INDEX('Final Calculation Sheet'!$E$4:$E$40,$BJ37-3)="","",INDEX('Final Calculation Sheet'!$E$4:$E$40,$BJ37-3)),IF(OR($BI37=1,$BL37=1,$BH37&gt;0),"–",""))</f>
        <v/>
      </c>
      <c r="H34">
        <f>IF($BJ37&gt;0,IF(INDEX('Final Calculation Sheet'!$C$4:$C$40,$BJ37-3)="","",INDEX('Final Calculation Sheet'!$C$4:$C$40,$BJ37-3)),IF(OR($BI37=1,$BL37=1,$BH37&gt;0),"–",""))</f>
        <v/>
      </c>
      <c r="I34">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4">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4">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4">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4">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4">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4">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4">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4">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4">
        <f>IF($BJ37&gt;0,IF(INDEX('Final Calculation Sheet'!$Q$4:$Q$40,$BJ37-3)="","",INDEX('Final Calculation Sheet'!$Q$4:$Q$40,$BJ37-3)),IF(OR($BI37=1,$BL37=1,$BH37&gt;0),"–",""))</f>
        <v/>
      </c>
      <c r="S34">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4">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4">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4">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4">
        <f>IF($BJ37&gt;0,IF(INDEX('Final Calculation Sheet'!$V$4:$V$40,$BJ37-3)="","",INDEX('Final Calculation Sheet'!$V$4:$V$40,$BJ37-3)),IF(OR($BI37=1,$BL37=1,$BH37&gt;0),"–",""))</f>
        <v/>
      </c>
      <c r="X34">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4">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4">
        <f>IF($BJ37&gt;0,IF(INDEX('Final Calculation Sheet'!$Y$4:$Y$40,$BJ37-3)="","",INDEX('Final Calculation Sheet'!$Y$4:$Y$40,$BJ37-3)),IF(OR($BI37=1,$BL37=1,$BH37&gt;0),"–",""))</f>
        <v/>
      </c>
      <c r="AA34">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4">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4">
        <f>IF($BJ37&gt;0,IF(INDEX('Final Calculation Sheet'!$AB$4:$AB$40,$BJ37-3)="","",INDEX('Final Calculation Sheet'!$AB$4:$AB$40,$BJ37-3)),IF(OR($BI37=1,$BL37=1,$BH37&gt;0),"–",""))</f>
        <v/>
      </c>
      <c r="AD34">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4">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4">
        <f>IF($BJ37&gt;0,IF(INDEX('Final Calculation Sheet'!$AF$4:$AF$40,$BJ37-3)="","",INDEX('Final Calculation Sheet'!$AF$4:$AF$40,$BJ37-3)),IF(OR($BI37=1,$BL37=1,$BH37&gt;0),"–",""))</f>
        <v/>
      </c>
      <c r="AG34">
        <f>IF($BJ37&gt;0,IF(INDEX('Final Calculation Sheet'!$AG$4:$AG$40,$BJ37-3)="","",INDEX('Final Calculation Sheet'!$AG$4:$AG$40,$BJ37-3)),IF(OR($BI37=1,$BL37=1,$BH37&gt;0),"–",""))</f>
        <v/>
      </c>
      <c r="AH34">
        <f>IF($BJ37&gt;0,IF(INDEX('Final Calculation Sheet'!$AH$4:$AH$40,$BJ37-3)="","",INDEX('Final Calculation Sheet'!$AH$4:$AH$40,$BJ37-3)),IF(OR($BI37=1,$BL37=1,$BH37&gt;0),"–",""))</f>
        <v/>
      </c>
      <c r="AI34">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row>
    <row r="35">
      <c r="A35">
        <f>IF($BJ38&gt;0,INDEX($BA$5:$BA$41,MATCH(38,$BB$5:$BB$41,0)),IF(OR($BI38=1,$BL38=1,$BH38&gt;0),"∑",""))</f>
        <v/>
      </c>
      <c r="B35">
        <f>IF($BJ38&gt;0,IF(INDEX('Final Calculation Sheet'!$F$4:$F$40,$BJ38-3)="","",INDEX('Final Calculation Sheet'!$F$4:$F$40,$BJ38-3)),"")</f>
        <v/>
      </c>
      <c r="C35">
        <f>IF($BJ38&gt;0,IF(INDEX('Final Calculation Sheet'!$G$4:$G$40,$BJ38-3)="","",INDEX('Final Calculation Sheet'!$G$4:$G$40,$BJ38-3)),IF(OR($BI38=1,$BL38=1,$BH38&gt;0),IF($BI38=1,37,IF($BL38=1,37-INDEX($BD$4:$BD$13,10),INDEX($BD$4:$BD$13,$BH38)))&amp;" lot(s)",""))</f>
        <v/>
      </c>
      <c r="D35">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5">
        <f>IF($BJ38&gt;0,IF(INDEX('Final Calculation Sheet'!$D$4:$D$40,$BJ38-3)="","",INDEX('Final Calculation Sheet'!$D$4:$D$40,$BJ38-3)),IF(OR($BI38=1,$BL38=1,$BH38&gt;0),"–",""))</f>
        <v/>
      </c>
      <c r="F35">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5">
        <f>IF($BJ38&gt;0,IF(INDEX('Final Calculation Sheet'!$E$4:$E$40,$BJ38-3)="","",INDEX('Final Calculation Sheet'!$E$4:$E$40,$BJ38-3)),IF(OR($BI38=1,$BL38=1,$BH38&gt;0),"–",""))</f>
        <v/>
      </c>
      <c r="H35">
        <f>IF($BJ38&gt;0,IF(INDEX('Final Calculation Sheet'!$C$4:$C$40,$BJ38-3)="","",INDEX('Final Calculation Sheet'!$C$4:$C$40,$BJ38-3)),IF(OR($BI38=1,$BL38=1,$BH38&gt;0),"–",""))</f>
        <v/>
      </c>
      <c r="I35">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5">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5">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5">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5">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5">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5">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5">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5">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5">
        <f>IF($BJ38&gt;0,IF(INDEX('Final Calculation Sheet'!$Q$4:$Q$40,$BJ38-3)="","",INDEX('Final Calculation Sheet'!$Q$4:$Q$40,$BJ38-3)),IF(OR($BI38=1,$BL38=1,$BH38&gt;0),"–",""))</f>
        <v/>
      </c>
      <c r="S35">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5">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5">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5">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5">
        <f>IF($BJ38&gt;0,IF(INDEX('Final Calculation Sheet'!$V$4:$V$40,$BJ38-3)="","",INDEX('Final Calculation Sheet'!$V$4:$V$40,$BJ38-3)),IF(OR($BI38=1,$BL38=1,$BH38&gt;0),"–",""))</f>
        <v/>
      </c>
      <c r="X35">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5">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5">
        <f>IF($BJ38&gt;0,IF(INDEX('Final Calculation Sheet'!$Y$4:$Y$40,$BJ38-3)="","",INDEX('Final Calculation Sheet'!$Y$4:$Y$40,$BJ38-3)),IF(OR($BI38=1,$BL38=1,$BH38&gt;0),"–",""))</f>
        <v/>
      </c>
      <c r="AA35">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5">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5">
        <f>IF($BJ38&gt;0,IF(INDEX('Final Calculation Sheet'!$AB$4:$AB$40,$BJ38-3)="","",INDEX('Final Calculation Sheet'!$AB$4:$AB$40,$BJ38-3)),IF(OR($BI38=1,$BL38=1,$BH38&gt;0),"–",""))</f>
        <v/>
      </c>
      <c r="AD35">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5">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5">
        <f>IF($BJ38&gt;0,IF(INDEX('Final Calculation Sheet'!$AF$4:$AF$40,$BJ38-3)="","",INDEX('Final Calculation Sheet'!$AF$4:$AF$40,$BJ38-3)),IF(OR($BI38=1,$BL38=1,$BH38&gt;0),"–",""))</f>
        <v/>
      </c>
      <c r="AG35">
        <f>IF($BJ38&gt;0,IF(INDEX('Final Calculation Sheet'!$AG$4:$AG$40,$BJ38-3)="","",INDEX('Final Calculation Sheet'!$AG$4:$AG$40,$BJ38-3)),IF(OR($BI38=1,$BL38=1,$BH38&gt;0),"–",""))</f>
        <v/>
      </c>
      <c r="AH35">
        <f>IF($BJ38&gt;0,IF(INDEX('Final Calculation Sheet'!$AH$4:$AH$40,$BJ38-3)="","",INDEX('Final Calculation Sheet'!$AH$4:$AH$40,$BJ38-3)),IF(OR($BI38=1,$BL38=1,$BH38&gt;0),"–",""))</f>
        <v/>
      </c>
      <c r="AI3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row>
    <row r="36">
      <c r="A36">
        <f>IF($BJ39&gt;0,INDEX($BA$5:$BA$41,MATCH(39,$BB$5:$BB$41,0)),IF(OR($BI39=1,$BL39=1,$BH39&gt;0),"∑",""))</f>
        <v/>
      </c>
      <c r="B36">
        <f>IF($BJ39&gt;0,IF(INDEX('Final Calculation Sheet'!$F$4:$F$40,$BJ39-3)="","",INDEX('Final Calculation Sheet'!$F$4:$F$40,$BJ39-3)),"")</f>
        <v/>
      </c>
      <c r="C36">
        <f>IF($BJ39&gt;0,IF(INDEX('Final Calculation Sheet'!$G$4:$G$40,$BJ39-3)="","",INDEX('Final Calculation Sheet'!$G$4:$G$40,$BJ39-3)),IF(OR($BI39=1,$BL39=1,$BH39&gt;0),IF($BI39=1,37,IF($BL39=1,37-INDEX($BD$4:$BD$13,10),INDEX($BD$4:$BD$13,$BH39)))&amp;" lot(s)",""))</f>
        <v/>
      </c>
      <c r="D36">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36">
        <f>IF($BJ39&gt;0,IF(INDEX('Final Calculation Sheet'!$D$4:$D$40,$BJ39-3)="","",INDEX('Final Calculation Sheet'!$D$4:$D$40,$BJ39-3)),IF(OR($BI39=1,$BL39=1,$BH39&gt;0),"–",""))</f>
        <v/>
      </c>
      <c r="F36">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36">
        <f>IF($BJ39&gt;0,IF(INDEX('Final Calculation Sheet'!$E$4:$E$40,$BJ39-3)="","",INDEX('Final Calculation Sheet'!$E$4:$E$40,$BJ39-3)),IF(OR($BI39=1,$BL39=1,$BH39&gt;0),"–",""))</f>
        <v/>
      </c>
      <c r="H36">
        <f>IF($BJ39&gt;0,IF(INDEX('Final Calculation Sheet'!$C$4:$C$40,$BJ39-3)="","",INDEX('Final Calculation Sheet'!$C$4:$C$40,$BJ39-3)),IF(OR($BI39=1,$BL39=1,$BH39&gt;0),"–",""))</f>
        <v/>
      </c>
      <c r="I36">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36">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36">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36">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36">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36">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36">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36">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36">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36">
        <f>IF($BJ39&gt;0,IF(INDEX('Final Calculation Sheet'!$Q$4:$Q$40,$BJ39-3)="","",INDEX('Final Calculation Sheet'!$Q$4:$Q$40,$BJ39-3)),IF(OR($BI39=1,$BL39=1,$BH39&gt;0),"–",""))</f>
        <v/>
      </c>
      <c r="S36">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36">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36">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36">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36">
        <f>IF($BJ39&gt;0,IF(INDEX('Final Calculation Sheet'!$V$4:$V$40,$BJ39-3)="","",INDEX('Final Calculation Sheet'!$V$4:$V$40,$BJ39-3)),IF(OR($BI39=1,$BL39=1,$BH39&gt;0),"–",""))</f>
        <v/>
      </c>
      <c r="X36">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36">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36">
        <f>IF($BJ39&gt;0,IF(INDEX('Final Calculation Sheet'!$Y$4:$Y$40,$BJ39-3)="","",INDEX('Final Calculation Sheet'!$Y$4:$Y$40,$BJ39-3)),IF(OR($BI39=1,$BL39=1,$BH39&gt;0),"–",""))</f>
        <v/>
      </c>
      <c r="AA36">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36">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36">
        <f>IF($BJ39&gt;0,IF(INDEX('Final Calculation Sheet'!$AB$4:$AB$40,$BJ39-3)="","",INDEX('Final Calculation Sheet'!$AB$4:$AB$40,$BJ39-3)),IF(OR($BI39=1,$BL39=1,$BH39&gt;0),"–",""))</f>
        <v/>
      </c>
      <c r="AD36">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36">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36">
        <f>IF($BJ39&gt;0,IF(INDEX('Final Calculation Sheet'!$AF$4:$AF$40,$BJ39-3)="","",INDEX('Final Calculation Sheet'!$AF$4:$AF$40,$BJ39-3)),IF(OR($BI39=1,$BL39=1,$BH39&gt;0),"–",""))</f>
        <v/>
      </c>
      <c r="AG36">
        <f>IF($BJ39&gt;0,IF(INDEX('Final Calculation Sheet'!$AG$4:$AG$40,$BJ39-3)="","",INDEX('Final Calculation Sheet'!$AG$4:$AG$40,$BJ39-3)),IF(OR($BI39=1,$BL39=1,$BH39&gt;0),"–",""))</f>
        <v/>
      </c>
      <c r="AH36">
        <f>IF($BJ39&gt;0,IF(INDEX('Final Calculation Sheet'!$AH$4:$AH$40,$BJ39-3)="","",INDEX('Final Calculation Sheet'!$AH$4:$AH$40,$BJ39-3)),IF(OR($BI39=1,$BL39=1,$BH39&gt;0),"–",""))</f>
        <v/>
      </c>
      <c r="AI36">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row>
    <row r="37">
      <c r="A37">
        <f>IF($BJ40&gt;0,INDEX($BA$5:$BA$41,MATCH(40,$BB$5:$BB$41,0)),IF(OR($BI40=1,$BL40=1,$BH40&gt;0),"∑",""))</f>
        <v/>
      </c>
      <c r="B37">
        <f>IF($BJ40&gt;0,IF(INDEX('Final Calculation Sheet'!$F$4:$F$40,$BJ40-3)="","",INDEX('Final Calculation Sheet'!$F$4:$F$40,$BJ40-3)),"")</f>
        <v/>
      </c>
      <c r="C37">
        <f>IF($BJ40&gt;0,IF(INDEX('Final Calculation Sheet'!$G$4:$G$40,$BJ40-3)="","",INDEX('Final Calculation Sheet'!$G$4:$G$40,$BJ40-3)),IF(OR($BI40=1,$BL40=1,$BH40&gt;0),IF($BI40=1,37,IF($BL40=1,37-INDEX($BD$4:$BD$13,10),INDEX($BD$4:$BD$13,$BH40)))&amp;" lot(s)",""))</f>
        <v/>
      </c>
      <c r="D37">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37">
        <f>IF($BJ40&gt;0,IF(INDEX('Final Calculation Sheet'!$D$4:$D$40,$BJ40-3)="","",INDEX('Final Calculation Sheet'!$D$4:$D$40,$BJ40-3)),IF(OR($BI40=1,$BL40=1,$BH40&gt;0),"–",""))</f>
        <v/>
      </c>
      <c r="F37">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37">
        <f>IF($BJ40&gt;0,IF(INDEX('Final Calculation Sheet'!$E$4:$E$40,$BJ40-3)="","",INDEX('Final Calculation Sheet'!$E$4:$E$40,$BJ40-3)),IF(OR($BI40=1,$BL40=1,$BH40&gt;0),"–",""))</f>
        <v/>
      </c>
      <c r="H37">
        <f>IF($BJ40&gt;0,IF(INDEX('Final Calculation Sheet'!$C$4:$C$40,$BJ40-3)="","",INDEX('Final Calculation Sheet'!$C$4:$C$40,$BJ40-3)),IF(OR($BI40=1,$BL40=1,$BH40&gt;0),"–",""))</f>
        <v/>
      </c>
      <c r="I37">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37">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37">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37">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37">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37">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37">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37">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37">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37">
        <f>IF($BJ40&gt;0,IF(INDEX('Final Calculation Sheet'!$Q$4:$Q$40,$BJ40-3)="","",INDEX('Final Calculation Sheet'!$Q$4:$Q$40,$BJ40-3)),IF(OR($BI40=1,$BL40=1,$BH40&gt;0),"–",""))</f>
        <v/>
      </c>
      <c r="S37">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37">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37">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37">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37">
        <f>IF($BJ40&gt;0,IF(INDEX('Final Calculation Sheet'!$V$4:$V$40,$BJ40-3)="","",INDEX('Final Calculation Sheet'!$V$4:$V$40,$BJ40-3)),IF(OR($BI40=1,$BL40=1,$BH40&gt;0),"–",""))</f>
        <v/>
      </c>
      <c r="X37">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37">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37">
        <f>IF($BJ40&gt;0,IF(INDEX('Final Calculation Sheet'!$Y$4:$Y$40,$BJ40-3)="","",INDEX('Final Calculation Sheet'!$Y$4:$Y$40,$BJ40-3)),IF(OR($BI40=1,$BL40=1,$BH40&gt;0),"–",""))</f>
        <v/>
      </c>
      <c r="AA37">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37">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37">
        <f>IF($BJ40&gt;0,IF(INDEX('Final Calculation Sheet'!$AB$4:$AB$40,$BJ40-3)="","",INDEX('Final Calculation Sheet'!$AB$4:$AB$40,$BJ40-3)),IF(OR($BI40=1,$BL40=1,$BH40&gt;0),"–",""))</f>
        <v/>
      </c>
      <c r="AD37">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37">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37">
        <f>IF($BJ40&gt;0,IF(INDEX('Final Calculation Sheet'!$AF$4:$AF$40,$BJ40-3)="","",INDEX('Final Calculation Sheet'!$AF$4:$AF$40,$BJ40-3)),IF(OR($BI40=1,$BL40=1,$BH40&gt;0),"–",""))</f>
        <v/>
      </c>
      <c r="AG37">
        <f>IF($BJ40&gt;0,IF(INDEX('Final Calculation Sheet'!$AG$4:$AG$40,$BJ40-3)="","",INDEX('Final Calculation Sheet'!$AG$4:$AG$40,$BJ40-3)),IF(OR($BI40=1,$BL40=1,$BH40&gt;0),"–",""))</f>
        <v/>
      </c>
      <c r="AH37">
        <f>IF($BJ40&gt;0,IF(INDEX('Final Calculation Sheet'!$AH$4:$AH$40,$BJ40-3)="","",INDEX('Final Calculation Sheet'!$AH$4:$AH$40,$BJ40-3)),IF(OR($BI40=1,$BL40=1,$BH40&gt;0),"–",""))</f>
        <v/>
      </c>
      <c r="AI37">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row>
    <row r="38">
      <c r="A38">
        <f>IF($BJ41&gt;0,INDEX($BA$5:$BA$41,MATCH(41,$BB$5:$BB$41,0)),IF(OR($BI41=1,$BL41=1,$BH41&gt;0),"∑",""))</f>
        <v/>
      </c>
      <c r="B38">
        <f>IF($BJ41&gt;0,IF(INDEX('Final Calculation Sheet'!$F$4:$F$40,$BJ41-3)="","",INDEX('Final Calculation Sheet'!$F$4:$F$40,$BJ41-3)),"")</f>
        <v/>
      </c>
      <c r="C38">
        <f>IF($BJ41&gt;0,IF(INDEX('Final Calculation Sheet'!$G$4:$G$40,$BJ41-3)="","",INDEX('Final Calculation Sheet'!$G$4:$G$40,$BJ41-3)),IF(OR($BI41=1,$BL41=1,$BH41&gt;0),IF($BI41=1,37,IF($BL41=1,37-INDEX($BD$4:$BD$13,10),INDEX($BD$4:$BD$13,$BH41)))&amp;" lot(s)",""))</f>
        <v/>
      </c>
      <c r="D38">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38">
        <f>IF($BJ41&gt;0,IF(INDEX('Final Calculation Sheet'!$D$4:$D$40,$BJ41-3)="","",INDEX('Final Calculation Sheet'!$D$4:$D$40,$BJ41-3)),IF(OR($BI41=1,$BL41=1,$BH41&gt;0),"–",""))</f>
        <v/>
      </c>
      <c r="F38">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38">
        <f>IF($BJ41&gt;0,IF(INDEX('Final Calculation Sheet'!$E$4:$E$40,$BJ41-3)="","",INDEX('Final Calculation Sheet'!$E$4:$E$40,$BJ41-3)),IF(OR($BI41=1,$BL41=1,$BH41&gt;0),"–",""))</f>
        <v/>
      </c>
      <c r="H38">
        <f>IF($BJ41&gt;0,IF(INDEX('Final Calculation Sheet'!$C$4:$C$40,$BJ41-3)="","",INDEX('Final Calculation Sheet'!$C$4:$C$40,$BJ41-3)),IF(OR($BI41=1,$BL41=1,$BH41&gt;0),"–",""))</f>
        <v/>
      </c>
      <c r="I38">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38">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38">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38">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38">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38">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38">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38">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38">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38">
        <f>IF($BJ41&gt;0,IF(INDEX('Final Calculation Sheet'!$Q$4:$Q$40,$BJ41-3)="","",INDEX('Final Calculation Sheet'!$Q$4:$Q$40,$BJ41-3)),IF(OR($BI41=1,$BL41=1,$BH41&gt;0),"–",""))</f>
        <v/>
      </c>
      <c r="S38">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38">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38">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38">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38">
        <f>IF($BJ41&gt;0,IF(INDEX('Final Calculation Sheet'!$V$4:$V$40,$BJ41-3)="","",INDEX('Final Calculation Sheet'!$V$4:$V$40,$BJ41-3)),IF(OR($BI41=1,$BL41=1,$BH41&gt;0),"–",""))</f>
        <v/>
      </c>
      <c r="X38">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38">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38">
        <f>IF($BJ41&gt;0,IF(INDEX('Final Calculation Sheet'!$Y$4:$Y$40,$BJ41-3)="","",INDEX('Final Calculation Sheet'!$Y$4:$Y$40,$BJ41-3)),IF(OR($BI41=1,$BL41=1,$BH41&gt;0),"–",""))</f>
        <v/>
      </c>
      <c r="AA38">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38">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38">
        <f>IF($BJ41&gt;0,IF(INDEX('Final Calculation Sheet'!$AB$4:$AB$40,$BJ41-3)="","",INDEX('Final Calculation Sheet'!$AB$4:$AB$40,$BJ41-3)),IF(OR($BI41=1,$BL41=1,$BH41&gt;0),"–",""))</f>
        <v/>
      </c>
      <c r="AD38">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38">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38">
        <f>IF($BJ41&gt;0,IF(INDEX('Final Calculation Sheet'!$AF$4:$AF$40,$BJ41-3)="","",INDEX('Final Calculation Sheet'!$AF$4:$AF$40,$BJ41-3)),IF(OR($BI41=1,$BL41=1,$BH41&gt;0),"–",""))</f>
        <v/>
      </c>
      <c r="AG38">
        <f>IF($BJ41&gt;0,IF(INDEX('Final Calculation Sheet'!$AG$4:$AG$40,$BJ41-3)="","",INDEX('Final Calculation Sheet'!$AG$4:$AG$40,$BJ41-3)),IF(OR($BI41=1,$BL41=1,$BH41&gt;0),"–",""))</f>
        <v/>
      </c>
      <c r="AH38">
        <f>IF($BJ41&gt;0,IF(INDEX('Final Calculation Sheet'!$AH$4:$AH$40,$BJ41-3)="","",INDEX('Final Calculation Sheet'!$AH$4:$AH$40,$BJ41-3)),IF(OR($BI41=1,$BL41=1,$BH41&gt;0),"–",""))</f>
        <v/>
      </c>
      <c r="AI38">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2026-09-11T06:12:54Z</dcterms:modified>
  <cp:lastModifiedBy>S.M.C</cp:lastModifiedBy>
  <cp:revision>0</cp:revision>
</cp:coreProperties>
</file>